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inancials" sheetId="2" state="visible" r:id="rId2"/>
    <sheet xmlns:r="http://schemas.openxmlformats.org/officeDocument/2006/relationships" name="Bridge" sheetId="3" state="visible" r:id="rId3"/>
    <sheet xmlns:r="http://schemas.openxmlformats.org/officeDocument/2006/relationships" name="Ratios" sheetId="4" state="visible" r:id="rId4"/>
    <sheet xmlns:r="http://schemas.openxmlformats.org/officeDocument/2006/relationships" name="Maturities" sheetId="5" state="visible" r:id="rId5"/>
    <sheet xmlns:r="http://schemas.openxmlformats.org/officeDocument/2006/relationships" name="Debt" sheetId="6" state="visible" r:id="rId6"/>
    <sheet xmlns:r="http://schemas.openxmlformats.org/officeDocument/2006/relationships" name="Guidance" sheetId="7" state="visible" r:id="rId7"/>
    <sheet xmlns:r="http://schemas.openxmlformats.org/officeDocument/2006/relationships" name="Management" sheetId="8" state="visible" r:id="rId8"/>
    <sheet xmlns:r="http://schemas.openxmlformats.org/officeDocument/2006/relationships" name="Risks" sheetId="9" state="visible" r:id="rId9"/>
    <sheet xmlns:r="http://schemas.openxmlformats.org/officeDocument/2006/relationships" name="Facts" sheetId="10" state="visible" r:id="rId10"/>
    <sheet xmlns:r="http://schemas.openxmlformats.org/officeDocument/2006/relationships" name="Documents" sheetId="11" state="visible" r:id="rId11"/>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quot;x&quot;"/>
  </numFmts>
  <fonts count="3">
    <font>
      <name val="Calibri"/>
      <family val="2"/>
      <color theme="1"/>
      <sz val="11"/>
      <scheme val="minor"/>
    </font>
    <font>
      <b val="1"/>
      <color rgb="00FFFFFF"/>
    </font>
    <font>
      <b val="1"/>
      <color rgb="000E2A47"/>
    </font>
  </fonts>
  <fills count="4">
    <fill>
      <patternFill/>
    </fill>
    <fill>
      <patternFill patternType="gray125"/>
    </fill>
    <fill>
      <patternFill patternType="solid">
        <fgColor rgb="000E2A47"/>
      </patternFill>
    </fill>
    <fill>
      <patternFill patternType="solid">
        <fgColor rgb="00EDEDED"/>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164" fontId="0" fillId="3"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hyperlink" Target="https://vanillabonds.com/dossier-data/pdf/fastned/fastned-2023-annual-report.pdf#page=177" TargetMode="External" Id="rId1"/><Relationship Type="http://schemas.openxmlformats.org/officeDocument/2006/relationships/hyperlink" Target="https://vanillabonds.com/dossier-data/pdf/fastned/fastned-2023-annual-report.pdf#page=61" TargetMode="External" Id="rId2"/><Relationship Type="http://schemas.openxmlformats.org/officeDocument/2006/relationships/hyperlink" Target="https://vanillabonds.com/dossier-data/pdf/fastned/fastned-2023-annual-report.pdf#page=177" TargetMode="External" Id="rId3"/><Relationship Type="http://schemas.openxmlformats.org/officeDocument/2006/relationships/hyperlink" Target="https://vanillabonds.com/dossier-data/pdf/fastned/fastned-2023-annual-report.pdf#page=97" TargetMode="External" Id="rId4"/><Relationship Type="http://schemas.openxmlformats.org/officeDocument/2006/relationships/hyperlink" Target="https://vanillabonds.com/dossier-data/pdf/fastned/fastned-2023-annual-report.pdf#page=8" TargetMode="External" Id="rId5"/><Relationship Type="http://schemas.openxmlformats.org/officeDocument/2006/relationships/hyperlink" Target="https://vanillabonds.com/dossier-data/pdf/fastned/fastned-2023-annual-report.pdf#page=97" TargetMode="External" Id="rId6"/><Relationship Type="http://schemas.openxmlformats.org/officeDocument/2006/relationships/hyperlink" Target="https://vanillabonds.com/dossier-data/pdf/fastned/fastned-2023-annual-report.pdf#page=203" TargetMode="External" Id="rId7"/><Relationship Type="http://schemas.openxmlformats.org/officeDocument/2006/relationships/hyperlink" Target="https://vanillabonds.com/dossier-data/pdf/fastned/fastned-2023-annual-report.pdf#page=177" TargetMode="External" Id="rId8"/><Relationship Type="http://schemas.openxmlformats.org/officeDocument/2006/relationships/hyperlink" Target="https://vanillabonds.com/dossier-data/pdf/fastned/fastned-2023-annual-report.pdf#page=97" TargetMode="External" Id="rId9"/><Relationship Type="http://schemas.openxmlformats.org/officeDocument/2006/relationships/hyperlink" Target="https://vanillabonds.com/dossier-data/pdf/fastned/fastned-2023-annual-report.pdf#page=117" TargetMode="External" Id="rId10"/><Relationship Type="http://schemas.openxmlformats.org/officeDocument/2006/relationships/hyperlink" Target="https://vanillabonds.com/dossier-data/pdf/fastned/fastned-2023-annual-report.pdf#page=18" TargetMode="External" Id="rId11"/><Relationship Type="http://schemas.openxmlformats.org/officeDocument/2006/relationships/hyperlink" Target="https://vanillabonds.com/dossier-data/pdf/fastned/fastned-2023-annual-report.pdf#page=122" TargetMode="External" Id="rId12"/><Relationship Type="http://schemas.openxmlformats.org/officeDocument/2006/relationships/hyperlink" Target="https://vanillabonds.com/dossier-data/pdf/fastned/fastned-2023-annual-report.pdf#page=123" TargetMode="External" Id="rId13"/><Relationship Type="http://schemas.openxmlformats.org/officeDocument/2006/relationships/hyperlink" Target="https://vanillabonds.com/dossier-data/pdf/fastned/fastned-2023-annual-report.pdf#page=31" TargetMode="External" Id="rId14"/><Relationship Type="http://schemas.openxmlformats.org/officeDocument/2006/relationships/hyperlink" Target="https://vanillabonds.com/dossier-data/pdf/fastned/fastned-2023-annual-report.pdf#page=123" TargetMode="External" Id="rId15"/><Relationship Type="http://schemas.openxmlformats.org/officeDocument/2006/relationships/hyperlink" Target="https://vanillabonds.com/dossier-data/pdf/fastned/fastned-2023-annual-report.pdf#page=31" TargetMode="External" Id="rId16"/><Relationship Type="http://schemas.openxmlformats.org/officeDocument/2006/relationships/hyperlink" Target="https://vanillabonds.com/dossier-data/pdf/fastned/fastned-2023-annual-report.pdf#page=123" TargetMode="External" Id="rId17"/><Relationship Type="http://schemas.openxmlformats.org/officeDocument/2006/relationships/hyperlink" Target="https://vanillabonds.com/dossier-data/pdf/fastned/fastned-2023-annual-report.pdf#page=64" TargetMode="External" Id="rId18"/><Relationship Type="http://schemas.openxmlformats.org/officeDocument/2006/relationships/hyperlink" Target="https://vanillabonds.com/dossier-data/pdf/fastned/fastned-2023-annual-report.pdf#page=118" TargetMode="External" Id="rId19"/><Relationship Type="http://schemas.openxmlformats.org/officeDocument/2006/relationships/hyperlink" Target="https://vanillabonds.com/dossier-data/pdf/fastned/fastned-2023-annual-report.pdf#page=118" TargetMode="External" Id="rId20"/><Relationship Type="http://schemas.openxmlformats.org/officeDocument/2006/relationships/hyperlink" Target="https://vanillabonds.com/dossier-data/pdf/fastned/fastned-2023-annual-report.pdf#page=118" TargetMode="External" Id="rId21"/><Relationship Type="http://schemas.openxmlformats.org/officeDocument/2006/relationships/hyperlink" Target="https://vanillabonds.com/dossier-data/pdf/fastned/fastned-2023-annual-report.pdf#page=118" TargetMode="External" Id="rId22"/><Relationship Type="http://schemas.openxmlformats.org/officeDocument/2006/relationships/hyperlink" Target="https://vanillabonds.com/dossier-data/pdf/fastned/fastned-2023-annual-report.pdf#page=64" TargetMode="External" Id="rId23"/><Relationship Type="http://schemas.openxmlformats.org/officeDocument/2006/relationships/hyperlink" Target="https://vanillabonds.com/dossier-data/pdf/fastned/fastned-2023-annual-report.pdf#page=136" TargetMode="External" Id="rId24"/><Relationship Type="http://schemas.openxmlformats.org/officeDocument/2006/relationships/hyperlink" Target="https://vanillabonds.com/dossier-data/pdf/fastned/fastned-2023-annual-report.pdf#page=150" TargetMode="External" Id="rId25"/><Relationship Type="http://schemas.openxmlformats.org/officeDocument/2006/relationships/hyperlink" Target="https://vanillabonds.com/dossier-data/pdf/fastned/fastned-2023-annual-report.pdf#page=63" TargetMode="External" Id="rId26"/><Relationship Type="http://schemas.openxmlformats.org/officeDocument/2006/relationships/hyperlink" Target="https://vanillabonds.com/dossier-data/pdf/fastned/fastned-2023-annual-report.pdf#page=156" TargetMode="External" Id="rId27"/><Relationship Type="http://schemas.openxmlformats.org/officeDocument/2006/relationships/hyperlink" Target="https://vanillabonds.com/dossier-data/pdf/fastned/fastned-2023-annual-report.pdf#page=78" TargetMode="External" Id="rId28"/><Relationship Type="http://schemas.openxmlformats.org/officeDocument/2006/relationships/hyperlink" Target="https://vanillabonds.com/dossier-data/pdf/fastned/fastned-2023-annual-report.pdf#page=178" TargetMode="External" Id="rId29"/><Relationship Type="http://schemas.openxmlformats.org/officeDocument/2006/relationships/hyperlink" Target="https://vanillabonds.com/dossier-data/pdf/fastned/fastned-2023-annual-report.pdf#page=97" TargetMode="External" Id="rId30"/><Relationship Type="http://schemas.openxmlformats.org/officeDocument/2006/relationships/hyperlink" Target="https://vanillabonds.com/dossier-data/pdf/fastned/fastned-2023-annual-report.pdf#page=160" TargetMode="External" Id="rId31"/><Relationship Type="http://schemas.openxmlformats.org/officeDocument/2006/relationships/hyperlink" Target="https://vanillabonds.com/dossier-data/pdf/fastned/fastned-2023-annual-report.pdf#page=160" TargetMode="External" Id="rId32"/><Relationship Type="http://schemas.openxmlformats.org/officeDocument/2006/relationships/hyperlink" Target="https://vanillabonds.com/dossier-data/pdf/fastned/fastned-2023-annual-report.pdf#page=4" TargetMode="External" Id="rId33"/><Relationship Type="http://schemas.openxmlformats.org/officeDocument/2006/relationships/hyperlink" Target="https://vanillabonds.com/dossier-data/pdf/fastned/fastned-2023-annual-report.pdf#page=19" TargetMode="External" Id="rId34"/><Relationship Type="http://schemas.openxmlformats.org/officeDocument/2006/relationships/hyperlink" Target="https://vanillabonds.com/dossier-data/pdf/fastned/fastned-2023-annual-report.pdf#page=19" TargetMode="External" Id="rId35"/><Relationship Type="http://schemas.openxmlformats.org/officeDocument/2006/relationships/hyperlink" Target="https://vanillabonds.com/dossier-data/pdf/fastned/fastned-2023-annual-report.pdf#page=20" TargetMode="External" Id="rId36"/><Relationship Type="http://schemas.openxmlformats.org/officeDocument/2006/relationships/hyperlink" Target="https://vanillabonds.com/dossier-data/pdf/fastned/fastned-2023-annual-report.pdf#page=21" TargetMode="External" Id="rId37"/><Relationship Type="http://schemas.openxmlformats.org/officeDocument/2006/relationships/hyperlink" Target="https://vanillabonds.com/dossier-data/pdf/fastned/fastned-2023-annual-report.pdf#page=32" TargetMode="External" Id="rId38"/><Relationship Type="http://schemas.openxmlformats.org/officeDocument/2006/relationships/hyperlink" Target="https://vanillabonds.com/dossier-data/pdf/fastned/fastned-2023-annual-report.pdf#page=36" TargetMode="External" Id="rId39"/><Relationship Type="http://schemas.openxmlformats.org/officeDocument/2006/relationships/hyperlink" Target="https://vanillabonds.com/dossier-data/pdf/fastned/fastned-2023-annual-report.pdf#page=36" TargetMode="External" Id="rId40"/><Relationship Type="http://schemas.openxmlformats.org/officeDocument/2006/relationships/hyperlink" Target="https://vanillabonds.com/dossier-data/pdf/fastned/fastned-2023-annual-report.pdf#page=36" TargetMode="External" Id="rId41"/><Relationship Type="http://schemas.openxmlformats.org/officeDocument/2006/relationships/hyperlink" Target="https://vanillabonds.com/dossier-data/pdf/fastned/fastned-2023-annual-report.pdf#page=36" TargetMode="External" Id="rId42"/><Relationship Type="http://schemas.openxmlformats.org/officeDocument/2006/relationships/hyperlink" Target="https://vanillabonds.com/dossier-data/pdf/fastned/fastned-2023-annual-report.pdf#page=36" TargetMode="External" Id="rId43"/><Relationship Type="http://schemas.openxmlformats.org/officeDocument/2006/relationships/hyperlink" Target="https://vanillabonds.com/dossier-data/pdf/fastned/fastned-2023-annual-report.pdf#page=37" TargetMode="External" Id="rId44"/><Relationship Type="http://schemas.openxmlformats.org/officeDocument/2006/relationships/hyperlink" Target="https://vanillabonds.com/dossier-data/pdf/fastned/fastned-2023-annual-report.pdf#page=37" TargetMode="External" Id="rId45"/><Relationship Type="http://schemas.openxmlformats.org/officeDocument/2006/relationships/hyperlink" Target="https://vanillabonds.com/dossier-data/pdf/fastned/fastned-2023-annual-report.pdf#page=63" TargetMode="External" Id="rId46"/><Relationship Type="http://schemas.openxmlformats.org/officeDocument/2006/relationships/hyperlink" Target="https://vanillabonds.com/dossier-data/pdf/fastned/fastned-2023-annual-report.pdf#page=89" TargetMode="External" Id="rId47"/><Relationship Type="http://schemas.openxmlformats.org/officeDocument/2006/relationships/hyperlink" Target="https://vanillabonds.com/dossier-data/pdf/fastned/fastned-2023-annual-report.pdf#page=93" TargetMode="External" Id="rId48"/><Relationship Type="http://schemas.openxmlformats.org/officeDocument/2006/relationships/hyperlink" Target="https://vanillabonds.com/dossier-data/pdf/fastned/fastned-2023-annual-report.pdf#page=93" TargetMode="External" Id="rId49"/><Relationship Type="http://schemas.openxmlformats.org/officeDocument/2006/relationships/hyperlink" Target="https://vanillabonds.com/dossier-data/pdf/fastned/fastned-2023-annual-report.pdf#page=93" TargetMode="External" Id="rId50"/><Relationship Type="http://schemas.openxmlformats.org/officeDocument/2006/relationships/hyperlink" Target="https://vanillabonds.com/dossier-data/pdf/fastned/fastned-2023-annual-report.pdf#page=95" TargetMode="External" Id="rId51"/><Relationship Type="http://schemas.openxmlformats.org/officeDocument/2006/relationships/hyperlink" Target="https://vanillabonds.com/dossier-data/pdf/fastned/fastned-2023-annual-report.pdf#page=95" TargetMode="External" Id="rId52"/><Relationship Type="http://schemas.openxmlformats.org/officeDocument/2006/relationships/hyperlink" Target="https://vanillabonds.com/dossier-data/pdf/fastned/fastned-2023-annual-report.pdf#page=95" TargetMode="External" Id="rId53"/><Relationship Type="http://schemas.openxmlformats.org/officeDocument/2006/relationships/hyperlink" Target="https://vanillabonds.com/dossier-data/pdf/fastned/fastned-2023-annual-report.pdf#page=101" TargetMode="External" Id="rId54"/><Relationship Type="http://schemas.openxmlformats.org/officeDocument/2006/relationships/hyperlink" Target="https://vanillabonds.com/dossier-data/pdf/fastned/fastned-2023-annual-report.pdf#page=107" TargetMode="External" Id="rId55"/><Relationship Type="http://schemas.openxmlformats.org/officeDocument/2006/relationships/hyperlink" Target="https://vanillabonds.com/dossier-data/pdf/fastned/fastned-2023-annual-report.pdf#page=115" TargetMode="External" Id="rId56"/><Relationship Type="http://schemas.openxmlformats.org/officeDocument/2006/relationships/hyperlink" Target="https://vanillabonds.com/dossier-data/pdf/fastned/fastned-2023-annual-report.pdf#page=118" TargetMode="External" Id="rId57"/><Relationship Type="http://schemas.openxmlformats.org/officeDocument/2006/relationships/hyperlink" Target="https://vanillabonds.com/dossier-data/pdf/fastned/fastned-2023-annual-report.pdf#page=119" TargetMode="External" Id="rId58"/><Relationship Type="http://schemas.openxmlformats.org/officeDocument/2006/relationships/hyperlink" Target="https://vanillabonds.com/dossier-data/pdf/fastned/fastned-2023-annual-report.pdf#page=120" TargetMode="External" Id="rId59"/><Relationship Type="http://schemas.openxmlformats.org/officeDocument/2006/relationships/hyperlink" Target="https://vanillabonds.com/dossier-data/pdf/fastned/fastned-2023-annual-report.pdf#page=123" TargetMode="External" Id="rId60"/><Relationship Type="http://schemas.openxmlformats.org/officeDocument/2006/relationships/hyperlink" Target="https://vanillabonds.com/dossier-data/pdf/fastned/fastned-2023-annual-report.pdf#page=123" TargetMode="External" Id="rId61"/><Relationship Type="http://schemas.openxmlformats.org/officeDocument/2006/relationships/hyperlink" Target="https://vanillabonds.com/dossier-data/pdf/fastned/fastned-2023-annual-report.pdf#page=124" TargetMode="External" Id="rId62"/><Relationship Type="http://schemas.openxmlformats.org/officeDocument/2006/relationships/hyperlink" Target="https://vanillabonds.com/dossier-data/pdf/fastned/fastned-2023-annual-report.pdf#page=124" TargetMode="External" Id="rId63"/><Relationship Type="http://schemas.openxmlformats.org/officeDocument/2006/relationships/hyperlink" Target="https://vanillabonds.com/dossier-data/pdf/fastned/fastned-2023-annual-report.pdf#page=125" TargetMode="External" Id="rId64"/><Relationship Type="http://schemas.openxmlformats.org/officeDocument/2006/relationships/hyperlink" Target="https://vanillabonds.com/dossier-data/pdf/fastned/fastned-2023-annual-report.pdf#page=128" TargetMode="External" Id="rId65"/><Relationship Type="http://schemas.openxmlformats.org/officeDocument/2006/relationships/hyperlink" Target="https://vanillabonds.com/dossier-data/pdf/fastned/fastned-2023-annual-report.pdf#page=130" TargetMode="External" Id="rId66"/><Relationship Type="http://schemas.openxmlformats.org/officeDocument/2006/relationships/hyperlink" Target="https://vanillabonds.com/dossier-data/pdf/fastned/fastned-2023-annual-report.pdf#page=131" TargetMode="External" Id="rId67"/><Relationship Type="http://schemas.openxmlformats.org/officeDocument/2006/relationships/hyperlink" Target="https://vanillabonds.com/dossier-data/pdf/fastned/fastned-2023-annual-report.pdf#page=131" TargetMode="External" Id="rId68"/><Relationship Type="http://schemas.openxmlformats.org/officeDocument/2006/relationships/hyperlink" Target="https://vanillabonds.com/dossier-data/pdf/fastned/fastned-2023-annual-report.pdf#page=131" TargetMode="External" Id="rId69"/><Relationship Type="http://schemas.openxmlformats.org/officeDocument/2006/relationships/hyperlink" Target="https://vanillabonds.com/dossier-data/pdf/fastned/fastned-2023-annual-report.pdf#page=132" TargetMode="External" Id="rId70"/><Relationship Type="http://schemas.openxmlformats.org/officeDocument/2006/relationships/hyperlink" Target="https://vanillabonds.com/dossier-data/pdf/fastned/fastned-2023-annual-report.pdf#page=133" TargetMode="External" Id="rId71"/><Relationship Type="http://schemas.openxmlformats.org/officeDocument/2006/relationships/hyperlink" Target="https://vanillabonds.com/dossier-data/pdf/fastned/fastned-2023-annual-report.pdf#page=137" TargetMode="External" Id="rId72"/><Relationship Type="http://schemas.openxmlformats.org/officeDocument/2006/relationships/hyperlink" Target="https://vanillabonds.com/dossier-data/pdf/fastned/fastned-2023-annual-report.pdf#page=138" TargetMode="External" Id="rId73"/><Relationship Type="http://schemas.openxmlformats.org/officeDocument/2006/relationships/hyperlink" Target="https://vanillabonds.com/dossier-data/pdf/fastned/fastned-2023-annual-report.pdf#page=139" TargetMode="External" Id="rId74"/><Relationship Type="http://schemas.openxmlformats.org/officeDocument/2006/relationships/hyperlink" Target="https://vanillabonds.com/dossier-data/pdf/fastned/fastned-2023-annual-report.pdf#page=142" TargetMode="External" Id="rId75"/><Relationship Type="http://schemas.openxmlformats.org/officeDocument/2006/relationships/hyperlink" Target="https://vanillabonds.com/dossier-data/pdf/fastned/fastned-2023-annual-report.pdf#page=145" TargetMode="External" Id="rId76"/><Relationship Type="http://schemas.openxmlformats.org/officeDocument/2006/relationships/hyperlink" Target="https://vanillabonds.com/dossier-data/pdf/fastned/fastned-2023-annual-report.pdf#page=145" TargetMode="External" Id="rId77"/><Relationship Type="http://schemas.openxmlformats.org/officeDocument/2006/relationships/hyperlink" Target="https://vanillabonds.com/dossier-data/pdf/fastned/fastned-2023-annual-report.pdf#page=146" TargetMode="External" Id="rId78"/><Relationship Type="http://schemas.openxmlformats.org/officeDocument/2006/relationships/hyperlink" Target="https://vanillabonds.com/dossier-data/pdf/fastned/fastned-2023-annual-report.pdf#page=147" TargetMode="External" Id="rId79"/><Relationship Type="http://schemas.openxmlformats.org/officeDocument/2006/relationships/hyperlink" Target="https://vanillabonds.com/dossier-data/pdf/fastned/fastned-2023-annual-report.pdf#page=147" TargetMode="External" Id="rId80"/><Relationship Type="http://schemas.openxmlformats.org/officeDocument/2006/relationships/hyperlink" Target="https://vanillabonds.com/dossier-data/pdf/fastned/fastned-2023-annual-report.pdf#page=149" TargetMode="External" Id="rId81"/><Relationship Type="http://schemas.openxmlformats.org/officeDocument/2006/relationships/hyperlink" Target="https://vanillabonds.com/dossier-data/pdf/fastned/fastned-2023-annual-report.pdf#page=149" TargetMode="External" Id="rId82"/><Relationship Type="http://schemas.openxmlformats.org/officeDocument/2006/relationships/hyperlink" Target="https://vanillabonds.com/dossier-data/pdf/fastned/fastned-2023-annual-report.pdf#page=149" TargetMode="External" Id="rId83"/><Relationship Type="http://schemas.openxmlformats.org/officeDocument/2006/relationships/hyperlink" Target="https://vanillabonds.com/dossier-data/pdf/fastned/fastned-2023-annual-report.pdf#page=156" TargetMode="External" Id="rId84"/><Relationship Type="http://schemas.openxmlformats.org/officeDocument/2006/relationships/hyperlink" Target="https://vanillabonds.com/dossier-data/pdf/fastned/fastned-2023-annual-report.pdf#page=158" TargetMode="External" Id="rId85"/><Relationship Type="http://schemas.openxmlformats.org/officeDocument/2006/relationships/hyperlink" Target="https://vanillabonds.com/dossier-data/pdf/fastned/fastned-2023-annual-report.pdf#page=168" TargetMode="External" Id="rId86"/><Relationship Type="http://schemas.openxmlformats.org/officeDocument/2006/relationships/hyperlink" Target="https://vanillabonds.com/dossier-data/pdf/fastned/fastned-2023-annual-report.pdf#page=170" TargetMode="External" Id="rId87"/><Relationship Type="http://schemas.openxmlformats.org/officeDocument/2006/relationships/hyperlink" Target="https://vanillabonds.com/dossier-data/pdf/fastned/fastned-2023-annual-report.pdf#page=175" TargetMode="External" Id="rId88"/><Relationship Type="http://schemas.openxmlformats.org/officeDocument/2006/relationships/hyperlink" Target="https://vanillabonds.com/dossier-data/pdf/fastned/fastned-2023-annual-report.pdf#page=187" TargetMode="External" Id="rId89"/><Relationship Type="http://schemas.openxmlformats.org/officeDocument/2006/relationships/hyperlink" Target="https://vanillabonds.com/dossier-data/pdf/fastned/fastned-2023-annual-report.pdf#page=197" TargetMode="External" Id="rId90"/><Relationship Type="http://schemas.openxmlformats.org/officeDocument/2006/relationships/hyperlink" Target="https://vanillabonds.com/dossier-data/pdf/fastned/fastned-2023-annual-report.pdf#page=203" TargetMode="External" Id="rId91"/><Relationship Type="http://schemas.openxmlformats.org/officeDocument/2006/relationships/hyperlink" Target="https://vanillabonds.com/dossier-data/pdf/fastned/fastned-2023-annual-report.pdf#page=3" TargetMode="External" Id="rId92"/><Relationship Type="http://schemas.openxmlformats.org/officeDocument/2006/relationships/hyperlink" Target="https://vanillabonds.com/dossier-data/pdf/fastned/fastned-2023-annual-report.pdf#page=3" TargetMode="External" Id="rId93"/><Relationship Type="http://schemas.openxmlformats.org/officeDocument/2006/relationships/hyperlink" Target="https://vanillabonds.com/dossier-data/pdf/fastned/fastned-2023-annual-report.pdf#page=3" TargetMode="External" Id="rId94"/><Relationship Type="http://schemas.openxmlformats.org/officeDocument/2006/relationships/hyperlink" Target="https://vanillabonds.com/dossier-data/pdf/fastned/fastned-2023-annual-report.pdf#page=3" TargetMode="External" Id="rId95"/><Relationship Type="http://schemas.openxmlformats.org/officeDocument/2006/relationships/hyperlink" Target="https://vanillabonds.com/dossier-data/pdf/fastned/fastned-2023-annual-report.pdf#page=17" TargetMode="External" Id="rId96"/><Relationship Type="http://schemas.openxmlformats.org/officeDocument/2006/relationships/hyperlink" Target="https://vanillabonds.com/dossier-data/pdf/fastned/fastned-2023-annual-report.pdf#page=18" TargetMode="External" Id="rId97"/><Relationship Type="http://schemas.openxmlformats.org/officeDocument/2006/relationships/hyperlink" Target="https://vanillabonds.com/dossier-data/pdf/fastned/fastned-2023-annual-report.pdf#page=18" TargetMode="External" Id="rId98"/><Relationship Type="http://schemas.openxmlformats.org/officeDocument/2006/relationships/hyperlink" Target="https://vanillabonds.com/dossier-data/pdf/fastned/fastned-2023-annual-report.pdf#page=18" TargetMode="External" Id="rId99"/><Relationship Type="http://schemas.openxmlformats.org/officeDocument/2006/relationships/hyperlink" Target="https://vanillabonds.com/dossier-data/pdf/fastned/fastned-2023-annual-report.pdf#page=55" TargetMode="External" Id="rId100"/><Relationship Type="http://schemas.openxmlformats.org/officeDocument/2006/relationships/hyperlink" Target="https://vanillabonds.com/dossier-data/pdf/fastned/fastned-2023-annual-report.pdf#page=74" TargetMode="External" Id="rId101"/><Relationship Type="http://schemas.openxmlformats.org/officeDocument/2006/relationships/hyperlink" Target="https://vanillabonds.com/dossier-data/pdf/fastned/fastned-2023-annual-report.pdf#page=95" TargetMode="External" Id="rId102"/><Relationship Type="http://schemas.openxmlformats.org/officeDocument/2006/relationships/hyperlink" Target="https://vanillabonds.com/dossier-data/pdf/fastned/fastned-2023-annual-report.pdf#page=118" TargetMode="External" Id="rId103"/><Relationship Type="http://schemas.openxmlformats.org/officeDocument/2006/relationships/hyperlink" Target="https://vanillabonds.com/dossier-data/pdf/fastned/fastned-2023-annual-report.pdf#page=136" TargetMode="External" Id="rId104"/><Relationship Type="http://schemas.openxmlformats.org/officeDocument/2006/relationships/hyperlink" Target="https://vanillabonds.com/dossier-data/pdf/fastned/fastned-2023-annual-report.pdf#page=136" TargetMode="External" Id="rId105"/><Relationship Type="http://schemas.openxmlformats.org/officeDocument/2006/relationships/hyperlink" Target="https://vanillabonds.com/dossier-data/pdf/fastned/fastned-2023-annual-report.pdf#page=144" TargetMode="External" Id="rId106"/><Relationship Type="http://schemas.openxmlformats.org/officeDocument/2006/relationships/hyperlink" Target="https://vanillabonds.com/dossier-data/pdf/fastned/fastned-2023-annual-report.pdf#page=155" TargetMode="External" Id="rId107"/><Relationship Type="http://schemas.openxmlformats.org/officeDocument/2006/relationships/hyperlink" Target="https://vanillabonds.com/dossier-data/pdf/fastned/fastned-2023-annual-report.pdf#page=155" TargetMode="External" Id="rId108"/><Relationship Type="http://schemas.openxmlformats.org/officeDocument/2006/relationships/hyperlink" Target="https://vanillabonds.com/dossier-data/pdf/fastned/fastned-2023-annual-report.pdf#page=155" TargetMode="External" Id="rId109"/><Relationship Type="http://schemas.openxmlformats.org/officeDocument/2006/relationships/hyperlink" Target="https://vanillabonds.com/dossier-data/pdf/fastned/fastned-2023-annual-report.pdf#page=187" TargetMode="External" Id="rId110"/><Relationship Type="http://schemas.openxmlformats.org/officeDocument/2006/relationships/hyperlink" Target="https://vanillabonds.com/dossier-data/pdf/fastned/fastned-2023-annual-report.pdf#page=71" TargetMode="External" Id="rId111"/><Relationship Type="http://schemas.openxmlformats.org/officeDocument/2006/relationships/hyperlink" Target="https://vanillabonds.com/dossier-data/pdf/fastned/fastned-2023-annual-report.pdf#page=71" TargetMode="External" Id="rId112"/><Relationship Type="http://schemas.openxmlformats.org/officeDocument/2006/relationships/hyperlink" Target="https://vanillabonds.com/dossier-data/pdf/fastned/fastned-2023-annual-report.pdf#page=36" TargetMode="External" Id="rId113"/><Relationship Type="http://schemas.openxmlformats.org/officeDocument/2006/relationships/hyperlink" Target="https://vanillabonds.com/dossier-data/pdf/fastned/fastned-2023-annual-report.pdf#page=118" TargetMode="External" Id="rId114"/><Relationship Type="http://schemas.openxmlformats.org/officeDocument/2006/relationships/hyperlink" Target="https://vanillabonds.com/dossier-data/pdf/fastned/fastned-2023-annual-report.pdf#page=118" TargetMode="External" Id="rId115"/><Relationship Type="http://schemas.openxmlformats.org/officeDocument/2006/relationships/hyperlink" Target="https://vanillabonds.com/dossier-data/pdf/fastned/fastned-2023-annual-report.pdf#page=36" TargetMode="External" Id="rId116"/><Relationship Type="http://schemas.openxmlformats.org/officeDocument/2006/relationships/hyperlink" Target="https://vanillabonds.com/dossier-data/pdf/fastned/fastned-2023-annual-report.pdf#page=121" TargetMode="External" Id="rId117"/><Relationship Type="http://schemas.openxmlformats.org/officeDocument/2006/relationships/hyperlink" Target="https://vanillabonds.com/dossier-data/pdf/fastned/fastned-2023-annual-report.pdf#page=120" TargetMode="External" Id="rId118"/><Relationship Type="http://schemas.openxmlformats.org/officeDocument/2006/relationships/hyperlink" Target="https://vanillabonds.com/dossier-data/pdf/fastned/fastned-2023-annual-report.pdf#page=36" TargetMode="External" Id="rId119"/><Relationship Type="http://schemas.openxmlformats.org/officeDocument/2006/relationships/hyperlink" Target="https://vanillabonds.com/dossier-data/pdf/fastned/fastned-2023-annual-report.pdf#page=37" TargetMode="External" Id="rId120"/><Relationship Type="http://schemas.openxmlformats.org/officeDocument/2006/relationships/hyperlink" Target="https://vanillabonds.com/dossier-data/pdf/fastned/fastned-2023-annual-report.pdf#page=37" TargetMode="External" Id="rId121"/><Relationship Type="http://schemas.openxmlformats.org/officeDocument/2006/relationships/hyperlink" Target="https://vanillabonds.com/dossier-data/pdf/fastned/fastned-2023-annual-report.pdf#page=91" TargetMode="External" Id="rId122"/><Relationship Type="http://schemas.openxmlformats.org/officeDocument/2006/relationships/hyperlink" Target="https://vanillabonds.com/dossier-data/pdf/fastned/fastned-2023-annual-report.pdf#page=91" TargetMode="External" Id="rId123"/><Relationship Type="http://schemas.openxmlformats.org/officeDocument/2006/relationships/hyperlink" Target="https://vanillabonds.com/dossier-data/pdf/fastned/fastned-2023-annual-report.pdf#page=36" TargetMode="External" Id="rId124"/><Relationship Type="http://schemas.openxmlformats.org/officeDocument/2006/relationships/hyperlink" Target="https://vanillabonds.com/dossier-data/pdf/fastned/fastned-2023-annual-report.pdf#page=128" TargetMode="External" Id="rId125"/><Relationship Type="http://schemas.openxmlformats.org/officeDocument/2006/relationships/hyperlink" Target="https://vanillabonds.com/dossier-data/pdf/fastned/fastned-2023-annual-report.pdf#page=128" TargetMode="External" Id="rId126"/><Relationship Type="http://schemas.openxmlformats.org/officeDocument/2006/relationships/hyperlink" Target="https://vanillabonds.com/dossier-data/pdf/fastned/fastned-2023-annual-report.pdf#page=38" TargetMode="External" Id="rId127"/><Relationship Type="http://schemas.openxmlformats.org/officeDocument/2006/relationships/hyperlink" Target="https://vanillabonds.com/dossier-data/pdf/fastned/fastned-2023-annual-report.pdf#page=121" TargetMode="External" Id="rId128"/><Relationship Type="http://schemas.openxmlformats.org/officeDocument/2006/relationships/hyperlink" Target="https://vanillabonds.com/dossier-data/pdf/fastned/fastned-2023-annual-report.pdf#page=120" TargetMode="External" Id="rId129"/><Relationship Type="http://schemas.openxmlformats.org/officeDocument/2006/relationships/hyperlink" Target="https://vanillabonds.com/dossier-data/pdf/fastned/fastned-2023-annual-report.pdf#page=36" TargetMode="External" Id="rId130"/><Relationship Type="http://schemas.openxmlformats.org/officeDocument/2006/relationships/hyperlink" Target="https://vanillabonds.com/dossier-data/pdf/fastned/fastned-2023-annual-report.pdf#page=36" TargetMode="External" Id="rId131"/><Relationship Type="http://schemas.openxmlformats.org/officeDocument/2006/relationships/hyperlink" Target="https://vanillabonds.com/dossier-data/pdf/fastned/fastned-2023-annual-report.pdf#page=125" TargetMode="External" Id="rId132"/><Relationship Type="http://schemas.openxmlformats.org/officeDocument/2006/relationships/hyperlink" Target="https://vanillabonds.com/dossier-data/pdf/fastned/fastned-2023-annual-report.pdf#page=36" TargetMode="External" Id="rId133"/><Relationship Type="http://schemas.openxmlformats.org/officeDocument/2006/relationships/hyperlink" Target="https://vanillabonds.com/dossier-data/pdf/fastned/fastned-2023-annual-report.pdf#page=125" TargetMode="External" Id="rId134"/><Relationship Type="http://schemas.openxmlformats.org/officeDocument/2006/relationships/hyperlink" Target="https://vanillabonds.com/dossier-data/pdf/fastned/fastned-2023-annual-report.pdf#page=38" TargetMode="External" Id="rId135"/><Relationship Type="http://schemas.openxmlformats.org/officeDocument/2006/relationships/hyperlink" Target="https://vanillabonds.com/dossier-data/pdf/fastned/fastned-2023-annual-report.pdf#page=95" TargetMode="External" Id="rId136"/><Relationship Type="http://schemas.openxmlformats.org/officeDocument/2006/relationships/hyperlink" Target="https://vanillabonds.com/dossier-data/pdf/fastned/fastned-2023-annual-report.pdf#page=95" TargetMode="External" Id="rId137"/><Relationship Type="http://schemas.openxmlformats.org/officeDocument/2006/relationships/hyperlink" Target="https://vanillabonds.com/dossier-data/pdf/fastned/fastned-2023-annual-report.pdf#page=38" TargetMode="External" Id="rId138"/><Relationship Type="http://schemas.openxmlformats.org/officeDocument/2006/relationships/hyperlink" Target="https://vanillabonds.com/dossier-data/pdf/fastned/fastned-2023-annual-report.pdf#page=95" TargetMode="External" Id="rId139"/><Relationship Type="http://schemas.openxmlformats.org/officeDocument/2006/relationships/hyperlink" Target="https://vanillabonds.com/dossier-data/pdf/fastned/fastned-2023-annual-report.pdf#page=130" TargetMode="External" Id="rId140"/><Relationship Type="http://schemas.openxmlformats.org/officeDocument/2006/relationships/hyperlink" Target="https://vanillabonds.com/dossier-data/pdf/fastned/fastned-2023-annual-report.pdf#page=95" TargetMode="External" Id="rId141"/><Relationship Type="http://schemas.openxmlformats.org/officeDocument/2006/relationships/hyperlink" Target="https://vanillabonds.com/dossier-data/pdf/fastned/fastned-2023-annual-report.pdf#page=130" TargetMode="External" Id="rId142"/><Relationship Type="http://schemas.openxmlformats.org/officeDocument/2006/relationships/hyperlink" Target="https://vanillabonds.com/dossier-data/pdf/fastned/fastned-2023-annual-report.pdf#page=38" TargetMode="External" Id="rId143"/><Relationship Type="http://schemas.openxmlformats.org/officeDocument/2006/relationships/hyperlink" Target="https://vanillabonds.com/dossier-data/pdf/fastned/fastned-2023-annual-report.pdf#page=143" TargetMode="External" Id="rId144"/><Relationship Type="http://schemas.openxmlformats.org/officeDocument/2006/relationships/hyperlink" Target="https://vanillabonds.com/dossier-data/pdf/fastned/fastned-2023-annual-report.pdf#page=143" TargetMode="External" Id="rId145"/><Relationship Type="http://schemas.openxmlformats.org/officeDocument/2006/relationships/hyperlink" Target="https://vanillabonds.com/dossier-data/pdf/fastned/fastned-2023-annual-report.pdf#page=136" TargetMode="External" Id="rId146"/><Relationship Type="http://schemas.openxmlformats.org/officeDocument/2006/relationships/hyperlink" Target="https://vanillabonds.com/dossier-data/pdf/fastned/fastned-2023-annual-report.pdf#page=136" TargetMode="External" Id="rId147"/><Relationship Type="http://schemas.openxmlformats.org/officeDocument/2006/relationships/hyperlink" Target="https://vanillabonds.com/dossier-data/pdf/fastned/fastned-2023-annual-report.pdf#page=145" TargetMode="External" Id="rId148"/><Relationship Type="http://schemas.openxmlformats.org/officeDocument/2006/relationships/hyperlink" Target="https://vanillabonds.com/dossier-data/pdf/fastned/fastned-2023-annual-report.pdf#page=145" TargetMode="External" Id="rId149"/><Relationship Type="http://schemas.openxmlformats.org/officeDocument/2006/relationships/hyperlink" Target="https://vanillabonds.com/dossier-data/pdf/fastned/fastned-2023-annual-report.pdf#page=38" TargetMode="External" Id="rId150"/><Relationship Type="http://schemas.openxmlformats.org/officeDocument/2006/relationships/hyperlink" Target="https://vanillabonds.com/dossier-data/pdf/fastned/fastned-2023-annual-report.pdf#page=97" TargetMode="External" Id="rId151"/><Relationship Type="http://schemas.openxmlformats.org/officeDocument/2006/relationships/hyperlink" Target="https://vanillabonds.com/dossier-data/pdf/fastned/fastned-2023-annual-report.pdf#page=97" TargetMode="External" Id="rId152"/><Relationship Type="http://schemas.openxmlformats.org/officeDocument/2006/relationships/hyperlink" Target="https://vanillabonds.com/dossier-data/pdf/fastned/fastned-2023-annual-report.pdf#page=38" TargetMode="External" Id="rId153"/><Relationship Type="http://schemas.openxmlformats.org/officeDocument/2006/relationships/hyperlink" Target="https://vanillabonds.com/dossier-data/pdf/fastned/fastned-2023-annual-report.pdf#page=93" TargetMode="External" Id="rId154"/><Relationship Type="http://schemas.openxmlformats.org/officeDocument/2006/relationships/hyperlink" Target="https://vanillabonds.com/dossier-data/pdf/fastned/fastned-2023-annual-report.pdf#page=93" TargetMode="External" Id="rId155"/><Relationship Type="http://schemas.openxmlformats.org/officeDocument/2006/relationships/hyperlink" Target="https://vanillabonds.com/dossier-data/pdf/fastned/fastned-2023-annual-report.pdf#page=17" TargetMode="External" Id="rId156"/><Relationship Type="http://schemas.openxmlformats.org/officeDocument/2006/relationships/hyperlink" Target="https://vanillabonds.com/dossier-data/pdf/fastned/fastned-2023-annual-report.pdf#page=136" TargetMode="External" Id="rId157"/><Relationship Type="http://schemas.openxmlformats.org/officeDocument/2006/relationships/hyperlink" Target="https://vanillabonds.com/dossier-data/pdf/fastned/fastned-2023-annual-report.pdf#page=136" TargetMode="External" Id="rId158"/><Relationship Type="http://schemas.openxmlformats.org/officeDocument/2006/relationships/hyperlink" Target="https://vanillabonds.com/dossier-data/pdf/fastned/fastned-2023-annual-report.pdf#page=136" TargetMode="External" Id="rId159"/><Relationship Type="http://schemas.openxmlformats.org/officeDocument/2006/relationships/hyperlink" Target="https://vanillabonds.com/dossier-data/pdf/fastned/fastned-2023-annual-report.pdf#page=136" TargetMode="External" Id="rId160"/><Relationship Type="http://schemas.openxmlformats.org/officeDocument/2006/relationships/hyperlink" Target="https://vanillabonds.com/dossier-data/pdf/fastned/fastned-2023-annual-report.pdf#page=136" TargetMode="External" Id="rId161"/><Relationship Type="http://schemas.openxmlformats.org/officeDocument/2006/relationships/hyperlink" Target="https://vanillabonds.com/dossier-data/pdf/fastned/fastned-2023-annual-report.pdf#page=136" TargetMode="External" Id="rId162"/><Relationship Type="http://schemas.openxmlformats.org/officeDocument/2006/relationships/hyperlink" Target="https://vanillabonds.com/dossier-data/pdf/fastned/fastned-2023-annual-report.pdf#page=136" TargetMode="External" Id="rId163"/><Relationship Type="http://schemas.openxmlformats.org/officeDocument/2006/relationships/hyperlink" Target="https://vanillabonds.com/dossier-data/pdf/fastned/fastned-2023-annual-report.pdf#page=136" TargetMode="External" Id="rId164"/><Relationship Type="http://schemas.openxmlformats.org/officeDocument/2006/relationships/hyperlink" Target="https://vanillabonds.com/dossier-data/pdf/fastned/fastned-2023-annual-report.pdf#page=136" TargetMode="External" Id="rId165"/><Relationship Type="http://schemas.openxmlformats.org/officeDocument/2006/relationships/hyperlink" Target="https://vanillabonds.com/dossier-data/pdf/fastned/fastned-2023-annual-report.pdf#page=136" TargetMode="External" Id="rId166"/><Relationship Type="http://schemas.openxmlformats.org/officeDocument/2006/relationships/hyperlink" Target="https://vanillabonds.com/dossier-data/pdf/fastned/fastned-2023-annual-report.pdf#page=136" TargetMode="External" Id="rId167"/><Relationship Type="http://schemas.openxmlformats.org/officeDocument/2006/relationships/hyperlink" Target="https://vanillabonds.com/dossier-data/pdf/fastned/fastned-2023-annual-report.pdf#page=28" TargetMode="External" Id="rId168"/><Relationship Type="http://schemas.openxmlformats.org/officeDocument/2006/relationships/hyperlink" Target="https://vanillabonds.com/dossier-data/pdf/fastned/fastned-2023-annual-report.pdf#page=50" TargetMode="External" Id="rId169"/><Relationship Type="http://schemas.openxmlformats.org/officeDocument/2006/relationships/hyperlink" Target="https://vanillabonds.com/dossier-data/pdf/fastned/fastned-2023-annual-report.pdf#page=53" TargetMode="External" Id="rId170"/><Relationship Type="http://schemas.openxmlformats.org/officeDocument/2006/relationships/hyperlink" Target="https://vanillabonds.com/dossier-data/pdf/fastned/fastned-2023-annual-report.pdf#page=54" TargetMode="External" Id="rId171"/><Relationship Type="http://schemas.openxmlformats.org/officeDocument/2006/relationships/hyperlink" Target="https://vanillabonds.com/dossier-data/pdf/fastned/fastned-2023-annual-report.pdf#page=54" TargetMode="External" Id="rId172"/><Relationship Type="http://schemas.openxmlformats.org/officeDocument/2006/relationships/hyperlink" Target="https://vanillabonds.com/dossier-data/pdf/fastned/fastned-2023-annual-report.pdf#page=54" TargetMode="External" Id="rId173"/><Relationship Type="http://schemas.openxmlformats.org/officeDocument/2006/relationships/hyperlink" Target="https://vanillabonds.com/dossier-data/pdf/fastned/fastned-2023-annual-report.pdf#page=55" TargetMode="External" Id="rId174"/><Relationship Type="http://schemas.openxmlformats.org/officeDocument/2006/relationships/hyperlink" Target="https://vanillabonds.com/dossier-data/pdf/fastned/fastned-2023-annual-report.pdf#page=55" TargetMode="External" Id="rId175"/><Relationship Type="http://schemas.openxmlformats.org/officeDocument/2006/relationships/hyperlink" Target="https://vanillabonds.com/dossier-data/pdf/fastned/fastned-2023-annual-report.pdf#page=56" TargetMode="External" Id="rId176"/><Relationship Type="http://schemas.openxmlformats.org/officeDocument/2006/relationships/hyperlink" Target="https://vanillabonds.com/dossier-data/pdf/fastned/fastned-2023-annual-report.pdf#page=56" TargetMode="External" Id="rId177"/><Relationship Type="http://schemas.openxmlformats.org/officeDocument/2006/relationships/hyperlink" Target="https://vanillabonds.com/dossier-data/pdf/fastned/fastned-2023-annual-report.pdf#page=57" TargetMode="External" Id="rId178"/><Relationship Type="http://schemas.openxmlformats.org/officeDocument/2006/relationships/hyperlink" Target="https://vanillabonds.com/dossier-data/pdf/fastned/fastned-2023-annual-report.pdf#page=59" TargetMode="External" Id="rId179"/><Relationship Type="http://schemas.openxmlformats.org/officeDocument/2006/relationships/hyperlink" Target="https://vanillabonds.com/dossier-data/pdf/fastned/fastned-2023-annual-report.pdf#page=92" TargetMode="External" Id="rId180"/><Relationship Type="http://schemas.openxmlformats.org/officeDocument/2006/relationships/hyperlink" Target="https://vanillabonds.com/dossier-data/pdf/fastned/fastned-2023-annual-report.pdf#page=97" TargetMode="External" Id="rId181"/><Relationship Type="http://schemas.openxmlformats.org/officeDocument/2006/relationships/hyperlink" Target="https://vanillabonds.com/dossier-data/pdf/fastned/fastned-2023-annual-report.pdf#page=107" TargetMode="External" Id="rId182"/><Relationship Type="http://schemas.openxmlformats.org/officeDocument/2006/relationships/hyperlink" Target="https://vanillabonds.com/dossier-data/pdf/fastned/fastned-2023-annual-report.pdf#page=140" TargetMode="External" Id="rId183"/><Relationship Type="http://schemas.openxmlformats.org/officeDocument/2006/relationships/hyperlink" Target="https://vanillabonds.com/dossier-data/pdf/fastned/fastned-2023-annual-report.pdf#page=140" TargetMode="External" Id="rId184"/><Relationship Type="http://schemas.openxmlformats.org/officeDocument/2006/relationships/hyperlink" Target="https://vanillabonds.com/dossier-data/pdf/fastned/fastned-2023-annual-report.pdf#page=140" TargetMode="External" Id="rId185"/><Relationship Type="http://schemas.openxmlformats.org/officeDocument/2006/relationships/hyperlink" Target="https://vanillabonds.com/dossier-data/pdf/fastned/fastned-2023-annual-report.pdf#page=141" TargetMode="External" Id="rId186"/><Relationship Type="http://schemas.openxmlformats.org/officeDocument/2006/relationships/hyperlink" Target="https://vanillabonds.com/dossier-data/pdf/fastned/fastned-2023-annual-report.pdf#page=141" TargetMode="External" Id="rId187"/><Relationship Type="http://schemas.openxmlformats.org/officeDocument/2006/relationships/hyperlink" Target="https://vanillabonds.com/dossier-data/pdf/fastned/fastned-2023-annual-report.pdf#page=142" TargetMode="External" Id="rId188"/><Relationship Type="http://schemas.openxmlformats.org/officeDocument/2006/relationships/hyperlink" Target="https://vanillabonds.com/dossier-data/pdf/fastned/fastned-2023-annual-report.pdf#page=143" TargetMode="External" Id="rId189"/><Relationship Type="http://schemas.openxmlformats.org/officeDocument/2006/relationships/hyperlink" Target="https://vanillabonds.com/dossier-data/pdf/fastned/fastned-2023-annual-report.pdf#page=180" TargetMode="External" Id="rId190"/><Relationship Type="http://schemas.openxmlformats.org/officeDocument/2006/relationships/hyperlink" Target="https://vanillabonds.com/dossier-data/pdf/fastned/fastned-2023-annual-report.pdf#page=180" TargetMode="External" Id="rId191"/><Relationship Type="http://schemas.openxmlformats.org/officeDocument/2006/relationships/hyperlink" Target="https://vanillabonds.com/dossier-data/pdf/fastned/fastned-2023-annual-report.pdf#page=181" TargetMode="External" Id="rId192"/><Relationship Type="http://schemas.openxmlformats.org/officeDocument/2006/relationships/hyperlink" Target="https://vanillabonds.com/dossier-data/pdf/fastned/fastned-2023-annual-report.pdf#page=85" TargetMode="External" Id="rId193"/><Relationship Type="http://schemas.openxmlformats.org/officeDocument/2006/relationships/hyperlink" Target="https://vanillabonds.com/dossier-data/pdf/fastned/fastned-2023-annual-report.pdf#page=85" TargetMode="External" Id="rId194"/><Relationship Type="http://schemas.openxmlformats.org/officeDocument/2006/relationships/hyperlink" Target="https://vanillabonds.com/dossier-data/pdf/fastned/fastned-2023-annual-report.pdf#page=118" TargetMode="External" Id="rId195"/><Relationship Type="http://schemas.openxmlformats.org/officeDocument/2006/relationships/hyperlink" Target="https://vanillabonds.com/dossier-data/pdf/fastned/fastned-2023-annual-report.pdf#page=147" TargetMode="External" Id="rId196"/><Relationship Type="http://schemas.openxmlformats.org/officeDocument/2006/relationships/hyperlink" Target="https://vanillabonds.com/dossier-data/pdf/fastned/fastned-2023-annual-report.pdf#page=37" TargetMode="External" Id="rId197"/><Relationship Type="http://schemas.openxmlformats.org/officeDocument/2006/relationships/hyperlink" Target="https://vanillabonds.com/dossier-data/pdf/fastned/fastned-2023-annual-report.pdf#page=118" TargetMode="External" Id="rId198"/><Relationship Type="http://schemas.openxmlformats.org/officeDocument/2006/relationships/hyperlink" Target="https://vanillabonds.com/dossier-data/pdf/fastned/fastned-2023-annual-report.pdf#page=131" TargetMode="External" Id="rId199"/><Relationship Type="http://schemas.openxmlformats.org/officeDocument/2006/relationships/hyperlink" Target="https://vanillabonds.com/dossier-data/pdf/fastned/fastned-2023-annual-report.pdf#page=61" TargetMode="External" Id="rId200"/><Relationship Type="http://schemas.openxmlformats.org/officeDocument/2006/relationships/hyperlink" Target="https://vanillabonds.com/dossier-data/pdf/fastned/fastned-2023-annual-report.pdf#page=62" TargetMode="External" Id="rId201"/><Relationship Type="http://schemas.openxmlformats.org/officeDocument/2006/relationships/hyperlink" Target="https://vanillabonds.com/dossier-data/pdf/fastned/fastned-2023-annual-report.pdf#page=62" TargetMode="External" Id="rId202"/><Relationship Type="http://schemas.openxmlformats.org/officeDocument/2006/relationships/hyperlink" Target="https://vanillabonds.com/dossier-data/pdf/fastned/fastned-2023-annual-report.pdf#page=63" TargetMode="External" Id="rId203"/><Relationship Type="http://schemas.openxmlformats.org/officeDocument/2006/relationships/hyperlink" Target="https://vanillabonds.com/dossier-data/pdf/fastned/fastned-2023-annual-report.pdf#page=64" TargetMode="External" Id="rId204"/><Relationship Type="http://schemas.openxmlformats.org/officeDocument/2006/relationships/hyperlink" Target="https://vanillabonds.com/dossier-data/pdf/fastned/fastned-2023-annual-report.pdf#page=64" TargetMode="External" Id="rId205"/><Relationship Type="http://schemas.openxmlformats.org/officeDocument/2006/relationships/hyperlink" Target="https://vanillabonds.com/dossier-data/pdf/fastned/fastned-2023-annual-report.pdf#page=64" TargetMode="External" Id="rId206"/><Relationship Type="http://schemas.openxmlformats.org/officeDocument/2006/relationships/hyperlink" Target="https://vanillabonds.com/dossier-data/pdf/fastned/fastned-2023-annual-report.pdf#page=65" TargetMode="External" Id="rId207"/><Relationship Type="http://schemas.openxmlformats.org/officeDocument/2006/relationships/hyperlink" Target="https://vanillabonds.com/dossier-data/pdf/fastned/fastned-2023-annual-report.pdf#page=65" TargetMode="External" Id="rId208"/><Relationship Type="http://schemas.openxmlformats.org/officeDocument/2006/relationships/hyperlink" Target="https://vanillabonds.com/dossier-data/pdf/fastned/fastned-2023-annual-report.pdf#page=66" TargetMode="External" Id="rId209"/><Relationship Type="http://schemas.openxmlformats.org/officeDocument/2006/relationships/hyperlink" Target="https://vanillabonds.com/dossier-data/pdf/fastned/fastned-2023-annual-report.pdf#page=68" TargetMode="External" Id="rId210"/><Relationship Type="http://schemas.openxmlformats.org/officeDocument/2006/relationships/hyperlink" Target="https://vanillabonds.com/dossier-data/pdf/fastned/fastned-2023-annual-report.pdf#page=77" TargetMode="External" Id="rId211"/><Relationship Type="http://schemas.openxmlformats.org/officeDocument/2006/relationships/hyperlink" Target="https://vanillabonds.com/dossier-data/pdf/fastned/fastned-2023-annual-report.pdf#page=109" TargetMode="External" Id="rId212"/><Relationship Type="http://schemas.openxmlformats.org/officeDocument/2006/relationships/hyperlink" Target="https://vanillabonds.com/dossier-data/pdf/fastned/fastned-2023-annual-report.pdf#page=144" TargetMode="External" Id="rId213"/><Relationship Type="http://schemas.openxmlformats.org/officeDocument/2006/relationships/hyperlink" Target="https://vanillabonds.com/dossier-data/pdf/fastned/fastned-2023-annual-report.pdf#page=144" TargetMode="External" Id="rId214"/><Relationship Type="http://schemas.openxmlformats.org/officeDocument/2006/relationships/hyperlink" Target="https://vanillabonds.com/dossier-data/pdf/fastned/fastned-2023-annual-report.pdf#page=144" TargetMode="External" Id="rId215"/><Relationship Type="http://schemas.openxmlformats.org/officeDocument/2006/relationships/hyperlink" Target="https://vanillabonds.com/dossier-data/pdf/fastned/fastned-2023-annual-report.pdf#page=148" TargetMode="External" Id="rId216"/><Relationship Type="http://schemas.openxmlformats.org/officeDocument/2006/relationships/hyperlink" Target="https://vanillabonds.com/dossier-data/pdf/fastned/fastned-2023-annual-report.pdf#page=154" TargetMode="External" Id="rId217"/><Relationship Type="http://schemas.openxmlformats.org/officeDocument/2006/relationships/hyperlink" Target="https://vanillabonds.com/dossier-data/pdf/fastned/fastned-2023-annual-report.pdf#page=174" TargetMode="External" Id="rId218"/><Relationship Type="http://schemas.openxmlformats.org/officeDocument/2006/relationships/hyperlink" Target="https://vanillabonds.com/dossier-data/pdf/fastned/fastned-2023-annual-report.pdf#page=176" TargetMode="External" Id="rId219"/><Relationship Type="http://schemas.openxmlformats.org/officeDocument/2006/relationships/hyperlink" Target="https://vanillabonds.com/dossier-data/pdf/fastned/fastned-2023-annual-report.pdf#page=200" TargetMode="External" Id="rId220"/><Relationship Type="http://schemas.openxmlformats.org/officeDocument/2006/relationships/hyperlink" Target="https://vanillabonds.com/dossier-data/pdf/fastned/fastned-2023-annual-report.pdf#page=52" TargetMode="External" Id="rId221"/><Relationship Type="http://schemas.openxmlformats.org/officeDocument/2006/relationships/hyperlink" Target="https://vanillabonds.com/dossier-data/pdf/fastned/fastned-2023-annual-report.pdf#page=62" TargetMode="External" Id="rId222"/><Relationship Type="http://schemas.openxmlformats.org/officeDocument/2006/relationships/hyperlink" Target="https://vanillabonds.com/dossier-data/pdf/fastned/fastned-2023-annual-report.pdf#page=77" TargetMode="External" Id="rId223"/><Relationship Type="http://schemas.openxmlformats.org/officeDocument/2006/relationships/hyperlink" Target="https://vanillabonds.com/dossier-data/pdf/fastned/fastned-2023-annual-report.pdf#page=86" TargetMode="External" Id="rId224"/><Relationship Type="http://schemas.openxmlformats.org/officeDocument/2006/relationships/hyperlink" Target="https://vanillabonds.com/dossier-data/pdf/fastned/fastned-2023-annual-report.pdf#page=87" TargetMode="External" Id="rId225"/><Relationship Type="http://schemas.openxmlformats.org/officeDocument/2006/relationships/hyperlink" Target="https://vanillabonds.com/dossier-data/pdf/fastned/fastned-2023-annual-report.pdf#page=97" TargetMode="External" Id="rId226"/><Relationship Type="http://schemas.openxmlformats.org/officeDocument/2006/relationships/hyperlink" Target="https://vanillabonds.com/dossier-data/pdf/fastned/fastned-2023-annual-report.pdf#page=119" TargetMode="External" Id="rId227"/><Relationship Type="http://schemas.openxmlformats.org/officeDocument/2006/relationships/hyperlink" Target="https://vanillabonds.com/dossier-data/pdf/fastned/fastned-2023-annual-report.pdf#page=131" TargetMode="External" Id="rId228"/><Relationship Type="http://schemas.openxmlformats.org/officeDocument/2006/relationships/hyperlink" Target="https://vanillabonds.com/dossier-data/pdf/fastned/fastned-2023-annual-report.pdf#page=141" TargetMode="External" Id="rId229"/><Relationship Type="http://schemas.openxmlformats.org/officeDocument/2006/relationships/hyperlink" Target="https://vanillabonds.com/dossier-data/pdf/fastned/fastned-2023-annual-report.pdf#page=186" TargetMode="External" Id="rId230"/><Relationship Type="http://schemas.openxmlformats.org/officeDocument/2006/relationships/hyperlink" Target="https://vanillabonds.com/dossier-data/pdf/fastned/fastned-2023-annual-report.pdf#page=193" TargetMode="External" Id="rId231"/><Relationship Type="http://schemas.openxmlformats.org/officeDocument/2006/relationships/hyperlink" Target="https://vanillabonds.com/dossier-data/pdf/fastned/fastned-2023-annual-report.pdf#page=14" TargetMode="External" Id="rId232"/><Relationship Type="http://schemas.openxmlformats.org/officeDocument/2006/relationships/hyperlink" Target="https://vanillabonds.com/dossier-data/pdf/fastned/fastned-2023-annual-report.pdf#page=27" TargetMode="External" Id="rId233"/><Relationship Type="http://schemas.openxmlformats.org/officeDocument/2006/relationships/hyperlink" Target="https://vanillabonds.com/dossier-data/pdf/fastned/fastned-2023-annual-report.pdf#page=27" TargetMode="External" Id="rId234"/><Relationship Type="http://schemas.openxmlformats.org/officeDocument/2006/relationships/hyperlink" Target="https://vanillabonds.com/dossier-data/pdf/fastned/fastned-2023-annual-report.pdf#page=28" TargetMode="External" Id="rId235"/><Relationship Type="http://schemas.openxmlformats.org/officeDocument/2006/relationships/hyperlink" Target="https://vanillabonds.com/dossier-data/pdf/fastned/fastned-2023-annual-report.pdf#page=29" TargetMode="External" Id="rId236"/><Relationship Type="http://schemas.openxmlformats.org/officeDocument/2006/relationships/hyperlink" Target="https://vanillabonds.com/dossier-data/pdf/fastned/fastned-2023-annual-report.pdf#page=29" TargetMode="External" Id="rId237"/><Relationship Type="http://schemas.openxmlformats.org/officeDocument/2006/relationships/hyperlink" Target="https://vanillabonds.com/dossier-data/pdf/fastned/fastned-2023-annual-report.pdf#page=119" TargetMode="External" Id="rId238"/><Relationship Type="http://schemas.openxmlformats.org/officeDocument/2006/relationships/hyperlink" Target="https://vanillabonds.com/dossier-data/pdf/fastned/fastned-2023-annual-report.pdf#page=197" TargetMode="External" Id="rId239"/><Relationship Type="http://schemas.openxmlformats.org/officeDocument/2006/relationships/hyperlink" Target="https://vanillabonds.com/dossier-data/pdf/fastned/fastned-2023-annual-report.pdf#page=197" TargetMode="External" Id="rId240"/><Relationship Type="http://schemas.openxmlformats.org/officeDocument/2006/relationships/hyperlink" Target="https://vanillabonds.com/dossier-data/pdf/fastned/fastned-2023-annual-report.pdf#page=3" TargetMode="External" Id="rId241"/><Relationship Type="http://schemas.openxmlformats.org/officeDocument/2006/relationships/hyperlink" Target="https://vanillabonds.com/dossier-data/pdf/fastned/fastned-2023-annual-report.pdf#page=22" TargetMode="External" Id="rId242"/><Relationship Type="http://schemas.openxmlformats.org/officeDocument/2006/relationships/hyperlink" Target="https://vanillabonds.com/dossier-data/pdf/fastned/fastned-2023-annual-report.pdf#page=22" TargetMode="External" Id="rId243"/><Relationship Type="http://schemas.openxmlformats.org/officeDocument/2006/relationships/hyperlink" Target="https://vanillabonds.com/dossier-data/pdf/fastned/fastned-2023-annual-report.pdf#page=23" TargetMode="External" Id="rId244"/><Relationship Type="http://schemas.openxmlformats.org/officeDocument/2006/relationships/hyperlink" Target="https://vanillabonds.com/dossier-data/pdf/fastned/fastned-2023-annual-report.pdf#page=23" TargetMode="External" Id="rId245"/><Relationship Type="http://schemas.openxmlformats.org/officeDocument/2006/relationships/hyperlink" Target="https://vanillabonds.com/dossier-data/pdf/fastned/fastned-2023-annual-report.pdf#page=24" TargetMode="External" Id="rId246"/><Relationship Type="http://schemas.openxmlformats.org/officeDocument/2006/relationships/hyperlink" Target="https://vanillabonds.com/dossier-data/pdf/fastned/fastned-2023-annual-report.pdf#page=24" TargetMode="External" Id="rId247"/><Relationship Type="http://schemas.openxmlformats.org/officeDocument/2006/relationships/hyperlink" Target="https://vanillabonds.com/dossier-data/pdf/fastned/fastned-2023-annual-report.pdf#page=74" TargetMode="External" Id="rId248"/><Relationship Type="http://schemas.openxmlformats.org/officeDocument/2006/relationships/hyperlink" Target="https://vanillabonds.com/dossier-data/pdf/fastned/fastned-2023-annual-report.pdf#page=122" TargetMode="External" Id="rId249"/><Relationship Type="http://schemas.openxmlformats.org/officeDocument/2006/relationships/hyperlink" Target="https://vanillabonds.com/dossier-data/pdf/fastned/fastned-2023-annual-report.pdf#page=122" TargetMode="External" Id="rId250"/><Relationship Type="http://schemas.openxmlformats.org/officeDocument/2006/relationships/hyperlink" Target="https://vanillabonds.com/dossier-data/pdf/fastned/fastned-2023-annual-report.pdf#page=6" TargetMode="External" Id="rId251"/><Relationship Type="http://schemas.openxmlformats.org/officeDocument/2006/relationships/hyperlink" Target="https://vanillabonds.com/dossier-data/pdf/fastned/fastned-2023-annual-report.pdf#page=15" TargetMode="External" Id="rId252"/><Relationship Type="http://schemas.openxmlformats.org/officeDocument/2006/relationships/hyperlink" Target="https://vanillabonds.com/dossier-data/pdf/fastned/fastned-2023-annual-report.pdf#page=18" TargetMode="External" Id="rId253"/><Relationship Type="http://schemas.openxmlformats.org/officeDocument/2006/relationships/hyperlink" Target="https://vanillabonds.com/dossier-data/pdf/fastned/fastned-2023-annual-report.pdf#page=18" TargetMode="External" Id="rId254"/><Relationship Type="http://schemas.openxmlformats.org/officeDocument/2006/relationships/hyperlink" Target="https://vanillabonds.com/dossier-data/pdf/fastned/fastned-2023-annual-report.pdf#page=140" TargetMode="External" Id="rId255"/><Relationship Type="http://schemas.openxmlformats.org/officeDocument/2006/relationships/hyperlink" Target="https://vanillabonds.com/dossier-data/pdf/fastned/fastned-2023-annual-report.pdf#page=150" TargetMode="External" Id="rId256"/><Relationship Type="http://schemas.openxmlformats.org/officeDocument/2006/relationships/hyperlink" Target="https://vanillabonds.com/dossier-data/pdf/fastned/fastned-2023-annual-report.pdf#page=136" TargetMode="External" Id="rId257"/><Relationship Type="http://schemas.openxmlformats.org/officeDocument/2006/relationships/hyperlink" Target="https://vanillabonds.com/dossier-data/pdf/fastned/fastned-2023-annual-report.pdf#page=38" TargetMode="External" Id="rId258"/><Relationship Type="http://schemas.openxmlformats.org/officeDocument/2006/relationships/hyperlink" Target="https://vanillabonds.com/dossier-data/pdf/fastned/fastned-2023-annual-report.pdf#page=56" TargetMode="External" Id="rId259"/><Relationship Type="http://schemas.openxmlformats.org/officeDocument/2006/relationships/hyperlink" Target="https://vanillabonds.com/dossier-data/pdf/fastned/fastned-2023-annual-report.pdf#page=95" TargetMode="External" Id="rId260"/><Relationship Type="http://schemas.openxmlformats.org/officeDocument/2006/relationships/hyperlink" Target="https://vanillabonds.com/dossier-data/pdf/fastned/fastned-2023-annual-report.pdf#page=95" TargetMode="External" Id="rId261"/><Relationship Type="http://schemas.openxmlformats.org/officeDocument/2006/relationships/hyperlink" Target="https://vanillabonds.com/dossier-data/pdf/fastned/fastned-2023-annual-report.pdf#page=159" TargetMode="External" Id="rId262"/><Relationship Type="http://schemas.openxmlformats.org/officeDocument/2006/relationships/hyperlink" Target="https://vanillabonds.com/dossier-data/pdf/fastned/fastned-2023-annual-report.pdf#page=159" TargetMode="External" Id="rId263"/><Relationship Type="http://schemas.openxmlformats.org/officeDocument/2006/relationships/hyperlink" Target="https://vanillabonds.com/dossier-data/pdf/fastned/fastned-2023-annual-report.pdf#page=136" TargetMode="External" Id="rId264"/><Relationship Type="http://schemas.openxmlformats.org/officeDocument/2006/relationships/hyperlink" Target="https://vanillabonds.com/dossier-data/pdf/fastned/fastned-2023-annual-report.pdf#page=117" TargetMode="External" Id="rId265"/><Relationship Type="http://schemas.openxmlformats.org/officeDocument/2006/relationships/hyperlink" Target="https://vanillabonds.com/dossier-data/pdf/fastned/fastned-2023-annual-report.pdf#page=117" TargetMode="External" Id="rId266"/><Relationship Type="http://schemas.openxmlformats.org/officeDocument/2006/relationships/hyperlink" Target="https://vanillabonds.com/dossier-data/pdf/fastned/fastned-2023-annual-report.pdf#page=117" TargetMode="External" Id="rId267"/><Relationship Type="http://schemas.openxmlformats.org/officeDocument/2006/relationships/hyperlink" Target="https://vanillabonds.com/dossier-data/pdf/fastned/fastned-2023-annual-report.pdf#page=118" TargetMode="External" Id="rId268"/><Relationship Type="http://schemas.openxmlformats.org/officeDocument/2006/relationships/hyperlink" Target="https://vanillabonds.com/dossier-data/pdf/fastned/fastned-2023-annual-report.pdf#page=170" TargetMode="External" Id="rId269"/><Relationship Type="http://schemas.openxmlformats.org/officeDocument/2006/relationships/hyperlink" Target="https://vanillabonds.com/dossier-data/pdf/fastned/fastned-2023-annual-report.pdf#page=170" TargetMode="External" Id="rId270"/><Relationship Type="http://schemas.openxmlformats.org/officeDocument/2006/relationships/hyperlink" Target="https://vanillabonds.com/dossier-data/pdf/fastned/fastned-2023-annual-report.pdf#page=170" TargetMode="External" Id="rId271"/><Relationship Type="http://schemas.openxmlformats.org/officeDocument/2006/relationships/hyperlink" Target="https://vanillabonds.com/dossier-data/pdf/fastned/fastned-2023-annual-report.pdf#page=170" TargetMode="External" Id="rId272"/><Relationship Type="http://schemas.openxmlformats.org/officeDocument/2006/relationships/hyperlink" Target="https://vanillabonds.com/dossier-data/pdf/fastned/fastned-2023-annual-report.pdf#page=170" TargetMode="External" Id="rId273"/><Relationship Type="http://schemas.openxmlformats.org/officeDocument/2006/relationships/hyperlink" Target="https://vanillabonds.com/dossier-data/pdf/fastned/fastned-2023-annual-report.pdf#page=170" TargetMode="External" Id="rId274"/><Relationship Type="http://schemas.openxmlformats.org/officeDocument/2006/relationships/hyperlink" Target="https://vanillabonds.com/dossier-data/pdf/fastned/fastned-2023-annual-report.pdf#page=170" TargetMode="External" Id="rId275"/><Relationship Type="http://schemas.openxmlformats.org/officeDocument/2006/relationships/hyperlink" Target="https://vanillabonds.com/dossier-data/pdf/fastned/fastned-2023-annual-report.pdf#page=170" TargetMode="External" Id="rId276"/><Relationship Type="http://schemas.openxmlformats.org/officeDocument/2006/relationships/hyperlink" Target="https://vanillabonds.com/dossier-data/pdf/fastned/fastned-2023-annual-report.pdf#page=170" TargetMode="External" Id="rId277"/><Relationship Type="http://schemas.openxmlformats.org/officeDocument/2006/relationships/hyperlink" Target="https://vanillabonds.com/dossier-data/pdf/fastned/fastned-2023-annual-report.pdf#page=170" TargetMode="External" Id="rId278"/><Relationship Type="http://schemas.openxmlformats.org/officeDocument/2006/relationships/hyperlink" Target="https://vanillabonds.com/dossier-data/pdf/fastned/fastned-2023-annual-report.pdf#page=170" TargetMode="External" Id="rId279"/><Relationship Type="http://schemas.openxmlformats.org/officeDocument/2006/relationships/hyperlink" Target="https://vanillabonds.com/dossier-data/pdf/fastned/fastned-2023-annual-report.pdf#page=80" TargetMode="External" Id="rId280"/><Relationship Type="http://schemas.openxmlformats.org/officeDocument/2006/relationships/hyperlink" Target="https://vanillabonds.com/dossier-data/pdf/fastned/fastned-2023-annual-report.pdf#page=80" TargetMode="External" Id="rId281"/><Relationship Type="http://schemas.openxmlformats.org/officeDocument/2006/relationships/hyperlink" Target="https://vanillabonds.com/dossier-data/pdf/fastned/fastned-2023-annual-report.pdf#page=81" TargetMode="External" Id="rId282"/><Relationship Type="http://schemas.openxmlformats.org/officeDocument/2006/relationships/hyperlink" Target="https://vanillabonds.com/dossier-data/pdf/fastned/fastned-2023-annual-report.pdf#page=82" TargetMode="External" Id="rId283"/><Relationship Type="http://schemas.openxmlformats.org/officeDocument/2006/relationships/hyperlink" Target="https://vanillabonds.com/dossier-data/pdf/fastned/fastned-2023-annual-report.pdf#page=83" TargetMode="External" Id="rId284"/><Relationship Type="http://schemas.openxmlformats.org/officeDocument/2006/relationships/hyperlink" Target="https://vanillabonds.com/dossier-data/pdf/fastned/fastned-2023-annual-report.pdf#page=83" TargetMode="External" Id="rId285"/><Relationship Type="http://schemas.openxmlformats.org/officeDocument/2006/relationships/hyperlink" Target="https://vanillabonds.com/dossier-data/pdf/fastned/fastned-2023-annual-report.pdf#page=83" TargetMode="External" Id="rId286"/><Relationship Type="http://schemas.openxmlformats.org/officeDocument/2006/relationships/hyperlink" Target="https://vanillabonds.com/dossier-data/pdf/fastned/fastned-2023-annual-report.pdf#page=85" TargetMode="External" Id="rId287"/><Relationship Type="http://schemas.openxmlformats.org/officeDocument/2006/relationships/hyperlink" Target="https://vanillabonds.com/dossier-data/pdf/fastned/fastned-2023-annual-report.pdf#page=85" TargetMode="External" Id="rId288"/><Relationship Type="http://schemas.openxmlformats.org/officeDocument/2006/relationships/hyperlink" Target="https://vanillabonds.com/dossier-data/pdf/fastned/fastned-2023-annual-report.pdf#page=118" TargetMode="External" Id="rId289"/><Relationship Type="http://schemas.openxmlformats.org/officeDocument/2006/relationships/hyperlink" Target="https://vanillabonds.com/dossier-data/pdf/fastned/fastned-2023-annual-report.pdf#page=118" TargetMode="External" Id="rId290"/><Relationship Type="http://schemas.openxmlformats.org/officeDocument/2006/relationships/hyperlink" Target="https://vanillabonds.com/dossier-data/pdf/fastned/fastned-2023-annual-report.pdf#page=153" TargetMode="External" Id="rId291"/><Relationship Type="http://schemas.openxmlformats.org/officeDocument/2006/relationships/hyperlink" Target="https://vanillabonds.com/dossier-data/pdf/fastned/fastned-2023-annual-report.pdf#page=153" TargetMode="External" Id="rId292"/><Relationship Type="http://schemas.openxmlformats.org/officeDocument/2006/relationships/hyperlink" Target="https://vanillabonds.com/dossier-data/pdf/fastned/fastned-2023-annual-report.pdf#page=153" TargetMode="External" Id="rId293"/><Relationship Type="http://schemas.openxmlformats.org/officeDocument/2006/relationships/hyperlink" Target="https://vanillabonds.com/dossier-data/pdf/fastned/fastned-2023-annual-report.pdf#page=153" TargetMode="External" Id="rId294"/><Relationship Type="http://schemas.openxmlformats.org/officeDocument/2006/relationships/hyperlink" Target="https://vanillabonds.com/dossier-data/pdf/fastned/fastned-2023-annual-report.pdf#page=155" TargetMode="External" Id="rId295"/><Relationship Type="http://schemas.openxmlformats.org/officeDocument/2006/relationships/hyperlink" Target="https://vanillabonds.com/dossier-data/pdf/fastned/fastned-2023-annual-report.pdf#page=175" TargetMode="External" Id="rId296"/><Relationship Type="http://schemas.openxmlformats.org/officeDocument/2006/relationships/hyperlink" Target="https://vanillabonds.com/dossier-data/pdf/fastned/fastned-2023-annual-report.pdf#page=175" TargetMode="External" Id="rId297"/><Relationship Type="http://schemas.openxmlformats.org/officeDocument/2006/relationships/hyperlink" Target="https://vanillabonds.com/dossier-data/pdf/fastned/fastned-2023-annual-report.pdf#page=72" TargetMode="External" Id="rId298"/><Relationship Type="http://schemas.openxmlformats.org/officeDocument/2006/relationships/hyperlink" Target="https://vanillabonds.com/dossier-data/pdf/fastned/fastned-2023-annual-report.pdf#page=123" TargetMode="External" Id="rId299"/><Relationship Type="http://schemas.openxmlformats.org/officeDocument/2006/relationships/hyperlink" Target="https://vanillabonds.com/dossier-data/pdf/fastned/fastned-2023-annual-report.pdf#page=134" TargetMode="External" Id="rId300"/><Relationship Type="http://schemas.openxmlformats.org/officeDocument/2006/relationships/hyperlink" Target="https://vanillabonds.com/dossier-data/pdf/fastned/fastned-2023-annual-report.pdf#page=151" TargetMode="External" Id="rId301"/><Relationship Type="http://schemas.openxmlformats.org/officeDocument/2006/relationships/hyperlink" Target="https://vanillabonds.com/dossier-data/pdf/fastned/fastned-2023-annual-report.pdf#page=151" TargetMode="External" Id="rId302"/><Relationship Type="http://schemas.openxmlformats.org/officeDocument/2006/relationships/hyperlink" Target="https://vanillabonds.com/dossier-data/pdf/fastned/fastned-2023-annual-report.pdf#page=155" TargetMode="External" Id="rId303"/><Relationship Type="http://schemas.openxmlformats.org/officeDocument/2006/relationships/hyperlink" Target="https://vanillabonds.com/dossier-data/pdf/fastned/fastned-2023-annual-report.pdf#page=69" TargetMode="External" Id="rId304"/><Relationship Type="http://schemas.openxmlformats.org/officeDocument/2006/relationships/hyperlink" Target="https://vanillabonds.com/dossier-data/pdf/fastned/fastned-2023-annual-report.pdf#page=27" TargetMode="External" Id="rId305"/><Relationship Type="http://schemas.openxmlformats.org/officeDocument/2006/relationships/hyperlink" Target="https://vanillabonds.com/dossier-data/pdf/fastned/fastned-2023-annual-report.pdf#page=27" TargetMode="External" Id="rId306"/><Relationship Type="http://schemas.openxmlformats.org/officeDocument/2006/relationships/hyperlink" Target="https://vanillabonds.com/dossier-data/pdf/fastned/fastned-2023-annual-report.pdf#page=27" TargetMode="External" Id="rId307"/><Relationship Type="http://schemas.openxmlformats.org/officeDocument/2006/relationships/hyperlink" Target="https://vanillabonds.com/dossier-data/pdf/fastned/fastned-2023-annual-report.pdf#page=36" TargetMode="External" Id="rId308"/><Relationship Type="http://schemas.openxmlformats.org/officeDocument/2006/relationships/hyperlink" Target="https://vanillabonds.com/dossier-data/pdf/fastned/fastned-2023-annual-report.pdf#page=150" TargetMode="External" Id="rId309"/><Relationship Type="http://schemas.openxmlformats.org/officeDocument/2006/relationships/hyperlink" Target="https://vanillabonds.com/dossier-data/pdf/fastned/fastned-2023-annual-report.pdf#page=18" TargetMode="External" Id="rId310"/><Relationship Type="http://schemas.openxmlformats.org/officeDocument/2006/relationships/hyperlink" Target="https://vanillabonds.com/dossier-data/pdf/fastned/fastned-2023-annual-report.pdf#page=27" TargetMode="External" Id="rId311"/><Relationship Type="http://schemas.openxmlformats.org/officeDocument/2006/relationships/hyperlink" Target="https://vanillabonds.com/dossier-data/pdf/fastned/fastned-2023-annual-report.pdf#page=28" TargetMode="External" Id="rId312"/><Relationship Type="http://schemas.openxmlformats.org/officeDocument/2006/relationships/hyperlink" Target="https://vanillabonds.com/dossier-data/pdf/fastned/fastned-2023-annual-report.pdf#page=29" TargetMode="External" Id="rId313"/><Relationship Type="http://schemas.openxmlformats.org/officeDocument/2006/relationships/hyperlink" Target="https://vanillabonds.com/dossier-data/pdf/fastned/fastned-2023-annual-report.pdf#page=41" TargetMode="External" Id="rId314"/><Relationship Type="http://schemas.openxmlformats.org/officeDocument/2006/relationships/hyperlink" Target="https://vanillabonds.com/dossier-data/pdf/fastned/fastned-2023-annual-report.pdf#page=63" TargetMode="External" Id="rId315"/><Relationship Type="http://schemas.openxmlformats.org/officeDocument/2006/relationships/hyperlink" Target="https://vanillabonds.com/dossier-data/pdf/fastned/fastned-2023-annual-report.pdf#page=191" TargetMode="External" Id="rId316"/><Relationship Type="http://schemas.openxmlformats.org/officeDocument/2006/relationships/hyperlink" Target="https://vanillabonds.com/dossier-data/pdf/fastned/fastned-2023-annual-report.pdf#page=193" TargetMode="External" Id="rId317"/><Relationship Type="http://schemas.openxmlformats.org/officeDocument/2006/relationships/hyperlink" Target="https://vanillabonds.com/dossier-data/pdf/fastned/fastned-2023-annual-report.pdf#page=199" TargetMode="External" Id="rId318"/><Relationship Type="http://schemas.openxmlformats.org/officeDocument/2006/relationships/hyperlink" Target="https://vanillabonds.com/dossier-data/pdf/fastned/fastned-2023-annual-report.pdf#page=19" TargetMode="External" Id="rId319"/><Relationship Type="http://schemas.openxmlformats.org/officeDocument/2006/relationships/hyperlink" Target="https://vanillabonds.com/dossier-data/pdf/fastned/fastned-2023-annual-report.pdf#page=27" TargetMode="External" Id="rId320"/><Relationship Type="http://schemas.openxmlformats.org/officeDocument/2006/relationships/hyperlink" Target="https://vanillabonds.com/dossier-data/pdf/fastned/fastned-2023-annual-report.pdf#page=18" TargetMode="External" Id="rId321"/><Relationship Type="http://schemas.openxmlformats.org/officeDocument/2006/relationships/hyperlink" Target="https://vanillabonds.com/dossier-data/pdf/fastned/fastned-2023-annual-report.pdf#page=45" TargetMode="External" Id="rId322"/><Relationship Type="http://schemas.openxmlformats.org/officeDocument/2006/relationships/hyperlink" Target="https://vanillabonds.com/dossier-data/pdf/fastned/fastned-2023-annual-report.pdf#page=115" TargetMode="External" Id="rId323"/><Relationship Type="http://schemas.openxmlformats.org/officeDocument/2006/relationships/hyperlink" Target="https://vanillabonds.com/dossier-data/pdf/fastned/fastned-2023-annual-report.pdf#page=119" TargetMode="External" Id="rId324"/><Relationship Type="http://schemas.openxmlformats.org/officeDocument/2006/relationships/hyperlink" Target="https://vanillabonds.com/dossier-data/pdf/fastned/fastned-2023-annual-report.pdf#page=155" TargetMode="External" Id="rId325"/><Relationship Type="http://schemas.openxmlformats.org/officeDocument/2006/relationships/hyperlink" Target="https://vanillabonds.com/dossier-data/pdf/fastned/fastned-2023-annual-report.pdf#page=36" TargetMode="External" Id="rId326"/><Relationship Type="http://schemas.openxmlformats.org/officeDocument/2006/relationships/hyperlink" Target="https://vanillabonds.com/dossier-data/pdf/fastned/fastned-2023-annual-report.pdf#page=36" TargetMode="External" Id="rId327"/><Relationship Type="http://schemas.openxmlformats.org/officeDocument/2006/relationships/hyperlink" Target="https://vanillabonds.com/dossier-data/pdf/fastned/fastned-2023-annual-report.pdf#page=37" TargetMode="External" Id="rId328"/><Relationship Type="http://schemas.openxmlformats.org/officeDocument/2006/relationships/hyperlink" Target="https://vanillabonds.com/dossier-data/pdf/fastned/fastned-2023-annual-report.pdf#page=124" TargetMode="External" Id="rId329"/><Relationship Type="http://schemas.openxmlformats.org/officeDocument/2006/relationships/hyperlink" Target="https://vanillabonds.com/dossier-data/pdf/fastned/fastned-2023-annual-report.pdf#page=56" TargetMode="External" Id="rId330"/><Relationship Type="http://schemas.openxmlformats.org/officeDocument/2006/relationships/hyperlink" Target="https://vanillabonds.com/dossier-data/pdf/fastned/fastned-2023-annual-report.pdf#page=129" TargetMode="External" Id="rId331"/><Relationship Type="http://schemas.openxmlformats.org/officeDocument/2006/relationships/hyperlink" Target="https://vanillabonds.com/dossier-data/pdf/fastned/fastned-2023-annual-report.pdf#page=36" TargetMode="External" Id="rId332"/><Relationship Type="http://schemas.openxmlformats.org/officeDocument/2006/relationships/hyperlink" Target="https://vanillabonds.com/dossier-data/pdf/fastned/fastned-2023-annual-report.pdf#page=36" TargetMode="External" Id="rId333"/><Relationship Type="http://schemas.openxmlformats.org/officeDocument/2006/relationships/hyperlink" Target="https://vanillabonds.com/dossier-data/pdf/fastned/fastned-2023-annual-report.pdf#page=88" TargetMode="External" Id="rId334"/><Relationship Type="http://schemas.openxmlformats.org/officeDocument/2006/relationships/hyperlink" Target="https://vanillabonds.com/dossier-data/pdf/fastned/fastned-2023-annual-report.pdf#page=37" TargetMode="External" Id="rId335"/><Relationship Type="http://schemas.openxmlformats.org/officeDocument/2006/relationships/hyperlink" Target="https://vanillabonds.com/dossier-data/pdf/fastned/fastned-2023-annual-report.pdf#page=37" TargetMode="External" Id="rId336"/><Relationship Type="http://schemas.openxmlformats.org/officeDocument/2006/relationships/hyperlink" Target="https://vanillabonds.com/dossier-data/pdf/fastned/fastned-2023-annual-report.pdf#page=134" TargetMode="External" Id="rId337"/><Relationship Type="http://schemas.openxmlformats.org/officeDocument/2006/relationships/hyperlink" Target="https://vanillabonds.com/dossier-data/pdf/fastned/fastned-2023-annual-report.pdf#page=37" TargetMode="External" Id="rId338"/><Relationship Type="http://schemas.openxmlformats.org/officeDocument/2006/relationships/hyperlink" Target="https://vanillabonds.com/dossier-data/pdf/fastned/fastned-2023-annual-report.pdf#page=37" TargetMode="External" Id="rId339"/><Relationship Type="http://schemas.openxmlformats.org/officeDocument/2006/relationships/hyperlink" Target="https://vanillabonds.com/dossier-data/pdf/fastned/fastned-2023-annual-report.pdf#page=37" TargetMode="External" Id="rId340"/><Relationship Type="http://schemas.openxmlformats.org/officeDocument/2006/relationships/hyperlink" Target="https://vanillabonds.com/dossier-data/pdf/fastned/fastned-2023-annual-report.pdf#page=123" TargetMode="External" Id="rId341"/><Relationship Type="http://schemas.openxmlformats.org/officeDocument/2006/relationships/hyperlink" Target="https://vanillabonds.com/dossier-data/pdf/fastned/fastned-2023-annual-report.pdf#page=123" TargetMode="External" Id="rId342"/><Relationship Type="http://schemas.openxmlformats.org/officeDocument/2006/relationships/hyperlink" Target="https://vanillabonds.com/dossier-data/pdf/fastned/fastned-2023-annual-report.pdf#page=124" TargetMode="External" Id="rId343"/><Relationship Type="http://schemas.openxmlformats.org/officeDocument/2006/relationships/hyperlink" Target="https://vanillabonds.com/dossier-data/pdf/fastned/fastned-2023-annual-report.pdf#page=133" TargetMode="External" Id="rId344"/><Relationship Type="http://schemas.openxmlformats.org/officeDocument/2006/relationships/hyperlink" Target="https://vanillabonds.com/dossier-data/pdf/fastned/fastned-2023-annual-report.pdf#page=135" TargetMode="External" Id="rId345"/><Relationship Type="http://schemas.openxmlformats.org/officeDocument/2006/relationships/hyperlink" Target="https://vanillabonds.com/dossier-data/pdf/fastned/fastned-2023-annual-report.pdf#page=143" TargetMode="External" Id="rId346"/><Relationship Type="http://schemas.openxmlformats.org/officeDocument/2006/relationships/hyperlink" Target="https://vanillabonds.com/dossier-data/pdf/fastned/fastned-2023-annual-report.pdf#page=150" TargetMode="External" Id="rId347"/><Relationship Type="http://schemas.openxmlformats.org/officeDocument/2006/relationships/hyperlink" Target="https://vanillabonds.com/dossier-data/pdf/fastned/fastned-2023-annual-report.pdf#page=179" TargetMode="External" Id="rId348"/><Relationship Type="http://schemas.openxmlformats.org/officeDocument/2006/relationships/hyperlink" Target="https://vanillabonds.com/dossier-data/pdf/fastned/fastned-2023-annual-report.pdf#page=179" TargetMode="External" Id="rId349"/><Relationship Type="http://schemas.openxmlformats.org/officeDocument/2006/relationships/hyperlink" Target="https://vanillabonds.com/dossier-data/pdf/fastned/fastned-2023-annual-report.pdf#page=181" TargetMode="External" Id="rId350"/><Relationship Type="http://schemas.openxmlformats.org/officeDocument/2006/relationships/hyperlink" Target="https://vanillabonds.com/dossier-data/pdf/fastned/fastned-2023-annual-report.pdf#page=183" TargetMode="External" Id="rId351"/><Relationship Type="http://schemas.openxmlformats.org/officeDocument/2006/relationships/hyperlink" Target="https://vanillabonds.com/dossier-data/pdf/fastned/fastned-2023-annual-report.pdf#page=184" TargetMode="External" Id="rId352"/><Relationship Type="http://schemas.openxmlformats.org/officeDocument/2006/relationships/hyperlink" Target="https://vanillabonds.com/dossier-data/pdf/fastned/fastned-2023-annual-report.pdf#page=185" TargetMode="External" Id="rId353"/><Relationship Type="http://schemas.openxmlformats.org/officeDocument/2006/relationships/hyperlink" Target="https://vanillabonds.com/dossier-data/pdf/fastned/fastned-2023-annual-report.pdf#page=186" TargetMode="External" Id="rId354"/><Relationship Type="http://schemas.openxmlformats.org/officeDocument/2006/relationships/hyperlink" Target="https://vanillabonds.com/dossier-data/pdf/fastned/fastned-2023-annual-report.pdf#page=190" TargetMode="External" Id="rId355"/><Relationship Type="http://schemas.openxmlformats.org/officeDocument/2006/relationships/hyperlink" Target="https://vanillabonds.com/dossier-data/pdf/fastned/fastned-2023-annual-report.pdf#page=91" TargetMode="External" Id="rId356"/><Relationship Type="http://schemas.openxmlformats.org/officeDocument/2006/relationships/hyperlink" Target="https://vanillabonds.com/dossier-data/pdf/fastned/fastned-2023-annual-report.pdf#page=114" TargetMode="External" Id="rId357"/><Relationship Type="http://schemas.openxmlformats.org/officeDocument/2006/relationships/hyperlink" Target="https://vanillabonds.com/dossier-data/pdf/fastned/fastned-2023-annual-report.pdf#page=114" TargetMode="External" Id="rId358"/><Relationship Type="http://schemas.openxmlformats.org/officeDocument/2006/relationships/hyperlink" Target="https://vanillabonds.com/dossier-data/pdf/fastned/fastned-2023-annual-report.pdf#page=125" TargetMode="External" Id="rId359"/><Relationship Type="http://schemas.openxmlformats.org/officeDocument/2006/relationships/hyperlink" Target="https://vanillabonds.com/dossier-data/pdf/fastned/fastned-2023-annual-report.pdf#page=126" TargetMode="External" Id="rId360"/><Relationship Type="http://schemas.openxmlformats.org/officeDocument/2006/relationships/hyperlink" Target="https://vanillabonds.com/dossier-data/pdf/fastned/fastned-2023-annual-report.pdf#page=126" TargetMode="External" Id="rId361"/><Relationship Type="http://schemas.openxmlformats.org/officeDocument/2006/relationships/hyperlink" Target="https://vanillabonds.com/dossier-data/pdf/fastned/fastned-2023-annual-report.pdf#page=128" TargetMode="External" Id="rId362"/><Relationship Type="http://schemas.openxmlformats.org/officeDocument/2006/relationships/hyperlink" Target="https://vanillabonds.com/dossier-data/pdf/fastned/fastned-2023-annual-report.pdf#page=89" TargetMode="External" Id="rId363"/><Relationship Type="http://schemas.openxmlformats.org/officeDocument/2006/relationships/hyperlink" Target="https://vanillabonds.com/dossier-data/pdf/fastned/fastned-2023-annual-report.pdf#page=89" TargetMode="External" Id="rId364"/><Relationship Type="http://schemas.openxmlformats.org/officeDocument/2006/relationships/hyperlink" Target="https://vanillabonds.com/dossier-data/pdf/fastned/fastned-2023-annual-report.pdf#page=121" TargetMode="External" Id="rId365"/><Relationship Type="http://schemas.openxmlformats.org/officeDocument/2006/relationships/hyperlink" Target="https://vanillabonds.com/dossier-data/pdf/fastned/fastned-2023-annual-report.pdf#page=121" TargetMode="External" Id="rId366"/><Relationship Type="http://schemas.openxmlformats.org/officeDocument/2006/relationships/hyperlink" Target="https://vanillabonds.com/dossier-data/pdf/fastned/fastned-2023-annual-report.pdf#page=121" TargetMode="External" Id="rId367"/><Relationship Type="http://schemas.openxmlformats.org/officeDocument/2006/relationships/hyperlink" Target="https://vanillabonds.com/dossier-data/pdf/fastned/fastned-2023-annual-report.pdf#page=121" TargetMode="External" Id="rId368"/><Relationship Type="http://schemas.openxmlformats.org/officeDocument/2006/relationships/hyperlink" Target="https://vanillabonds.com/dossier-data/pdf/fastned/fastned-2023-annual-report.pdf#page=121" TargetMode="External" Id="rId369"/><Relationship Type="http://schemas.openxmlformats.org/officeDocument/2006/relationships/hyperlink" Target="https://vanillabonds.com/dossier-data/pdf/fastned/fastned-2023-annual-report.pdf#page=121" TargetMode="External" Id="rId370"/><Relationship Type="http://schemas.openxmlformats.org/officeDocument/2006/relationships/hyperlink" Target="https://vanillabonds.com/dossier-data/pdf/fastned/fastned-2023-annual-report.pdf#page=89" TargetMode="External" Id="rId371"/><Relationship Type="http://schemas.openxmlformats.org/officeDocument/2006/relationships/hyperlink" Target="https://vanillabonds.com/dossier-data/pdf/fastned/fastned-2023-annual-report.pdf#page=89" TargetMode="External" Id="rId372"/><Relationship Type="http://schemas.openxmlformats.org/officeDocument/2006/relationships/hyperlink" Target="https://vanillabonds.com/dossier-data/pdf/fastned/fastned-2023-annual-report.pdf#page=120" TargetMode="External" Id="rId373"/><Relationship Type="http://schemas.openxmlformats.org/officeDocument/2006/relationships/hyperlink" Target="https://vanillabonds.com/dossier-data/pdf/fastned/fastned-2023-annual-report.pdf#page=120" TargetMode="External" Id="rId374"/><Relationship Type="http://schemas.openxmlformats.org/officeDocument/2006/relationships/hyperlink" Target="https://vanillabonds.com/dossier-data/pdf/fastned/fastned-2023-annual-report.pdf#page=120" TargetMode="External" Id="rId375"/><Relationship Type="http://schemas.openxmlformats.org/officeDocument/2006/relationships/hyperlink" Target="https://vanillabonds.com/dossier-data/pdf/fastned/fastned-2023-annual-report.pdf#page=120" TargetMode="External" Id="rId376"/><Relationship Type="http://schemas.openxmlformats.org/officeDocument/2006/relationships/hyperlink" Target="https://vanillabonds.com/dossier-data/pdf/fastned/fastned-2023-annual-report.pdf#page=120" TargetMode="External" Id="rId377"/><Relationship Type="http://schemas.openxmlformats.org/officeDocument/2006/relationships/hyperlink" Target="https://vanillabonds.com/dossier-data/pdf/fastned/fastned-2023-annual-report.pdf#page=120" TargetMode="External" Id="rId378"/><Relationship Type="http://schemas.openxmlformats.org/officeDocument/2006/relationships/hyperlink" Target="https://vanillabonds.com/dossier-data/pdf/fastned/fastned-2023-annual-report.pdf#page=95" TargetMode="External" Id="rId379"/><Relationship Type="http://schemas.openxmlformats.org/officeDocument/2006/relationships/hyperlink" Target="https://vanillabonds.com/dossier-data/pdf/fastned/fastned-2023-annual-report.pdf#page=95" TargetMode="External" Id="rId380"/><Relationship Type="http://schemas.openxmlformats.org/officeDocument/2006/relationships/hyperlink" Target="https://vanillabonds.com/dossier-data/pdf/fastned/fastned-2023-annual-report.pdf#page=110" TargetMode="External" Id="rId381"/><Relationship Type="http://schemas.openxmlformats.org/officeDocument/2006/relationships/hyperlink" Target="https://vanillabonds.com/dossier-data/pdf/fastned/fastned-2023-annual-report.pdf#page=140" TargetMode="External" Id="rId382"/><Relationship Type="http://schemas.openxmlformats.org/officeDocument/2006/relationships/hyperlink" Target="https://vanillabonds.com/dossier-data/pdf/fastned/fastned-2023-annual-report.pdf#page=140" TargetMode="External" Id="rId383"/><Relationship Type="http://schemas.openxmlformats.org/officeDocument/2006/relationships/hyperlink" Target="https://vanillabonds.com/dossier-data/pdf/fastned/fastned-2023-annual-report.pdf#page=140" TargetMode="External" Id="rId384"/><Relationship Type="http://schemas.openxmlformats.org/officeDocument/2006/relationships/hyperlink" Target="https://vanillabonds.com/dossier-data/pdf/fastned/fastned-2023-annual-report.pdf#page=55" TargetMode="External" Id="rId385"/><Relationship Type="http://schemas.openxmlformats.org/officeDocument/2006/relationships/hyperlink" Target="https://vanillabonds.com/dossier-data/pdf/fastned/fastned-2023-annual-report.pdf#page=137" TargetMode="External" Id="rId386"/><Relationship Type="http://schemas.openxmlformats.org/officeDocument/2006/relationships/hyperlink" Target="https://vanillabonds.com/dossier-data/pdf/fastned/fastned-2023-annual-report.pdf#page=137" TargetMode="External" Id="rId387"/><Relationship Type="http://schemas.openxmlformats.org/officeDocument/2006/relationships/hyperlink" Target="https://vanillabonds.com/dossier-data/pdf/fastned/fastned-2023-annual-report.pdf#page=138" TargetMode="External" Id="rId388"/><Relationship Type="http://schemas.openxmlformats.org/officeDocument/2006/relationships/hyperlink" Target="https://vanillabonds.com/dossier-data/pdf/fastned/fastned-2023-annual-report.pdf#page=138" TargetMode="External" Id="rId389"/><Relationship Type="http://schemas.openxmlformats.org/officeDocument/2006/relationships/hyperlink" Target="https://vanillabonds.com/dossier-data/pdf/fastned/fastned-2023-annual-report.pdf#page=138" TargetMode="External" Id="rId390"/><Relationship Type="http://schemas.openxmlformats.org/officeDocument/2006/relationships/hyperlink" Target="https://vanillabonds.com/dossier-data/pdf/fastned/fastned-2023-annual-report.pdf#page=138" TargetMode="External" Id="rId391"/><Relationship Type="http://schemas.openxmlformats.org/officeDocument/2006/relationships/hyperlink" Target="https://vanillabonds.com/dossier-data/pdf/fastned/fastned-2023-annual-report.pdf#page=18" TargetMode="External" Id="rId392"/><Relationship Type="http://schemas.openxmlformats.org/officeDocument/2006/relationships/hyperlink" Target="https://vanillabonds.com/dossier-data/pdf/fastned/fastned-2023-annual-report.pdf#page=8" TargetMode="External" Id="rId393"/><Relationship Type="http://schemas.openxmlformats.org/officeDocument/2006/relationships/hyperlink" Target="https://vanillabonds.com/dossier-data/pdf/fastned/fastned-2023-annual-report.pdf#page=14" TargetMode="External" Id="rId394"/><Relationship Type="http://schemas.openxmlformats.org/officeDocument/2006/relationships/hyperlink" Target="https://vanillabonds.com/dossier-data/pdf/fastned/fastned-2023-annual-report.pdf#page=14" TargetMode="External" Id="rId395"/><Relationship Type="http://schemas.openxmlformats.org/officeDocument/2006/relationships/hyperlink" Target="https://vanillabonds.com/dossier-data/pdf/fastned/fastned-2023-annual-report.pdf#page=37" TargetMode="External" Id="rId396"/><Relationship Type="http://schemas.openxmlformats.org/officeDocument/2006/relationships/hyperlink" Target="https://vanillabonds.com/dossier-data/pdf/fastned/fastned-2023-annual-report.pdf#page=141" TargetMode="External" Id="rId397"/><Relationship Type="http://schemas.openxmlformats.org/officeDocument/2006/relationships/hyperlink" Target="https://vanillabonds.com/dossier-data/pdf/fastned/fastned-2023-annual-report.pdf#page=180" TargetMode="External" Id="rId398"/><Relationship Type="http://schemas.openxmlformats.org/officeDocument/2006/relationships/hyperlink" Target="https://vanillabonds.com/dossier-data/pdf/fastned/fastned-2023-annual-report.pdf#page=194" TargetMode="External" Id="rId399"/><Relationship Type="http://schemas.openxmlformats.org/officeDocument/2006/relationships/hyperlink" Target="https://vanillabonds.com/dossier-data/pdf/fastned/fastned-2023-annual-report.pdf#page=46" TargetMode="External" Id="rId400"/><Relationship Type="http://schemas.openxmlformats.org/officeDocument/2006/relationships/hyperlink" Target="https://vanillabonds.com/dossier-data/pdf/fastned/fastned-2023-annual-report.pdf#page=55" TargetMode="External" Id="rId401"/><Relationship Type="http://schemas.openxmlformats.org/officeDocument/2006/relationships/hyperlink" Target="https://vanillabonds.com/dossier-data/pdf/fastned/fastned-2023-annual-report.pdf#page=97" TargetMode="External" Id="rId402"/><Relationship Type="http://schemas.openxmlformats.org/officeDocument/2006/relationships/hyperlink" Target="https://vanillabonds.com/dossier-data/pdf/fastned/fastned-2023-annual-report.pdf#page=97" TargetMode="External" Id="rId403"/><Relationship Type="http://schemas.openxmlformats.org/officeDocument/2006/relationships/hyperlink" Target="https://vanillabonds.com/dossier-data/pdf/fastned/fastned-2023-annual-report.pdf#page=116" TargetMode="External" Id="rId404"/><Relationship Type="http://schemas.openxmlformats.org/officeDocument/2006/relationships/hyperlink" Target="https://vanillabonds.com/dossier-data/pdf/fastned/fastned-2023-annual-report.pdf#page=116" TargetMode="External" Id="rId405"/><Relationship Type="http://schemas.openxmlformats.org/officeDocument/2006/relationships/hyperlink" Target="https://vanillabonds.com/dossier-data/pdf/fastned/fastned-2023-annual-report.pdf#page=139" TargetMode="External" Id="rId406"/><Relationship Type="http://schemas.openxmlformats.org/officeDocument/2006/relationships/hyperlink" Target="https://vanillabonds.com/dossier-data/pdf/fastned/fastned-2023-annual-report.pdf#page=140" TargetMode="External" Id="rId407"/><Relationship Type="http://schemas.openxmlformats.org/officeDocument/2006/relationships/hyperlink" Target="https://vanillabonds.com/dossier-data/pdf/fastned/fastned-2023-annual-report.pdf#page=141" TargetMode="External" Id="rId408"/><Relationship Type="http://schemas.openxmlformats.org/officeDocument/2006/relationships/hyperlink" Target="https://vanillabonds.com/dossier-data/pdf/fastned/fastned-2023-annual-report.pdf#page=141" TargetMode="External" Id="rId409"/><Relationship Type="http://schemas.openxmlformats.org/officeDocument/2006/relationships/hyperlink" Target="https://vanillabonds.com/dossier-data/pdf/fastned/fastned-2023-annual-report.pdf#page=56" TargetMode="External" Id="rId410"/><Relationship Type="http://schemas.openxmlformats.org/officeDocument/2006/relationships/hyperlink" Target="https://vanillabonds.com/dossier-data/pdf/fastned/fastned-2023-annual-report.pdf#page=56" TargetMode="External" Id="rId411"/><Relationship Type="http://schemas.openxmlformats.org/officeDocument/2006/relationships/hyperlink" Target="https://vanillabonds.com/dossier-data/pdf/fastned/fastned-2023-annual-report.pdf#page=57" TargetMode="External" Id="rId412"/><Relationship Type="http://schemas.openxmlformats.org/officeDocument/2006/relationships/hyperlink" Target="https://vanillabonds.com/dossier-data/pdf/fastned/fastned-2023-annual-report.pdf#page=57" TargetMode="External" Id="rId413"/><Relationship Type="http://schemas.openxmlformats.org/officeDocument/2006/relationships/hyperlink" Target="https://vanillabonds.com/dossier-data/pdf/fastned/fastned-2023-annual-report.pdf#page=57" TargetMode="External" Id="rId414"/><Relationship Type="http://schemas.openxmlformats.org/officeDocument/2006/relationships/hyperlink" Target="https://vanillabonds.com/dossier-data/pdf/fastned/fastned-2023-annual-report.pdf#page=57" TargetMode="External" Id="rId415"/><Relationship Type="http://schemas.openxmlformats.org/officeDocument/2006/relationships/hyperlink" Target="https://vanillabonds.com/dossier-data/pdf/fastned/fastned-2023-annual-report.pdf#page=32" TargetMode="External" Id="rId416"/><Relationship Type="http://schemas.openxmlformats.org/officeDocument/2006/relationships/hyperlink" Target="https://vanillabonds.com/dossier-data/pdf/fastned/fastned-2023-annual-report.pdf#page=70" TargetMode="External" Id="rId417"/><Relationship Type="http://schemas.openxmlformats.org/officeDocument/2006/relationships/hyperlink" Target="https://vanillabonds.com/dossier-data/pdf/fastned/fastned-2023-annual-report.pdf#page=72" TargetMode="External" Id="rId418"/><Relationship Type="http://schemas.openxmlformats.org/officeDocument/2006/relationships/hyperlink" Target="https://vanillabonds.com/dossier-data/pdf/fastned/fastned-2023-annual-report.pdf#page=72" TargetMode="External" Id="rId419"/><Relationship Type="http://schemas.openxmlformats.org/officeDocument/2006/relationships/hyperlink" Target="https://vanillabonds.com/dossier-data/pdf/fastned/fastned-2023-annual-report.pdf#page=73" TargetMode="External" Id="rId420"/><Relationship Type="http://schemas.openxmlformats.org/officeDocument/2006/relationships/hyperlink" Target="https://vanillabonds.com/dossier-data/pdf/fastned/fastned-2023-annual-report.pdf#page=75" TargetMode="External" Id="rId421"/><Relationship Type="http://schemas.openxmlformats.org/officeDocument/2006/relationships/hyperlink" Target="https://vanillabonds.com/dossier-data/pdf/fastned/fastned-2023-annual-report.pdf#page=152" TargetMode="External" Id="rId422"/><Relationship Type="http://schemas.openxmlformats.org/officeDocument/2006/relationships/hyperlink" Target="https://vanillabonds.com/dossier-data/pdf/fastned/fastned-2023-annual-report.pdf#page=153" TargetMode="External" Id="rId423"/><Relationship Type="http://schemas.openxmlformats.org/officeDocument/2006/relationships/hyperlink" Target="https://vanillabonds.com/dossier-data/pdf/fastned/fastned-2023-annual-report.pdf#page=155" TargetMode="External" Id="rId424"/><Relationship Type="http://schemas.openxmlformats.org/officeDocument/2006/relationships/hyperlink" Target="https://vanillabonds.com/dossier-data/pdf/fastned/fastned-2023-annual-report.pdf#page=68" TargetMode="External" Id="rId425"/><Relationship Type="http://schemas.openxmlformats.org/officeDocument/2006/relationships/hyperlink" Target="https://vanillabonds.com/dossier-data/pdf/fastned/fastned-2023-annual-report.pdf#page=69" TargetMode="External" Id="rId426"/><Relationship Type="http://schemas.openxmlformats.org/officeDocument/2006/relationships/hyperlink" Target="https://vanillabonds.com/dossier-data/pdf/fastned/fastned-2023-annual-report.pdf#page=70" TargetMode="External" Id="rId427"/><Relationship Type="http://schemas.openxmlformats.org/officeDocument/2006/relationships/hyperlink" Target="https://vanillabonds.com/dossier-data/pdf/fastned/fastned-2023-annual-report.pdf#page=70" TargetMode="External" Id="rId428"/><Relationship Type="http://schemas.openxmlformats.org/officeDocument/2006/relationships/hyperlink" Target="https://vanillabonds.com/dossier-data/pdf/fastned/fastned-2023-annual-report.pdf#page=70" TargetMode="External" Id="rId429"/><Relationship Type="http://schemas.openxmlformats.org/officeDocument/2006/relationships/hyperlink" Target="https://vanillabonds.com/dossier-data/pdf/fastned/fastned-2023-annual-report.pdf#page=70" TargetMode="External" Id="rId430"/><Relationship Type="http://schemas.openxmlformats.org/officeDocument/2006/relationships/hyperlink" Target="https://vanillabonds.com/dossier-data/pdf/fastned/fastned-2023-annual-report.pdf#page=70" TargetMode="External" Id="rId431"/><Relationship Type="http://schemas.openxmlformats.org/officeDocument/2006/relationships/hyperlink" Target="https://vanillabonds.com/dossier-data/pdf/fastned/fastned-2023-annual-report.pdf#page=71" TargetMode="External" Id="rId432"/><Relationship Type="http://schemas.openxmlformats.org/officeDocument/2006/relationships/hyperlink" Target="https://vanillabonds.com/dossier-data/pdf/fastned/fastned-2023-annual-report.pdf#page=72" TargetMode="External" Id="rId433"/><Relationship Type="http://schemas.openxmlformats.org/officeDocument/2006/relationships/hyperlink" Target="https://vanillabonds.com/dossier-data/pdf/fastned/fastned-2023-annual-report.pdf#page=72" TargetMode="External" Id="rId434"/><Relationship Type="http://schemas.openxmlformats.org/officeDocument/2006/relationships/hyperlink" Target="https://vanillabonds.com/dossier-data/pdf/fastned/fastned-2023-annual-report.pdf#page=73" TargetMode="External" Id="rId435"/><Relationship Type="http://schemas.openxmlformats.org/officeDocument/2006/relationships/hyperlink" Target="https://vanillabonds.com/dossier-data/pdf/fastned/fastned-2023-annual-report.pdf#page=151" TargetMode="External" Id="rId436"/><Relationship Type="http://schemas.openxmlformats.org/officeDocument/2006/relationships/hyperlink" Target="https://vanillabonds.com/dossier-data/pdf/fastned/fastned-2023-annual-report.pdf#page=152" TargetMode="External" Id="rId437"/><Relationship Type="http://schemas.openxmlformats.org/officeDocument/2006/relationships/hyperlink" Target="https://vanillabonds.com/dossier-data/pdf/fastned/fastned-2023-annual-report.pdf#page=153" TargetMode="External" Id="rId438"/><Relationship Type="http://schemas.openxmlformats.org/officeDocument/2006/relationships/hyperlink" Target="https://vanillabonds.com/dossier-data/pdf/fastned/fastned-2023-annual-report.pdf#page=154" TargetMode="External" Id="rId439"/><Relationship Type="http://schemas.openxmlformats.org/officeDocument/2006/relationships/hyperlink" Target="https://vanillabonds.com/dossier-data/pdf/fastned/fastned-2023-annual-report.pdf#page=130" TargetMode="External" Id="rId440"/><Relationship Type="http://schemas.openxmlformats.org/officeDocument/2006/relationships/hyperlink" Target="https://vanillabonds.com/dossier-data/pdf/fastned/fastned-2023-annual-report.pdf#page=17" TargetMode="External" Id="rId441"/><Relationship Type="http://schemas.openxmlformats.org/officeDocument/2006/relationships/hyperlink" Target="https://vanillabonds.com/dossier-data/pdf/fastned/fastned-2023-annual-report.pdf#page=33" TargetMode="External" Id="rId442"/><Relationship Type="http://schemas.openxmlformats.org/officeDocument/2006/relationships/hyperlink" Target="https://vanillabonds.com/dossier-data/pdf/fastned/fastned-2023-annual-report.pdf#page=41" TargetMode="External" Id="rId443"/><Relationship Type="http://schemas.openxmlformats.org/officeDocument/2006/relationships/hyperlink" Target="https://vanillabonds.com/dossier-data/pdf/fastned/fastned-2023-annual-report.pdf#page=42" TargetMode="External" Id="rId444"/><Relationship Type="http://schemas.openxmlformats.org/officeDocument/2006/relationships/hyperlink" Target="https://vanillabonds.com/dossier-data/pdf/fastned/fastned-2023-annual-report.pdf#page=43" TargetMode="External" Id="rId445"/><Relationship Type="http://schemas.openxmlformats.org/officeDocument/2006/relationships/hyperlink" Target="https://vanillabonds.com/dossier-data/pdf/fastned/fastned-2023-annual-report.pdf#page=44" TargetMode="External" Id="rId446"/><Relationship Type="http://schemas.openxmlformats.org/officeDocument/2006/relationships/hyperlink" Target="https://vanillabonds.com/dossier-data/pdf/fastned/fastned-2023-annual-report.pdf#page=44" TargetMode="External" Id="rId447"/><Relationship Type="http://schemas.openxmlformats.org/officeDocument/2006/relationships/hyperlink" Target="https://vanillabonds.com/dossier-data/pdf/fastned/fastned-2023-annual-report.pdf#page=44" TargetMode="External" Id="rId448"/><Relationship Type="http://schemas.openxmlformats.org/officeDocument/2006/relationships/hyperlink" Target="https://vanillabonds.com/dossier-data/pdf/fastned/fastned-2023-annual-report.pdf#page=45" TargetMode="External" Id="rId449"/><Relationship Type="http://schemas.openxmlformats.org/officeDocument/2006/relationships/hyperlink" Target="https://vanillabonds.com/dossier-data/pdf/fastned/fastned-2023-annual-report.pdf#page=45" TargetMode="External" Id="rId450"/><Relationship Type="http://schemas.openxmlformats.org/officeDocument/2006/relationships/hyperlink" Target="https://vanillabonds.com/dossier-data/pdf/fastned/fastned-2023-annual-report.pdf#page=45" TargetMode="External" Id="rId451"/><Relationship Type="http://schemas.openxmlformats.org/officeDocument/2006/relationships/hyperlink" Target="https://vanillabonds.com/dossier-data/pdf/fastned/fastned-2023-annual-report.pdf#page=45" TargetMode="External" Id="rId452"/><Relationship Type="http://schemas.openxmlformats.org/officeDocument/2006/relationships/hyperlink" Target="https://vanillabonds.com/dossier-data/pdf/fastned/fastned-2023-annual-report.pdf#page=46" TargetMode="External" Id="rId453"/><Relationship Type="http://schemas.openxmlformats.org/officeDocument/2006/relationships/hyperlink" Target="https://vanillabonds.com/dossier-data/pdf/fastned/fastned-2023-annual-report.pdf#page=48" TargetMode="External" Id="rId454"/><Relationship Type="http://schemas.openxmlformats.org/officeDocument/2006/relationships/hyperlink" Target="https://vanillabonds.com/dossier-data/pdf/fastned/fastned-2023-annual-report.pdf#page=67" TargetMode="External" Id="rId455"/><Relationship Type="http://schemas.openxmlformats.org/officeDocument/2006/relationships/hyperlink" Target="https://vanillabonds.com/dossier-data/pdf/fastned/fastned-2023-annual-report.pdf#page=193" TargetMode="External" Id="rId456"/><Relationship Type="http://schemas.openxmlformats.org/officeDocument/2006/relationships/hyperlink" Target="https://vanillabonds.com/dossier-data/pdf/fastned/fastned-2023-annual-report.pdf#page=193" TargetMode="External" Id="rId457"/><Relationship Type="http://schemas.openxmlformats.org/officeDocument/2006/relationships/hyperlink" Target="https://vanillabonds.com/dossier-data/pdf/fastned/fastned-2023-annual-report.pdf#page=194" TargetMode="External" Id="rId458"/><Relationship Type="http://schemas.openxmlformats.org/officeDocument/2006/relationships/hyperlink" Target="https://vanillabonds.com/dossier-data/pdf/fastned/fastned-2023-annual-report.pdf#page=196" TargetMode="External" Id="rId459"/><Relationship Type="http://schemas.openxmlformats.org/officeDocument/2006/relationships/hyperlink" Target="https://vanillabonds.com/dossier-data/pdf/fastned/fastned-2023-annual-report.pdf#page=196" TargetMode="External" Id="rId460"/><Relationship Type="http://schemas.openxmlformats.org/officeDocument/2006/relationships/hyperlink" Target="https://vanillabonds.com/dossier-data/pdf/fastned/fastned-2023-annual-report.pdf#page=196" TargetMode="External" Id="rId461"/><Relationship Type="http://schemas.openxmlformats.org/officeDocument/2006/relationships/hyperlink" Target="https://vanillabonds.com/dossier-data/pdf/fastned/fastned-2023-annual-report.pdf#page=196" TargetMode="External" Id="rId462"/><Relationship Type="http://schemas.openxmlformats.org/officeDocument/2006/relationships/hyperlink" Target="https://vanillabonds.com/dossier-data/pdf/fastned/fastned-2023-annual-report.pdf#page=197" TargetMode="External" Id="rId463"/><Relationship Type="http://schemas.openxmlformats.org/officeDocument/2006/relationships/hyperlink" Target="https://vanillabonds.com/dossier-data/pdf/fastned/fastned-2023-annual-report.pdf#page=197" TargetMode="External" Id="rId464"/><Relationship Type="http://schemas.openxmlformats.org/officeDocument/2006/relationships/hyperlink" Target="https://vanillabonds.com/dossier-data/pdf/fastned/fastned-2023-annual-report.pdf#page=202" TargetMode="External" Id="rId465"/><Relationship Type="http://schemas.openxmlformats.org/officeDocument/2006/relationships/hyperlink" Target="https://vanillabonds.com/dossier-data/pdf/fastned/fastned-2023-annual-report.pdf#page=136" TargetMode="External" Id="rId466"/><Relationship Type="http://schemas.openxmlformats.org/officeDocument/2006/relationships/hyperlink" Target="https://vanillabonds.com/dossier-data/pdf/fastned/fastned-2023-annual-report.pdf#page=136" TargetMode="External" Id="rId467"/><Relationship Type="http://schemas.openxmlformats.org/officeDocument/2006/relationships/hyperlink" Target="https://vanillabonds.com/dossier-data/pdf/fastned/fastned-2023-annual-report.pdf#page=136" TargetMode="External" Id="rId468"/><Relationship Type="http://schemas.openxmlformats.org/officeDocument/2006/relationships/hyperlink" Target="https://vanillabonds.com/dossier-data/pdf/fastned/fastned-2023-annual-report.pdf#page=136" TargetMode="External" Id="rId469"/><Relationship Type="http://schemas.openxmlformats.org/officeDocument/2006/relationships/hyperlink" Target="https://vanillabonds.com/dossier-data/pdf/fastned/fastned-2023-annual-report.pdf#page=136" TargetMode="External" Id="rId470"/><Relationship Type="http://schemas.openxmlformats.org/officeDocument/2006/relationships/hyperlink" Target="https://vanillabonds.com/dossier-data/pdf/fastned/fastned-2023-annual-report.pdf#page=199" TargetMode="External" Id="rId471"/><Relationship Type="http://schemas.openxmlformats.org/officeDocument/2006/relationships/hyperlink" Target="https://vanillabonds.com/dossier-data/pdf/fastned/fastned-2024-annual-report.pdf#page=187" TargetMode="External" Id="rId472"/><Relationship Type="http://schemas.openxmlformats.org/officeDocument/2006/relationships/hyperlink" Target="https://vanillabonds.com/dossier-data/pdf/fastned/fastned-2024-annual-report.pdf#page=73" TargetMode="External" Id="rId473"/><Relationship Type="http://schemas.openxmlformats.org/officeDocument/2006/relationships/hyperlink" Target="https://vanillabonds.com/dossier-data/pdf/fastned/fastned-2024-annual-report.pdf#page=113" TargetMode="External" Id="rId474"/><Relationship Type="http://schemas.openxmlformats.org/officeDocument/2006/relationships/hyperlink" Target="https://vanillabonds.com/dossier-data/pdf/fastned/fastned-2024-annual-report.pdf#page=106" TargetMode="External" Id="rId475"/><Relationship Type="http://schemas.openxmlformats.org/officeDocument/2006/relationships/hyperlink" Target="https://vanillabonds.com/dossier-data/pdf/fastned/fastned-2024-annual-report.pdf#page=13" TargetMode="External" Id="rId476"/><Relationship Type="http://schemas.openxmlformats.org/officeDocument/2006/relationships/hyperlink" Target="https://vanillabonds.com/dossier-data/pdf/fastned/fastned-2024-annual-report.pdf#page=106" TargetMode="External" Id="rId477"/><Relationship Type="http://schemas.openxmlformats.org/officeDocument/2006/relationships/hyperlink" Target="https://vanillabonds.com/dossier-data/pdf/fastned/fastned-2024-annual-report.pdf#page=207" TargetMode="External" Id="rId478"/><Relationship Type="http://schemas.openxmlformats.org/officeDocument/2006/relationships/hyperlink" Target="https://vanillabonds.com/dossier-data/pdf/fastned/fastned-2024-annual-report.pdf#page=187" TargetMode="External" Id="rId479"/><Relationship Type="http://schemas.openxmlformats.org/officeDocument/2006/relationships/hyperlink" Target="https://vanillabonds.com/dossier-data/pdf/fastned/fastned-2024-annual-report.pdf#page=106" TargetMode="External" Id="rId480"/><Relationship Type="http://schemas.openxmlformats.org/officeDocument/2006/relationships/hyperlink" Target="https://vanillabonds.com/dossier-data/pdf/fastned/fastned-2024-annual-report.pdf#page=130" TargetMode="External" Id="rId481"/><Relationship Type="http://schemas.openxmlformats.org/officeDocument/2006/relationships/hyperlink" Target="https://vanillabonds.com/dossier-data/pdf/fastned/fastned-2024-annual-report.pdf#page=13" TargetMode="External" Id="rId482"/><Relationship Type="http://schemas.openxmlformats.org/officeDocument/2006/relationships/hyperlink" Target="https://vanillabonds.com/dossier-data/pdf/fastned/fastned-2024-annual-report.pdf#page=133" TargetMode="External" Id="rId483"/><Relationship Type="http://schemas.openxmlformats.org/officeDocument/2006/relationships/hyperlink" Target="https://vanillabonds.com/dossier-data/pdf/fastned/fastned-2024-annual-report.pdf#page=134" TargetMode="External" Id="rId484"/><Relationship Type="http://schemas.openxmlformats.org/officeDocument/2006/relationships/hyperlink" Target="https://vanillabonds.com/dossier-data/pdf/fastned/fastned-2024-annual-report.pdf#page=35" TargetMode="External" Id="rId485"/><Relationship Type="http://schemas.openxmlformats.org/officeDocument/2006/relationships/hyperlink" Target="https://vanillabonds.com/dossier-data/pdf/fastned/fastned-2024-annual-report.pdf#page=134" TargetMode="External" Id="rId486"/><Relationship Type="http://schemas.openxmlformats.org/officeDocument/2006/relationships/hyperlink" Target="https://vanillabonds.com/dossier-data/pdf/fastned/fastned-2024-annual-report.pdf#page=75" TargetMode="External" Id="rId487"/><Relationship Type="http://schemas.openxmlformats.org/officeDocument/2006/relationships/hyperlink" Target="https://vanillabonds.com/dossier-data/pdf/fastned/fastned-2024-annual-report.pdf#page=127" TargetMode="External" Id="rId488"/><Relationship Type="http://schemas.openxmlformats.org/officeDocument/2006/relationships/hyperlink" Target="https://vanillabonds.com/dossier-data/pdf/fastned/fastned-2024-annual-report.pdf#page=128" TargetMode="External" Id="rId489"/><Relationship Type="http://schemas.openxmlformats.org/officeDocument/2006/relationships/hyperlink" Target="https://vanillabonds.com/dossier-data/pdf/fastned/fastned-2024-annual-report.pdf#page=128" TargetMode="External" Id="rId490"/><Relationship Type="http://schemas.openxmlformats.org/officeDocument/2006/relationships/hyperlink" Target="https://vanillabonds.com/dossier-data/pdf/fastned/fastned-2024-annual-report.pdf#page=128" TargetMode="External" Id="rId491"/><Relationship Type="http://schemas.openxmlformats.org/officeDocument/2006/relationships/hyperlink" Target="https://vanillabonds.com/dossier-data/pdf/fastned/fastned-2024-annual-report.pdf#page=75" TargetMode="External" Id="rId492"/><Relationship Type="http://schemas.openxmlformats.org/officeDocument/2006/relationships/hyperlink" Target="https://vanillabonds.com/dossier-data/pdf/fastned/fastned-2024-annual-report.pdf#page=147" TargetMode="External" Id="rId493"/><Relationship Type="http://schemas.openxmlformats.org/officeDocument/2006/relationships/hyperlink" Target="https://vanillabonds.com/dossier-data/pdf/fastned/fastned-2024-annual-report.pdf#page=161" TargetMode="External" Id="rId494"/><Relationship Type="http://schemas.openxmlformats.org/officeDocument/2006/relationships/hyperlink" Target="https://vanillabonds.com/dossier-data/pdf/fastned/fastned-2024-annual-report.pdf#page=198" TargetMode="External" Id="rId495"/><Relationship Type="http://schemas.openxmlformats.org/officeDocument/2006/relationships/hyperlink" Target="https://vanillabonds.com/dossier-data/pdf/fastned/fastned-2024-annual-report.pdf#page=167" TargetMode="External" Id="rId496"/><Relationship Type="http://schemas.openxmlformats.org/officeDocument/2006/relationships/hyperlink" Target="https://vanillabonds.com/dossier-data/pdf/fastned/fastned-2024-annual-report.pdf#page=87" TargetMode="External" Id="rId497"/><Relationship Type="http://schemas.openxmlformats.org/officeDocument/2006/relationships/hyperlink" Target="https://vanillabonds.com/dossier-data/pdf/fastned/fastned-2024-annual-report.pdf#page=187" TargetMode="External" Id="rId498"/><Relationship Type="http://schemas.openxmlformats.org/officeDocument/2006/relationships/hyperlink" Target="https://vanillabonds.com/dossier-data/pdf/fastned/fastned-2024-annual-report.pdf#page=106" TargetMode="External" Id="rId499"/><Relationship Type="http://schemas.openxmlformats.org/officeDocument/2006/relationships/hyperlink" Target="https://vanillabonds.com/dossier-data/pdf/fastned/fastned-2024-annual-report.pdf#page=171" TargetMode="External" Id="rId500"/><Relationship Type="http://schemas.openxmlformats.org/officeDocument/2006/relationships/hyperlink" Target="https://vanillabonds.com/dossier-data/pdf/fastned/fastned-2024-annual-report.pdf#page=171" TargetMode="External" Id="rId501"/><Relationship Type="http://schemas.openxmlformats.org/officeDocument/2006/relationships/hyperlink" Target="https://vanillabonds.com/dossier-data/pdf/fastned/fastned-2024-annual-report.pdf#page=5" TargetMode="External" Id="rId502"/><Relationship Type="http://schemas.openxmlformats.org/officeDocument/2006/relationships/hyperlink" Target="https://vanillabonds.com/dossier-data/pdf/fastned/fastned-2024-annual-report.pdf#page=8" TargetMode="External" Id="rId503"/><Relationship Type="http://schemas.openxmlformats.org/officeDocument/2006/relationships/hyperlink" Target="https://vanillabonds.com/dossier-data/pdf/fastned/fastned-2024-annual-report.pdf#page=9" TargetMode="External" Id="rId504"/><Relationship Type="http://schemas.openxmlformats.org/officeDocument/2006/relationships/hyperlink" Target="https://vanillabonds.com/dossier-data/pdf/fastned/fastned-2024-annual-report.pdf#page=13" TargetMode="External" Id="rId505"/><Relationship Type="http://schemas.openxmlformats.org/officeDocument/2006/relationships/hyperlink" Target="https://vanillabonds.com/dossier-data/pdf/fastned/fastned-2024-annual-report.pdf#page=13" TargetMode="External" Id="rId506"/><Relationship Type="http://schemas.openxmlformats.org/officeDocument/2006/relationships/hyperlink" Target="https://vanillabonds.com/dossier-data/pdf/fastned/fastned-2024-annual-report.pdf#page=16" TargetMode="External" Id="rId507"/><Relationship Type="http://schemas.openxmlformats.org/officeDocument/2006/relationships/hyperlink" Target="https://vanillabonds.com/dossier-data/pdf/fastned/fastned-2024-annual-report.pdf#page=16" TargetMode="External" Id="rId508"/><Relationship Type="http://schemas.openxmlformats.org/officeDocument/2006/relationships/hyperlink" Target="https://vanillabonds.com/dossier-data/pdf/fastned/fastned-2024-annual-report.pdf#page=22" TargetMode="External" Id="rId509"/><Relationship Type="http://schemas.openxmlformats.org/officeDocument/2006/relationships/hyperlink" Target="https://vanillabonds.com/dossier-data/pdf/fastned/fastned-2024-annual-report.pdf#page=23" TargetMode="External" Id="rId510"/><Relationship Type="http://schemas.openxmlformats.org/officeDocument/2006/relationships/hyperlink" Target="https://vanillabonds.com/dossier-data/pdf/fastned/fastned-2024-annual-report.pdf#page=24" TargetMode="External" Id="rId511"/><Relationship Type="http://schemas.openxmlformats.org/officeDocument/2006/relationships/hyperlink" Target="https://vanillabonds.com/dossier-data/pdf/fastned/fastned-2024-annual-report.pdf#page=25" TargetMode="External" Id="rId512"/><Relationship Type="http://schemas.openxmlformats.org/officeDocument/2006/relationships/hyperlink" Target="https://vanillabonds.com/dossier-data/pdf/fastned/fastned-2024-annual-report.pdf#page=26" TargetMode="External" Id="rId513"/><Relationship Type="http://schemas.openxmlformats.org/officeDocument/2006/relationships/hyperlink" Target="https://vanillabonds.com/dossier-data/pdf/fastned/fastned-2024-annual-report.pdf#page=27" TargetMode="External" Id="rId514"/><Relationship Type="http://schemas.openxmlformats.org/officeDocument/2006/relationships/hyperlink" Target="https://vanillabonds.com/dossier-data/pdf/fastned/fastned-2024-annual-report.pdf#page=30" TargetMode="External" Id="rId515"/><Relationship Type="http://schemas.openxmlformats.org/officeDocument/2006/relationships/hyperlink" Target="https://vanillabonds.com/dossier-data/pdf/fastned/fastned-2024-annual-report.pdf#page=35" TargetMode="External" Id="rId516"/><Relationship Type="http://schemas.openxmlformats.org/officeDocument/2006/relationships/hyperlink" Target="https://vanillabonds.com/dossier-data/pdf/fastned/fastned-2024-annual-report.pdf#page=40" TargetMode="External" Id="rId517"/><Relationship Type="http://schemas.openxmlformats.org/officeDocument/2006/relationships/hyperlink" Target="https://vanillabonds.com/dossier-data/pdf/fastned/fastned-2024-annual-report.pdf#page=40" TargetMode="External" Id="rId518"/><Relationship Type="http://schemas.openxmlformats.org/officeDocument/2006/relationships/hyperlink" Target="https://vanillabonds.com/dossier-data/pdf/fastned/fastned-2024-annual-report.pdf#page=40" TargetMode="External" Id="rId519"/><Relationship Type="http://schemas.openxmlformats.org/officeDocument/2006/relationships/hyperlink" Target="https://vanillabonds.com/dossier-data/pdf/fastned/fastned-2024-annual-report.pdf#page=58" TargetMode="External" Id="rId520"/><Relationship Type="http://schemas.openxmlformats.org/officeDocument/2006/relationships/hyperlink" Target="https://vanillabonds.com/dossier-data/pdf/fastned/fastned-2024-annual-report.pdf#page=60" TargetMode="External" Id="rId521"/><Relationship Type="http://schemas.openxmlformats.org/officeDocument/2006/relationships/hyperlink" Target="https://vanillabonds.com/dossier-data/pdf/fastned/fastned-2024-annual-report.pdf#page=71" TargetMode="External" Id="rId522"/><Relationship Type="http://schemas.openxmlformats.org/officeDocument/2006/relationships/hyperlink" Target="https://vanillabonds.com/dossier-data/pdf/fastned/fastned-2024-annual-report.pdf#page=81" TargetMode="External" Id="rId523"/><Relationship Type="http://schemas.openxmlformats.org/officeDocument/2006/relationships/hyperlink" Target="https://vanillabonds.com/dossier-data/pdf/fastned/fastned-2024-annual-report.pdf#page=110" TargetMode="External" Id="rId524"/><Relationship Type="http://schemas.openxmlformats.org/officeDocument/2006/relationships/hyperlink" Target="https://vanillabonds.com/dossier-data/pdf/fastned/fastned-2024-annual-report.pdf#page=123" TargetMode="External" Id="rId525"/><Relationship Type="http://schemas.openxmlformats.org/officeDocument/2006/relationships/hyperlink" Target="https://vanillabonds.com/dossier-data/pdf/fastned/fastned-2024-annual-report.pdf#page=127" TargetMode="External" Id="rId526"/><Relationship Type="http://schemas.openxmlformats.org/officeDocument/2006/relationships/hyperlink" Target="https://vanillabonds.com/dossier-data/pdf/fastned/fastned-2024-annual-report.pdf#page=127" TargetMode="External" Id="rId527"/><Relationship Type="http://schemas.openxmlformats.org/officeDocument/2006/relationships/hyperlink" Target="https://vanillabonds.com/dossier-data/pdf/fastned/fastned-2024-annual-report.pdf#page=129" TargetMode="External" Id="rId528"/><Relationship Type="http://schemas.openxmlformats.org/officeDocument/2006/relationships/hyperlink" Target="https://vanillabonds.com/dossier-data/pdf/fastned/fastned-2024-annual-report.pdf#page=133" TargetMode="External" Id="rId529"/><Relationship Type="http://schemas.openxmlformats.org/officeDocument/2006/relationships/hyperlink" Target="https://vanillabonds.com/dossier-data/pdf/fastned/fastned-2024-annual-report.pdf#page=134" TargetMode="External" Id="rId530"/><Relationship Type="http://schemas.openxmlformats.org/officeDocument/2006/relationships/hyperlink" Target="https://vanillabonds.com/dossier-data/pdf/fastned/fastned-2024-annual-report.pdf#page=134" TargetMode="External" Id="rId531"/><Relationship Type="http://schemas.openxmlformats.org/officeDocument/2006/relationships/hyperlink" Target="https://vanillabonds.com/dossier-data/pdf/fastned/fastned-2024-annual-report.pdf#page=135" TargetMode="External" Id="rId532"/><Relationship Type="http://schemas.openxmlformats.org/officeDocument/2006/relationships/hyperlink" Target="https://vanillabonds.com/dossier-data/pdf/fastned/fastned-2024-annual-report.pdf#page=135" TargetMode="External" Id="rId533"/><Relationship Type="http://schemas.openxmlformats.org/officeDocument/2006/relationships/hyperlink" Target="https://vanillabonds.com/dossier-data/pdf/fastned/fastned-2024-annual-report.pdf#page=135" TargetMode="External" Id="rId534"/><Relationship Type="http://schemas.openxmlformats.org/officeDocument/2006/relationships/hyperlink" Target="https://vanillabonds.com/dossier-data/pdf/fastned/fastned-2024-annual-report.pdf#page=136" TargetMode="External" Id="rId535"/><Relationship Type="http://schemas.openxmlformats.org/officeDocument/2006/relationships/hyperlink" Target="https://vanillabonds.com/dossier-data/pdf/fastned/fastned-2024-annual-report.pdf#page=139" TargetMode="External" Id="rId536"/><Relationship Type="http://schemas.openxmlformats.org/officeDocument/2006/relationships/hyperlink" Target="https://vanillabonds.com/dossier-data/pdf/fastned/fastned-2024-annual-report.pdf#page=140" TargetMode="External" Id="rId537"/><Relationship Type="http://schemas.openxmlformats.org/officeDocument/2006/relationships/hyperlink" Target="https://vanillabonds.com/dossier-data/pdf/fastned/fastned-2024-annual-report.pdf#page=142" TargetMode="External" Id="rId538"/><Relationship Type="http://schemas.openxmlformats.org/officeDocument/2006/relationships/hyperlink" Target="https://vanillabonds.com/dossier-data/pdf/fastned/fastned-2024-annual-report.pdf#page=142" TargetMode="External" Id="rId539"/><Relationship Type="http://schemas.openxmlformats.org/officeDocument/2006/relationships/hyperlink" Target="https://vanillabonds.com/dossier-data/pdf/fastned/fastned-2024-annual-report.pdf#page=143" TargetMode="External" Id="rId540"/><Relationship Type="http://schemas.openxmlformats.org/officeDocument/2006/relationships/hyperlink" Target="https://vanillabonds.com/dossier-data/pdf/fastned/fastned-2024-annual-report.pdf#page=144" TargetMode="External" Id="rId541"/><Relationship Type="http://schemas.openxmlformats.org/officeDocument/2006/relationships/hyperlink" Target="https://vanillabonds.com/dossier-data/pdf/fastned/fastned-2024-annual-report.pdf#page=145" TargetMode="External" Id="rId542"/><Relationship Type="http://schemas.openxmlformats.org/officeDocument/2006/relationships/hyperlink" Target="https://vanillabonds.com/dossier-data/pdf/fastned/fastned-2024-annual-report.pdf#page=148" TargetMode="External" Id="rId543"/><Relationship Type="http://schemas.openxmlformats.org/officeDocument/2006/relationships/hyperlink" Target="https://vanillabonds.com/dossier-data/pdf/fastned/fastned-2024-annual-report.pdf#page=150" TargetMode="External" Id="rId544"/><Relationship Type="http://schemas.openxmlformats.org/officeDocument/2006/relationships/hyperlink" Target="https://vanillabonds.com/dossier-data/pdf/fastned/fastned-2024-annual-report.pdf#page=154" TargetMode="External" Id="rId545"/><Relationship Type="http://schemas.openxmlformats.org/officeDocument/2006/relationships/hyperlink" Target="https://vanillabonds.com/dossier-data/pdf/fastned/fastned-2024-annual-report.pdf#page=155" TargetMode="External" Id="rId546"/><Relationship Type="http://schemas.openxmlformats.org/officeDocument/2006/relationships/hyperlink" Target="https://vanillabonds.com/dossier-data/pdf/fastned/fastned-2024-annual-report.pdf#page=158" TargetMode="External" Id="rId547"/><Relationship Type="http://schemas.openxmlformats.org/officeDocument/2006/relationships/hyperlink" Target="https://vanillabonds.com/dossier-data/pdf/fastned/fastned-2024-annual-report.pdf#page=158" TargetMode="External" Id="rId548"/><Relationship Type="http://schemas.openxmlformats.org/officeDocument/2006/relationships/hyperlink" Target="https://vanillabonds.com/dossier-data/pdf/fastned/fastned-2024-annual-report.pdf#page=158" TargetMode="External" Id="rId549"/><Relationship Type="http://schemas.openxmlformats.org/officeDocument/2006/relationships/hyperlink" Target="https://vanillabonds.com/dossier-data/pdf/fastned/fastned-2024-annual-report.pdf#page=159" TargetMode="External" Id="rId550"/><Relationship Type="http://schemas.openxmlformats.org/officeDocument/2006/relationships/hyperlink" Target="https://vanillabonds.com/dossier-data/pdf/fastned/fastned-2024-annual-report.pdf#page=160" TargetMode="External" Id="rId551"/><Relationship Type="http://schemas.openxmlformats.org/officeDocument/2006/relationships/hyperlink" Target="https://vanillabonds.com/dossier-data/pdf/fastned/fastned-2024-annual-report.pdf#page=160" TargetMode="External" Id="rId552"/><Relationship Type="http://schemas.openxmlformats.org/officeDocument/2006/relationships/hyperlink" Target="https://vanillabonds.com/dossier-data/pdf/fastned/fastned-2024-annual-report.pdf#page=161" TargetMode="External" Id="rId553"/><Relationship Type="http://schemas.openxmlformats.org/officeDocument/2006/relationships/hyperlink" Target="https://vanillabonds.com/dossier-data/pdf/fastned/fastned-2024-annual-report.pdf#page=162" TargetMode="External" Id="rId554"/><Relationship Type="http://schemas.openxmlformats.org/officeDocument/2006/relationships/hyperlink" Target="https://vanillabonds.com/dossier-data/pdf/fastned/fastned-2024-annual-report.pdf#page=169" TargetMode="External" Id="rId555"/><Relationship Type="http://schemas.openxmlformats.org/officeDocument/2006/relationships/hyperlink" Target="https://vanillabonds.com/dossier-data/pdf/fastned/fastned-2024-annual-report.pdf#page=170" TargetMode="External" Id="rId556"/><Relationship Type="http://schemas.openxmlformats.org/officeDocument/2006/relationships/hyperlink" Target="https://vanillabonds.com/dossier-data/pdf/fastned/fastned-2024-annual-report.pdf#page=178" TargetMode="External" Id="rId557"/><Relationship Type="http://schemas.openxmlformats.org/officeDocument/2006/relationships/hyperlink" Target="https://vanillabonds.com/dossier-data/pdf/fastned/fastned-2024-annual-report.pdf#page=3" TargetMode="External" Id="rId558"/><Relationship Type="http://schemas.openxmlformats.org/officeDocument/2006/relationships/hyperlink" Target="https://vanillabonds.com/dossier-data/pdf/fastned/fastned-2024-annual-report.pdf#page=3" TargetMode="External" Id="rId559"/><Relationship Type="http://schemas.openxmlformats.org/officeDocument/2006/relationships/hyperlink" Target="https://vanillabonds.com/dossier-data/pdf/fastned/fastned-2024-annual-report.pdf#page=3" TargetMode="External" Id="rId560"/><Relationship Type="http://schemas.openxmlformats.org/officeDocument/2006/relationships/hyperlink" Target="https://vanillabonds.com/dossier-data/pdf/fastned/fastned-2024-annual-report.pdf#page=4" TargetMode="External" Id="rId561"/><Relationship Type="http://schemas.openxmlformats.org/officeDocument/2006/relationships/hyperlink" Target="https://vanillabonds.com/dossier-data/pdf/fastned/fastned-2024-annual-report.pdf#page=9" TargetMode="External" Id="rId562"/><Relationship Type="http://schemas.openxmlformats.org/officeDocument/2006/relationships/hyperlink" Target="https://vanillabonds.com/dossier-data/pdf/fastned/fastned-2024-annual-report.pdf#page=16" TargetMode="External" Id="rId563"/><Relationship Type="http://schemas.openxmlformats.org/officeDocument/2006/relationships/hyperlink" Target="https://vanillabonds.com/dossier-data/pdf/fastned/fastned-2024-annual-report.pdf#page=41" TargetMode="External" Id="rId564"/><Relationship Type="http://schemas.openxmlformats.org/officeDocument/2006/relationships/hyperlink" Target="https://vanillabonds.com/dossier-data/pdf/fastned/fastned-2024-annual-report.pdf#page=66" TargetMode="External" Id="rId565"/><Relationship Type="http://schemas.openxmlformats.org/officeDocument/2006/relationships/hyperlink" Target="https://vanillabonds.com/dossier-data/pdf/fastned/fastned-2024-annual-report.pdf#page=75" TargetMode="External" Id="rId566"/><Relationship Type="http://schemas.openxmlformats.org/officeDocument/2006/relationships/hyperlink" Target="https://vanillabonds.com/dossier-data/pdf/fastned/fastned-2024-annual-report.pdf#page=75" TargetMode="External" Id="rId567"/><Relationship Type="http://schemas.openxmlformats.org/officeDocument/2006/relationships/hyperlink" Target="https://vanillabonds.com/dossier-data/pdf/fastned/fastned-2024-annual-report.pdf#page=84" TargetMode="External" Id="rId568"/><Relationship Type="http://schemas.openxmlformats.org/officeDocument/2006/relationships/hyperlink" Target="https://vanillabonds.com/dossier-data/pdf/fastned/fastned-2024-annual-report.pdf#page=86" TargetMode="External" Id="rId569"/><Relationship Type="http://schemas.openxmlformats.org/officeDocument/2006/relationships/hyperlink" Target="https://vanillabonds.com/dossier-data/pdf/fastned/fastned-2024-annual-report.pdf#page=124" TargetMode="External" Id="rId570"/><Relationship Type="http://schemas.openxmlformats.org/officeDocument/2006/relationships/hyperlink" Target="https://vanillabonds.com/dossier-data/pdf/fastned/fastned-2024-annual-report.pdf#page=127" TargetMode="External" Id="rId571"/><Relationship Type="http://schemas.openxmlformats.org/officeDocument/2006/relationships/hyperlink" Target="https://vanillabonds.com/dossier-data/pdf/fastned/fastned-2024-annual-report.pdf#page=130" TargetMode="External" Id="rId572"/><Relationship Type="http://schemas.openxmlformats.org/officeDocument/2006/relationships/hyperlink" Target="https://vanillabonds.com/dossier-data/pdf/fastned/fastned-2024-annual-report.pdf#page=147" TargetMode="External" Id="rId573"/><Relationship Type="http://schemas.openxmlformats.org/officeDocument/2006/relationships/hyperlink" Target="https://vanillabonds.com/dossier-data/pdf/fastned/fastned-2024-annual-report.pdf#page=147" TargetMode="External" Id="rId574"/><Relationship Type="http://schemas.openxmlformats.org/officeDocument/2006/relationships/hyperlink" Target="https://vanillabonds.com/dossier-data/pdf/fastned/fastned-2024-annual-report.pdf#page=147" TargetMode="External" Id="rId575"/><Relationship Type="http://schemas.openxmlformats.org/officeDocument/2006/relationships/hyperlink" Target="https://vanillabonds.com/dossier-data/pdf/fastned/fastned-2024-annual-report.pdf#page=147" TargetMode="External" Id="rId576"/><Relationship Type="http://schemas.openxmlformats.org/officeDocument/2006/relationships/hyperlink" Target="https://vanillabonds.com/dossier-data/pdf/fastned/fastned-2024-annual-report.pdf#page=157" TargetMode="External" Id="rId577"/><Relationship Type="http://schemas.openxmlformats.org/officeDocument/2006/relationships/hyperlink" Target="https://vanillabonds.com/dossier-data/pdf/fastned/fastned-2024-annual-report.pdf#page=167" TargetMode="External" Id="rId578"/><Relationship Type="http://schemas.openxmlformats.org/officeDocument/2006/relationships/hyperlink" Target="https://vanillabonds.com/dossier-data/pdf/fastned/fastned-2024-annual-report.pdf#page=167" TargetMode="External" Id="rId579"/><Relationship Type="http://schemas.openxmlformats.org/officeDocument/2006/relationships/hyperlink" Target="https://vanillabonds.com/dossier-data/pdf/fastned/fastned-2024-annual-report.pdf#page=81" TargetMode="External" Id="rId580"/><Relationship Type="http://schemas.openxmlformats.org/officeDocument/2006/relationships/hyperlink" Target="https://vanillabonds.com/dossier-data/pdf/fastned/fastned-2024-annual-report.pdf#page=81" TargetMode="External" Id="rId581"/><Relationship Type="http://schemas.openxmlformats.org/officeDocument/2006/relationships/hyperlink" Target="https://vanillabonds.com/dossier-data/pdf/fastned/fastned-2024-annual-report.pdf#page=81" TargetMode="External" Id="rId582"/><Relationship Type="http://schemas.openxmlformats.org/officeDocument/2006/relationships/hyperlink" Target="https://vanillabonds.com/dossier-data/pdf/fastned/fastned-2024-annual-report.pdf#page=129" TargetMode="External" Id="rId583"/><Relationship Type="http://schemas.openxmlformats.org/officeDocument/2006/relationships/hyperlink" Target="https://vanillabonds.com/dossier-data/pdf/fastned/fastned-2024-annual-report.pdf#page=129" TargetMode="External" Id="rId584"/><Relationship Type="http://schemas.openxmlformats.org/officeDocument/2006/relationships/hyperlink" Target="https://vanillabonds.com/dossier-data/pdf/fastned/fastned-2024-annual-report.pdf#page=39" TargetMode="External" Id="rId585"/><Relationship Type="http://schemas.openxmlformats.org/officeDocument/2006/relationships/hyperlink" Target="https://vanillabonds.com/dossier-data/pdf/fastned/fastned-2024-annual-report.pdf#page=132" TargetMode="External" Id="rId586"/><Relationship Type="http://schemas.openxmlformats.org/officeDocument/2006/relationships/hyperlink" Target="https://vanillabonds.com/dossier-data/pdf/fastned/fastned-2024-annual-report.pdf#page=131" TargetMode="External" Id="rId587"/><Relationship Type="http://schemas.openxmlformats.org/officeDocument/2006/relationships/hyperlink" Target="https://vanillabonds.com/dossier-data/pdf/fastned/fastned-2024-annual-report.pdf#page=39" TargetMode="External" Id="rId588"/><Relationship Type="http://schemas.openxmlformats.org/officeDocument/2006/relationships/hyperlink" Target="https://vanillabonds.com/dossier-data/pdf/fastned/fastned-2024-annual-report.pdf#page=39" TargetMode="External" Id="rId589"/><Relationship Type="http://schemas.openxmlformats.org/officeDocument/2006/relationships/hyperlink" Target="https://vanillabonds.com/dossier-data/pdf/fastned/fastned-2024-annual-report.pdf#page=39" TargetMode="External" Id="rId590"/><Relationship Type="http://schemas.openxmlformats.org/officeDocument/2006/relationships/hyperlink" Target="https://vanillabonds.com/dossier-data/pdf/fastned/fastned-2024-annual-report.pdf#page=100" TargetMode="External" Id="rId591"/><Relationship Type="http://schemas.openxmlformats.org/officeDocument/2006/relationships/hyperlink" Target="https://vanillabonds.com/dossier-data/pdf/fastned/fastned-2024-annual-report.pdf#page=100" TargetMode="External" Id="rId592"/><Relationship Type="http://schemas.openxmlformats.org/officeDocument/2006/relationships/hyperlink" Target="https://vanillabonds.com/dossier-data/pdf/fastned/fastned-2024-annual-report.pdf#page=39" TargetMode="External" Id="rId593"/><Relationship Type="http://schemas.openxmlformats.org/officeDocument/2006/relationships/hyperlink" Target="https://vanillabonds.com/dossier-data/pdf/fastned/fastned-2024-annual-report.pdf#page=139" TargetMode="External" Id="rId594"/><Relationship Type="http://schemas.openxmlformats.org/officeDocument/2006/relationships/hyperlink" Target="https://vanillabonds.com/dossier-data/pdf/fastned/fastned-2024-annual-report.pdf#page=139" TargetMode="External" Id="rId595"/><Relationship Type="http://schemas.openxmlformats.org/officeDocument/2006/relationships/hyperlink" Target="https://vanillabonds.com/dossier-data/pdf/fastned/fastned-2024-annual-report.pdf#page=39" TargetMode="External" Id="rId596"/><Relationship Type="http://schemas.openxmlformats.org/officeDocument/2006/relationships/hyperlink" Target="https://vanillabonds.com/dossier-data/pdf/fastned/fastned-2024-annual-report.pdf#page=132" TargetMode="External" Id="rId597"/><Relationship Type="http://schemas.openxmlformats.org/officeDocument/2006/relationships/hyperlink" Target="https://vanillabonds.com/dossier-data/pdf/fastned/fastned-2024-annual-report.pdf#page=131" TargetMode="External" Id="rId598"/><Relationship Type="http://schemas.openxmlformats.org/officeDocument/2006/relationships/hyperlink" Target="https://vanillabonds.com/dossier-data/pdf/fastned/fastned-2024-annual-report.pdf#page=39" TargetMode="External" Id="rId599"/><Relationship Type="http://schemas.openxmlformats.org/officeDocument/2006/relationships/hyperlink" Target="https://vanillabonds.com/dossier-data/pdf/fastned/fastned-2024-annual-report.pdf#page=39" TargetMode="External" Id="rId600"/><Relationship Type="http://schemas.openxmlformats.org/officeDocument/2006/relationships/hyperlink" Target="https://vanillabonds.com/dossier-data/pdf/fastned/fastned-2024-annual-report.pdf#page=39" TargetMode="External" Id="rId601"/><Relationship Type="http://schemas.openxmlformats.org/officeDocument/2006/relationships/hyperlink" Target="https://vanillabonds.com/dossier-data/pdf/fastned/fastned-2024-annual-report.pdf#page=41" TargetMode="External" Id="rId602"/><Relationship Type="http://schemas.openxmlformats.org/officeDocument/2006/relationships/hyperlink" Target="https://vanillabonds.com/dossier-data/pdf/fastned/fastned-2024-annual-report.pdf#page=104" TargetMode="External" Id="rId603"/><Relationship Type="http://schemas.openxmlformats.org/officeDocument/2006/relationships/hyperlink" Target="https://vanillabonds.com/dossier-data/pdf/fastned/fastned-2024-annual-report.pdf#page=104" TargetMode="External" Id="rId604"/><Relationship Type="http://schemas.openxmlformats.org/officeDocument/2006/relationships/hyperlink" Target="https://vanillabonds.com/dossier-data/pdf/fastned/fastned-2024-annual-report.pdf#page=104" TargetMode="External" Id="rId605"/><Relationship Type="http://schemas.openxmlformats.org/officeDocument/2006/relationships/hyperlink" Target="https://vanillabonds.com/dossier-data/pdf/fastned/fastned-2024-annual-report.pdf#page=141" TargetMode="External" Id="rId606"/><Relationship Type="http://schemas.openxmlformats.org/officeDocument/2006/relationships/hyperlink" Target="https://vanillabonds.com/dossier-data/pdf/fastned/fastned-2024-annual-report.pdf#page=104" TargetMode="External" Id="rId607"/><Relationship Type="http://schemas.openxmlformats.org/officeDocument/2006/relationships/hyperlink" Target="https://vanillabonds.com/dossier-data/pdf/fastned/fastned-2024-annual-report.pdf#page=141" TargetMode="External" Id="rId608"/><Relationship Type="http://schemas.openxmlformats.org/officeDocument/2006/relationships/hyperlink" Target="https://vanillabonds.com/dossier-data/pdf/fastned/fastned-2024-annual-report.pdf#page=41" TargetMode="External" Id="rId609"/><Relationship Type="http://schemas.openxmlformats.org/officeDocument/2006/relationships/hyperlink" Target="https://vanillabonds.com/dossier-data/pdf/fastned/fastned-2024-annual-report.pdf#page=156" TargetMode="External" Id="rId610"/><Relationship Type="http://schemas.openxmlformats.org/officeDocument/2006/relationships/hyperlink" Target="https://vanillabonds.com/dossier-data/pdf/fastned/fastned-2024-annual-report.pdf#page=156" TargetMode="External" Id="rId611"/><Relationship Type="http://schemas.openxmlformats.org/officeDocument/2006/relationships/hyperlink" Target="https://vanillabonds.com/dossier-data/pdf/fastned/fastned-2024-annual-report.pdf#page=146" TargetMode="External" Id="rId612"/><Relationship Type="http://schemas.openxmlformats.org/officeDocument/2006/relationships/hyperlink" Target="https://vanillabonds.com/dossier-data/pdf/fastned/fastned-2024-annual-report.pdf#page=146" TargetMode="External" Id="rId613"/><Relationship Type="http://schemas.openxmlformats.org/officeDocument/2006/relationships/hyperlink" Target="https://vanillabonds.com/dossier-data/pdf/fastned/fastned-2024-annual-report.pdf#page=158" TargetMode="External" Id="rId614"/><Relationship Type="http://schemas.openxmlformats.org/officeDocument/2006/relationships/hyperlink" Target="https://vanillabonds.com/dossier-data/pdf/fastned/fastned-2024-annual-report.pdf#page=158" TargetMode="External" Id="rId615"/><Relationship Type="http://schemas.openxmlformats.org/officeDocument/2006/relationships/hyperlink" Target="https://vanillabonds.com/dossier-data/pdf/fastned/fastned-2024-annual-report.pdf#page=41" TargetMode="External" Id="rId616"/><Relationship Type="http://schemas.openxmlformats.org/officeDocument/2006/relationships/hyperlink" Target="https://vanillabonds.com/dossier-data/pdf/fastned/fastned-2024-annual-report.pdf#page=102" TargetMode="External" Id="rId617"/><Relationship Type="http://schemas.openxmlformats.org/officeDocument/2006/relationships/hyperlink" Target="https://vanillabonds.com/dossier-data/pdf/fastned/fastned-2024-annual-report.pdf#page=102" TargetMode="External" Id="rId618"/><Relationship Type="http://schemas.openxmlformats.org/officeDocument/2006/relationships/hyperlink" Target="https://vanillabonds.com/dossier-data/pdf/fastned/fastned-2024-annual-report.pdf#page=41" TargetMode="External" Id="rId619"/><Relationship Type="http://schemas.openxmlformats.org/officeDocument/2006/relationships/hyperlink" Target="https://vanillabonds.com/dossier-data/pdf/fastned/fastned-2024-annual-report.pdf#page=102" TargetMode="External" Id="rId620"/><Relationship Type="http://schemas.openxmlformats.org/officeDocument/2006/relationships/hyperlink" Target="https://vanillabonds.com/dossier-data/pdf/fastned/fastned-2024-annual-report.pdf#page=102" TargetMode="External" Id="rId621"/><Relationship Type="http://schemas.openxmlformats.org/officeDocument/2006/relationships/hyperlink" Target="https://vanillabonds.com/dossier-data/pdf/fastned/fastned-2024-annual-report.pdf#page=146" TargetMode="External" Id="rId622"/><Relationship Type="http://schemas.openxmlformats.org/officeDocument/2006/relationships/hyperlink" Target="https://vanillabonds.com/dossier-data/pdf/fastned/fastned-2024-annual-report.pdf#page=146" TargetMode="External" Id="rId623"/><Relationship Type="http://schemas.openxmlformats.org/officeDocument/2006/relationships/hyperlink" Target="https://vanillabonds.com/dossier-data/pdf/fastned/fastned-2024-annual-report.pdf#page=146" TargetMode="External" Id="rId624"/><Relationship Type="http://schemas.openxmlformats.org/officeDocument/2006/relationships/hyperlink" Target="https://vanillabonds.com/dossier-data/pdf/fastned/fastned-2024-annual-report.pdf#page=146" TargetMode="External" Id="rId625"/><Relationship Type="http://schemas.openxmlformats.org/officeDocument/2006/relationships/hyperlink" Target="https://vanillabonds.com/dossier-data/pdf/fastned/fastned-2024-annual-report.pdf#page=146" TargetMode="External" Id="rId626"/><Relationship Type="http://schemas.openxmlformats.org/officeDocument/2006/relationships/hyperlink" Target="https://vanillabonds.com/dossier-data/pdf/fastned/fastned-2024-annual-report.pdf#page=146" TargetMode="External" Id="rId627"/><Relationship Type="http://schemas.openxmlformats.org/officeDocument/2006/relationships/hyperlink" Target="https://vanillabonds.com/dossier-data/pdf/fastned/fastned-2024-annual-report.pdf#page=146" TargetMode="External" Id="rId628"/><Relationship Type="http://schemas.openxmlformats.org/officeDocument/2006/relationships/hyperlink" Target="https://vanillabonds.com/dossier-data/pdf/fastned/fastned-2024-annual-report.pdf#page=146" TargetMode="External" Id="rId629"/><Relationship Type="http://schemas.openxmlformats.org/officeDocument/2006/relationships/hyperlink" Target="https://vanillabonds.com/dossier-data/pdf/fastned/fastned-2024-annual-report.pdf#page=146" TargetMode="External" Id="rId630"/><Relationship Type="http://schemas.openxmlformats.org/officeDocument/2006/relationships/hyperlink" Target="https://vanillabonds.com/dossier-data/pdf/fastned/fastned-2024-annual-report.pdf#page=146" TargetMode="External" Id="rId631"/><Relationship Type="http://schemas.openxmlformats.org/officeDocument/2006/relationships/hyperlink" Target="https://vanillabonds.com/dossier-data/pdf/fastned/fastned-2024-annual-report.pdf#page=146" TargetMode="External" Id="rId632"/><Relationship Type="http://schemas.openxmlformats.org/officeDocument/2006/relationships/hyperlink" Target="https://vanillabonds.com/dossier-data/pdf/fastned/fastned-2024-annual-report.pdf#page=146" TargetMode="External" Id="rId633"/><Relationship Type="http://schemas.openxmlformats.org/officeDocument/2006/relationships/hyperlink" Target="https://vanillabonds.com/dossier-data/pdf/fastned/fastned-2024-annual-report.pdf#page=147" TargetMode="External" Id="rId634"/><Relationship Type="http://schemas.openxmlformats.org/officeDocument/2006/relationships/hyperlink" Target="https://vanillabonds.com/dossier-data/pdf/fastned/fastned-2024-annual-report.pdf#page=32" TargetMode="External" Id="rId635"/><Relationship Type="http://schemas.openxmlformats.org/officeDocument/2006/relationships/hyperlink" Target="https://vanillabonds.com/dossier-data/pdf/fastned/fastned-2024-annual-report.pdf#page=40" TargetMode="External" Id="rId636"/><Relationship Type="http://schemas.openxmlformats.org/officeDocument/2006/relationships/hyperlink" Target="https://vanillabonds.com/dossier-data/pdf/fastned/fastned-2024-annual-report.pdf#page=41" TargetMode="External" Id="rId637"/><Relationship Type="http://schemas.openxmlformats.org/officeDocument/2006/relationships/hyperlink" Target="https://vanillabonds.com/dossier-data/pdf/fastned/fastned-2024-annual-report.pdf#page=63" TargetMode="External" Id="rId638"/><Relationship Type="http://schemas.openxmlformats.org/officeDocument/2006/relationships/hyperlink" Target="https://vanillabonds.com/dossier-data/pdf/fastned/fastned-2024-annual-report.pdf#page=66" TargetMode="External" Id="rId639"/><Relationship Type="http://schemas.openxmlformats.org/officeDocument/2006/relationships/hyperlink" Target="https://vanillabonds.com/dossier-data/pdf/fastned/fastned-2024-annual-report.pdf#page=66" TargetMode="External" Id="rId640"/><Relationship Type="http://schemas.openxmlformats.org/officeDocument/2006/relationships/hyperlink" Target="https://vanillabonds.com/dossier-data/pdf/fastned/fastned-2024-annual-report.pdf#page=67" TargetMode="External" Id="rId641"/><Relationship Type="http://schemas.openxmlformats.org/officeDocument/2006/relationships/hyperlink" Target="https://vanillabonds.com/dossier-data/pdf/fastned/fastned-2024-annual-report.pdf#page=68" TargetMode="External" Id="rId642"/><Relationship Type="http://schemas.openxmlformats.org/officeDocument/2006/relationships/hyperlink" Target="https://vanillabonds.com/dossier-data/pdf/fastned/fastned-2024-annual-report.pdf#page=69" TargetMode="External" Id="rId643"/><Relationship Type="http://schemas.openxmlformats.org/officeDocument/2006/relationships/hyperlink" Target="https://vanillabonds.com/dossier-data/pdf/fastned/fastned-2024-annual-report.pdf#page=69" TargetMode="External" Id="rId644"/><Relationship Type="http://schemas.openxmlformats.org/officeDocument/2006/relationships/hyperlink" Target="https://vanillabonds.com/dossier-data/pdf/fastned/fastned-2024-annual-report.pdf#page=70" TargetMode="External" Id="rId645"/><Relationship Type="http://schemas.openxmlformats.org/officeDocument/2006/relationships/hyperlink" Target="https://vanillabonds.com/dossier-data/pdf/fastned/fastned-2024-annual-report.pdf#page=70" TargetMode="External" Id="rId646"/><Relationship Type="http://schemas.openxmlformats.org/officeDocument/2006/relationships/hyperlink" Target="https://vanillabonds.com/dossier-data/pdf/fastned/fastned-2024-annual-report.pdf#page=106" TargetMode="External" Id="rId647"/><Relationship Type="http://schemas.openxmlformats.org/officeDocument/2006/relationships/hyperlink" Target="https://vanillabonds.com/dossier-data/pdf/fastned/fastned-2024-annual-report.pdf#page=106" TargetMode="External" Id="rId648"/><Relationship Type="http://schemas.openxmlformats.org/officeDocument/2006/relationships/hyperlink" Target="https://vanillabonds.com/dossier-data/pdf/fastned/fastned-2024-annual-report.pdf#page=115" TargetMode="External" Id="rId649"/><Relationship Type="http://schemas.openxmlformats.org/officeDocument/2006/relationships/hyperlink" Target="https://vanillabonds.com/dossier-data/pdf/fastned/fastned-2024-annual-report.pdf#page=123" TargetMode="External" Id="rId650"/><Relationship Type="http://schemas.openxmlformats.org/officeDocument/2006/relationships/hyperlink" Target="https://vanillabonds.com/dossier-data/pdf/fastned/fastned-2024-annual-report.pdf#page=143" TargetMode="External" Id="rId651"/><Relationship Type="http://schemas.openxmlformats.org/officeDocument/2006/relationships/hyperlink" Target="https://vanillabonds.com/dossier-data/pdf/fastned/fastned-2024-annual-report.pdf#page=151" TargetMode="External" Id="rId652"/><Relationship Type="http://schemas.openxmlformats.org/officeDocument/2006/relationships/hyperlink" Target="https://vanillabonds.com/dossier-data/pdf/fastned/fastned-2024-annual-report.pdf#page=151" TargetMode="External" Id="rId653"/><Relationship Type="http://schemas.openxmlformats.org/officeDocument/2006/relationships/hyperlink" Target="https://vanillabonds.com/dossier-data/pdf/fastned/fastned-2024-annual-report.pdf#page=152" TargetMode="External" Id="rId654"/><Relationship Type="http://schemas.openxmlformats.org/officeDocument/2006/relationships/hyperlink" Target="https://vanillabonds.com/dossier-data/pdf/fastned/fastned-2024-annual-report.pdf#page=152" TargetMode="External" Id="rId655"/><Relationship Type="http://schemas.openxmlformats.org/officeDocument/2006/relationships/hyperlink" Target="https://vanillabonds.com/dossier-data/pdf/fastned/fastned-2024-annual-report.pdf#page=153" TargetMode="External" Id="rId656"/><Relationship Type="http://schemas.openxmlformats.org/officeDocument/2006/relationships/hyperlink" Target="https://vanillabonds.com/dossier-data/pdf/fastned/fastned-2024-annual-report.pdf#page=155" TargetMode="External" Id="rId657"/><Relationship Type="http://schemas.openxmlformats.org/officeDocument/2006/relationships/hyperlink" Target="https://vanillabonds.com/dossier-data/pdf/fastned/fastned-2024-annual-report.pdf#page=188" TargetMode="External" Id="rId658"/><Relationship Type="http://schemas.openxmlformats.org/officeDocument/2006/relationships/hyperlink" Target="https://vanillabonds.com/dossier-data/pdf/fastned/fastned-2024-annual-report.pdf#page=188" TargetMode="External" Id="rId659"/><Relationship Type="http://schemas.openxmlformats.org/officeDocument/2006/relationships/hyperlink" Target="https://vanillabonds.com/dossier-data/pdf/fastned/fastned-2024-annual-report.pdf#page=189" TargetMode="External" Id="rId660"/><Relationship Type="http://schemas.openxmlformats.org/officeDocument/2006/relationships/hyperlink" Target="https://vanillabonds.com/dossier-data/pdf/fastned/fastned-2024-annual-report.pdf#page=198" TargetMode="External" Id="rId661"/><Relationship Type="http://schemas.openxmlformats.org/officeDocument/2006/relationships/hyperlink" Target="https://vanillabonds.com/dossier-data/pdf/fastned/fastned-2024-annual-report.pdf#page=23" TargetMode="External" Id="rId662"/><Relationship Type="http://schemas.openxmlformats.org/officeDocument/2006/relationships/hyperlink" Target="https://vanillabonds.com/dossier-data/pdf/fastned/fastned-2024-annual-report.pdf#page=93" TargetMode="External" Id="rId663"/><Relationship Type="http://schemas.openxmlformats.org/officeDocument/2006/relationships/hyperlink" Target="https://vanillabonds.com/dossier-data/pdf/fastned/fastned-2024-annual-report.pdf#page=94" TargetMode="External" Id="rId664"/><Relationship Type="http://schemas.openxmlformats.org/officeDocument/2006/relationships/hyperlink" Target="https://vanillabonds.com/dossier-data/pdf/fastned/fastned-2024-annual-report.pdf#page=94" TargetMode="External" Id="rId665"/><Relationship Type="http://schemas.openxmlformats.org/officeDocument/2006/relationships/hyperlink" Target="https://vanillabonds.com/dossier-data/pdf/fastned/fastned-2024-annual-report.pdf#page=160" TargetMode="External" Id="rId666"/><Relationship Type="http://schemas.openxmlformats.org/officeDocument/2006/relationships/hyperlink" Target="https://vanillabonds.com/dossier-data/pdf/fastned/fastned-2024-annual-report.pdf#page=164" TargetMode="External" Id="rId667"/><Relationship Type="http://schemas.openxmlformats.org/officeDocument/2006/relationships/hyperlink" Target="https://vanillabonds.com/dossier-data/pdf/fastned/fastned-2024-annual-report.pdf#page=185" TargetMode="External" Id="rId668"/><Relationship Type="http://schemas.openxmlformats.org/officeDocument/2006/relationships/hyperlink" Target="https://vanillabonds.com/dossier-data/pdf/fastned/fastned-2024-annual-report.pdf#page=156" TargetMode="External" Id="rId669"/><Relationship Type="http://schemas.openxmlformats.org/officeDocument/2006/relationships/hyperlink" Target="https://vanillabonds.com/dossier-data/pdf/fastned/fastned-2024-annual-report.pdf#page=127" TargetMode="External" Id="rId670"/><Relationship Type="http://schemas.openxmlformats.org/officeDocument/2006/relationships/hyperlink" Target="https://vanillabonds.com/dossier-data/pdf/fastned/fastned-2024-annual-report.pdf#page=127" TargetMode="External" Id="rId671"/><Relationship Type="http://schemas.openxmlformats.org/officeDocument/2006/relationships/hyperlink" Target="https://vanillabonds.com/dossier-data/pdf/fastned/fastned-2024-annual-report.pdf#page=73" TargetMode="External" Id="rId672"/><Relationship Type="http://schemas.openxmlformats.org/officeDocument/2006/relationships/hyperlink" Target="https://vanillabonds.com/dossier-data/pdf/fastned/fastned-2024-annual-report.pdf#page=172" TargetMode="External" Id="rId673"/><Relationship Type="http://schemas.openxmlformats.org/officeDocument/2006/relationships/hyperlink" Target="https://vanillabonds.com/dossier-data/pdf/fastned/fastned-2024-annual-report.pdf#page=37" TargetMode="External" Id="rId674"/><Relationship Type="http://schemas.openxmlformats.org/officeDocument/2006/relationships/hyperlink" Target="https://vanillabonds.com/dossier-data/pdf/fastned/fastned-2024-annual-report.pdf#page=74" TargetMode="External" Id="rId675"/><Relationship Type="http://schemas.openxmlformats.org/officeDocument/2006/relationships/hyperlink" Target="https://vanillabonds.com/dossier-data/pdf/fastned/fastned-2024-annual-report.pdf#page=75" TargetMode="External" Id="rId676"/><Relationship Type="http://schemas.openxmlformats.org/officeDocument/2006/relationships/hyperlink" Target="https://vanillabonds.com/dossier-data/pdf/fastned/fastned-2024-annual-report.pdf#page=75" TargetMode="External" Id="rId677"/><Relationship Type="http://schemas.openxmlformats.org/officeDocument/2006/relationships/hyperlink" Target="https://vanillabonds.com/dossier-data/pdf/fastned/fastned-2024-annual-report.pdf#page=76" TargetMode="External" Id="rId678"/><Relationship Type="http://schemas.openxmlformats.org/officeDocument/2006/relationships/hyperlink" Target="https://vanillabonds.com/dossier-data/pdf/fastned/fastned-2024-annual-report.pdf#page=76" TargetMode="External" Id="rId679"/><Relationship Type="http://schemas.openxmlformats.org/officeDocument/2006/relationships/hyperlink" Target="https://vanillabonds.com/dossier-data/pdf/fastned/fastned-2024-annual-report.pdf#page=76" TargetMode="External" Id="rId680"/><Relationship Type="http://schemas.openxmlformats.org/officeDocument/2006/relationships/hyperlink" Target="https://vanillabonds.com/dossier-data/pdf/fastned/fastned-2024-annual-report.pdf#page=78" TargetMode="External" Id="rId681"/><Relationship Type="http://schemas.openxmlformats.org/officeDocument/2006/relationships/hyperlink" Target="https://vanillabonds.com/dossier-data/pdf/fastned/fastned-2024-annual-report.pdf#page=78" TargetMode="External" Id="rId682"/><Relationship Type="http://schemas.openxmlformats.org/officeDocument/2006/relationships/hyperlink" Target="https://vanillabonds.com/dossier-data/pdf/fastned/fastned-2024-annual-report.pdf#page=85" TargetMode="External" Id="rId683"/><Relationship Type="http://schemas.openxmlformats.org/officeDocument/2006/relationships/hyperlink" Target="https://vanillabonds.com/dossier-data/pdf/fastned/fastned-2024-annual-report.pdf#page=86" TargetMode="External" Id="rId684"/><Relationship Type="http://schemas.openxmlformats.org/officeDocument/2006/relationships/hyperlink" Target="https://vanillabonds.com/dossier-data/pdf/fastned/fastned-2024-annual-report.pdf#page=93" TargetMode="External" Id="rId685"/><Relationship Type="http://schemas.openxmlformats.org/officeDocument/2006/relationships/hyperlink" Target="https://vanillabonds.com/dossier-data/pdf/fastned/fastned-2024-annual-report.pdf#page=116" TargetMode="External" Id="rId686"/><Relationship Type="http://schemas.openxmlformats.org/officeDocument/2006/relationships/hyperlink" Target="https://vanillabonds.com/dossier-data/pdf/fastned/fastned-2024-annual-report.pdf#page=125" TargetMode="External" Id="rId687"/><Relationship Type="http://schemas.openxmlformats.org/officeDocument/2006/relationships/hyperlink" Target="https://vanillabonds.com/dossier-data/pdf/fastned/fastned-2024-annual-report.pdf#page=127" TargetMode="External" Id="rId688"/><Relationship Type="http://schemas.openxmlformats.org/officeDocument/2006/relationships/hyperlink" Target="https://vanillabonds.com/dossier-data/pdf/fastned/fastned-2024-annual-report.pdf#page=157" TargetMode="External" Id="rId689"/><Relationship Type="http://schemas.openxmlformats.org/officeDocument/2006/relationships/hyperlink" Target="https://vanillabonds.com/dossier-data/pdf/fastned/fastned-2024-annual-report.pdf#page=157" TargetMode="External" Id="rId690"/><Relationship Type="http://schemas.openxmlformats.org/officeDocument/2006/relationships/hyperlink" Target="https://vanillabonds.com/dossier-data/pdf/fastned/fastned-2024-annual-report.pdf#page=166" TargetMode="External" Id="rId691"/><Relationship Type="http://schemas.openxmlformats.org/officeDocument/2006/relationships/hyperlink" Target="https://vanillabonds.com/dossier-data/pdf/fastned/fastned-2024-annual-report.pdf#page=184" TargetMode="External" Id="rId692"/><Relationship Type="http://schemas.openxmlformats.org/officeDocument/2006/relationships/hyperlink" Target="https://vanillabonds.com/dossier-data/pdf/fastned/fastned-2024-annual-report.pdf#page=184" TargetMode="External" Id="rId693"/><Relationship Type="http://schemas.openxmlformats.org/officeDocument/2006/relationships/hyperlink" Target="https://vanillabonds.com/dossier-data/pdf/fastned/fastned-2024-annual-report.pdf#page=185" TargetMode="External" Id="rId694"/><Relationship Type="http://schemas.openxmlformats.org/officeDocument/2006/relationships/hyperlink" Target="https://vanillabonds.com/dossier-data/pdf/fastned/fastned-2024-annual-report.pdf#page=186" TargetMode="External" Id="rId695"/><Relationship Type="http://schemas.openxmlformats.org/officeDocument/2006/relationships/hyperlink" Target="https://vanillabonds.com/dossier-data/pdf/fastned/fastned-2024-annual-report.pdf#page=188" TargetMode="External" Id="rId696"/><Relationship Type="http://schemas.openxmlformats.org/officeDocument/2006/relationships/hyperlink" Target="https://vanillabonds.com/dossier-data/pdf/fastned/fastned-2024-annual-report.pdf#page=190" TargetMode="External" Id="rId697"/><Relationship Type="http://schemas.openxmlformats.org/officeDocument/2006/relationships/hyperlink" Target="https://vanillabonds.com/dossier-data/pdf/fastned/fastned-2024-annual-report.pdf#page=193" TargetMode="External" Id="rId698"/><Relationship Type="http://schemas.openxmlformats.org/officeDocument/2006/relationships/hyperlink" Target="https://vanillabonds.com/dossier-data/pdf/fastned/fastned-2024-annual-report.pdf#page=45" TargetMode="External" Id="rId699"/><Relationship Type="http://schemas.openxmlformats.org/officeDocument/2006/relationships/hyperlink" Target="https://vanillabonds.com/dossier-data/pdf/fastned/fastned-2024-annual-report.pdf#page=64" TargetMode="External" Id="rId700"/><Relationship Type="http://schemas.openxmlformats.org/officeDocument/2006/relationships/hyperlink" Target="https://vanillabonds.com/dossier-data/pdf/fastned/fastned-2024-annual-report.pdf#page=67" TargetMode="External" Id="rId701"/><Relationship Type="http://schemas.openxmlformats.org/officeDocument/2006/relationships/hyperlink" Target="https://vanillabonds.com/dossier-data/pdf/fastned/fastned-2024-annual-report.pdf#page=86" TargetMode="External" Id="rId702"/><Relationship Type="http://schemas.openxmlformats.org/officeDocument/2006/relationships/hyperlink" Target="https://vanillabonds.com/dossier-data/pdf/fastned/fastned-2024-annual-report.pdf#page=95" TargetMode="External" Id="rId703"/><Relationship Type="http://schemas.openxmlformats.org/officeDocument/2006/relationships/hyperlink" Target="https://vanillabonds.com/dossier-data/pdf/fastned/fastned-2024-annual-report.pdf#page=96" TargetMode="External" Id="rId704"/><Relationship Type="http://schemas.openxmlformats.org/officeDocument/2006/relationships/hyperlink" Target="https://vanillabonds.com/dossier-data/pdf/fastned/fastned-2024-annual-report.pdf#page=106" TargetMode="External" Id="rId705"/><Relationship Type="http://schemas.openxmlformats.org/officeDocument/2006/relationships/hyperlink" Target="https://vanillabonds.com/dossier-data/pdf/fastned/fastned-2024-annual-report.pdf#page=106" TargetMode="External" Id="rId706"/><Relationship Type="http://schemas.openxmlformats.org/officeDocument/2006/relationships/hyperlink" Target="https://vanillabonds.com/dossier-data/pdf/fastned/fastned-2024-annual-report.pdf#page=115" TargetMode="External" Id="rId707"/><Relationship Type="http://schemas.openxmlformats.org/officeDocument/2006/relationships/hyperlink" Target="https://vanillabonds.com/dossier-data/pdf/fastned/fastned-2024-annual-report.pdf#page=123" TargetMode="External" Id="rId708"/><Relationship Type="http://schemas.openxmlformats.org/officeDocument/2006/relationships/hyperlink" Target="https://vanillabonds.com/dossier-data/pdf/fastned/fastned-2024-annual-report.pdf#page=125" TargetMode="External" Id="rId709"/><Relationship Type="http://schemas.openxmlformats.org/officeDocument/2006/relationships/hyperlink" Target="https://vanillabonds.com/dossier-data/pdf/fastned/fastned-2024-annual-report.pdf#page=131" TargetMode="External" Id="rId710"/><Relationship Type="http://schemas.openxmlformats.org/officeDocument/2006/relationships/hyperlink" Target="https://vanillabonds.com/dossier-data/pdf/fastned/fastned-2024-annual-report.pdf#page=142" TargetMode="External" Id="rId711"/><Relationship Type="http://schemas.openxmlformats.org/officeDocument/2006/relationships/hyperlink" Target="https://vanillabonds.com/dossier-data/pdf/fastned/fastned-2024-annual-report.pdf#page=152" TargetMode="External" Id="rId712"/><Relationship Type="http://schemas.openxmlformats.org/officeDocument/2006/relationships/hyperlink" Target="https://vanillabonds.com/dossier-data/pdf/fastned/fastned-2024-annual-report.pdf#page=202" TargetMode="External" Id="rId713"/><Relationship Type="http://schemas.openxmlformats.org/officeDocument/2006/relationships/hyperlink" Target="https://vanillabonds.com/dossier-data/pdf/fastned/fastned-2024-annual-report.pdf#page=203" TargetMode="External" Id="rId714"/><Relationship Type="http://schemas.openxmlformats.org/officeDocument/2006/relationships/hyperlink" Target="https://vanillabonds.com/dossier-data/pdf/fastned/fastned-2024-annual-report.pdf#page=8" TargetMode="External" Id="rId715"/><Relationship Type="http://schemas.openxmlformats.org/officeDocument/2006/relationships/hyperlink" Target="https://vanillabonds.com/dossier-data/pdf/fastned/fastned-2024-annual-report.pdf#page=8" TargetMode="External" Id="rId716"/><Relationship Type="http://schemas.openxmlformats.org/officeDocument/2006/relationships/hyperlink" Target="https://vanillabonds.com/dossier-data/pdf/fastned/fastned-2024-annual-report.pdf#page=33" TargetMode="External" Id="rId717"/><Relationship Type="http://schemas.openxmlformats.org/officeDocument/2006/relationships/hyperlink" Target="https://vanillabonds.com/dossier-data/pdf/fastned/fastned-2024-annual-report.pdf#page=33" TargetMode="External" Id="rId718"/><Relationship Type="http://schemas.openxmlformats.org/officeDocument/2006/relationships/hyperlink" Target="https://vanillabonds.com/dossier-data/pdf/fastned/fastned-2024-annual-report.pdf#page=33" TargetMode="External" Id="rId719"/><Relationship Type="http://schemas.openxmlformats.org/officeDocument/2006/relationships/hyperlink" Target="https://vanillabonds.com/dossier-data/pdf/fastned/fastned-2024-annual-report.pdf#page=33" TargetMode="External" Id="rId720"/><Relationship Type="http://schemas.openxmlformats.org/officeDocument/2006/relationships/hyperlink" Target="https://vanillabonds.com/dossier-data/pdf/fastned/fastned-2024-annual-report.pdf#page=33" TargetMode="External" Id="rId721"/><Relationship Type="http://schemas.openxmlformats.org/officeDocument/2006/relationships/hyperlink" Target="https://vanillabonds.com/dossier-data/pdf/fastned/fastned-2024-annual-report.pdf#page=66" TargetMode="External" Id="rId722"/><Relationship Type="http://schemas.openxmlformats.org/officeDocument/2006/relationships/hyperlink" Target="https://vanillabonds.com/dossier-data/pdf/fastned/fastned-2024-annual-report.pdf#page=130" TargetMode="External" Id="rId723"/><Relationship Type="http://schemas.openxmlformats.org/officeDocument/2006/relationships/hyperlink" Target="https://vanillabonds.com/dossier-data/pdf/fastned/fastned-2024-annual-report.pdf#page=143" TargetMode="External" Id="rId724"/><Relationship Type="http://schemas.openxmlformats.org/officeDocument/2006/relationships/hyperlink" Target="https://vanillabonds.com/dossier-data/pdf/fastned/fastned-2024-annual-report.pdf#page=58" TargetMode="External" Id="rId725"/><Relationship Type="http://schemas.openxmlformats.org/officeDocument/2006/relationships/hyperlink" Target="https://vanillabonds.com/dossier-data/pdf/fastned/fastned-2024-annual-report.pdf#page=67" TargetMode="External" Id="rId726"/><Relationship Type="http://schemas.openxmlformats.org/officeDocument/2006/relationships/hyperlink" Target="https://vanillabonds.com/dossier-data/pdf/fastned/fastned-2024-annual-report.pdf#page=133" TargetMode="External" Id="rId727"/><Relationship Type="http://schemas.openxmlformats.org/officeDocument/2006/relationships/hyperlink" Target="https://vanillabonds.com/dossier-data/pdf/fastned/fastned-2024-annual-report.pdf#page=133" TargetMode="External" Id="rId728"/><Relationship Type="http://schemas.openxmlformats.org/officeDocument/2006/relationships/hyperlink" Target="https://vanillabonds.com/dossier-data/pdf/fastned/fastned-2024-annual-report.pdf#page=156" TargetMode="External" Id="rId729"/><Relationship Type="http://schemas.openxmlformats.org/officeDocument/2006/relationships/hyperlink" Target="https://vanillabonds.com/dossier-data/pdf/fastned/fastned-2024-annual-report.pdf#page=158" TargetMode="External" Id="rId730"/><Relationship Type="http://schemas.openxmlformats.org/officeDocument/2006/relationships/hyperlink" Target="https://vanillabonds.com/dossier-data/pdf/fastned/fastned-2024-annual-report.pdf#page=16" TargetMode="External" Id="rId731"/><Relationship Type="http://schemas.openxmlformats.org/officeDocument/2006/relationships/hyperlink" Target="https://vanillabonds.com/dossier-data/pdf/fastned/fastned-2024-annual-report.pdf#page=40" TargetMode="External" Id="rId732"/><Relationship Type="http://schemas.openxmlformats.org/officeDocument/2006/relationships/hyperlink" Target="https://vanillabonds.com/dossier-data/pdf/fastned/fastned-2024-annual-report.pdf#page=58" TargetMode="External" Id="rId733"/><Relationship Type="http://schemas.openxmlformats.org/officeDocument/2006/relationships/hyperlink" Target="https://vanillabonds.com/dossier-data/pdf/fastned/fastned-2024-annual-report.pdf#page=60" TargetMode="External" Id="rId734"/><Relationship Type="http://schemas.openxmlformats.org/officeDocument/2006/relationships/hyperlink" Target="https://vanillabonds.com/dossier-data/pdf/fastned/fastned-2024-annual-report.pdf#page=70" TargetMode="External" Id="rId735"/><Relationship Type="http://schemas.openxmlformats.org/officeDocument/2006/relationships/hyperlink" Target="https://vanillabonds.com/dossier-data/pdf/fastned/fastned-2024-annual-report.pdf#page=125" TargetMode="External" Id="rId736"/><Relationship Type="http://schemas.openxmlformats.org/officeDocument/2006/relationships/hyperlink" Target="https://vanillabonds.com/dossier-data/pdf/fastned/fastned-2024-annual-report.pdf#page=127" TargetMode="External" Id="rId737"/><Relationship Type="http://schemas.openxmlformats.org/officeDocument/2006/relationships/hyperlink" Target="https://vanillabonds.com/dossier-data/pdf/fastned/fastned-2024-annual-report.pdf#page=162" TargetMode="External" Id="rId738"/><Relationship Type="http://schemas.openxmlformats.org/officeDocument/2006/relationships/hyperlink" Target="https://vanillabonds.com/dossier-data/pdf/fastned/fastned-2024-annual-report.pdf#page=153" TargetMode="External" Id="rId739"/><Relationship Type="http://schemas.openxmlformats.org/officeDocument/2006/relationships/hyperlink" Target="https://vanillabonds.com/dossier-data/pdf/fastned/fastned-2024-annual-report.pdf#page=146" TargetMode="External" Id="rId740"/><Relationship Type="http://schemas.openxmlformats.org/officeDocument/2006/relationships/hyperlink" Target="https://vanillabonds.com/dossier-data/pdf/fastned/fastned-2024-annual-report.pdf#page=146" TargetMode="External" Id="rId741"/><Relationship Type="http://schemas.openxmlformats.org/officeDocument/2006/relationships/hyperlink" Target="https://vanillabonds.com/dossier-data/pdf/fastned/fastned-2024-annual-report.pdf#page=147" TargetMode="External" Id="rId742"/><Relationship Type="http://schemas.openxmlformats.org/officeDocument/2006/relationships/hyperlink" Target="https://vanillabonds.com/dossier-data/pdf/fastned/fastned-2024-annual-report.pdf#page=156" TargetMode="External" Id="rId743"/><Relationship Type="http://schemas.openxmlformats.org/officeDocument/2006/relationships/hyperlink" Target="https://vanillabonds.com/dossier-data/pdf/fastned/fastned-2024-annual-report.pdf#page=69" TargetMode="External" Id="rId744"/><Relationship Type="http://schemas.openxmlformats.org/officeDocument/2006/relationships/hyperlink" Target="https://vanillabonds.com/dossier-data/pdf/fastned/fastned-2024-annual-report.pdf#page=126" TargetMode="External" Id="rId745"/><Relationship Type="http://schemas.openxmlformats.org/officeDocument/2006/relationships/hyperlink" Target="https://vanillabonds.com/dossier-data/pdf/fastned/fastned-2024-annual-report.pdf#page=126" TargetMode="External" Id="rId746"/><Relationship Type="http://schemas.openxmlformats.org/officeDocument/2006/relationships/hyperlink" Target="https://vanillabonds.com/dossier-data/pdf/fastned/fastned-2024-annual-report.pdf#page=126" TargetMode="External" Id="rId747"/><Relationship Type="http://schemas.openxmlformats.org/officeDocument/2006/relationships/hyperlink" Target="https://vanillabonds.com/dossier-data/pdf/fastned/fastned-2024-annual-report.pdf#page=126" TargetMode="External" Id="rId748"/><Relationship Type="http://schemas.openxmlformats.org/officeDocument/2006/relationships/hyperlink" Target="https://vanillabonds.com/dossier-data/pdf/fastned/fastned-2024-annual-report.pdf#page=126" TargetMode="External" Id="rId749"/><Relationship Type="http://schemas.openxmlformats.org/officeDocument/2006/relationships/hyperlink" Target="https://vanillabonds.com/dossier-data/pdf/fastned/fastned-2024-annual-report.pdf#page=126" TargetMode="External" Id="rId750"/><Relationship Type="http://schemas.openxmlformats.org/officeDocument/2006/relationships/hyperlink" Target="https://vanillabonds.com/dossier-data/pdf/fastned/fastned-2024-annual-report.pdf#page=126" TargetMode="External" Id="rId751"/><Relationship Type="http://schemas.openxmlformats.org/officeDocument/2006/relationships/hyperlink" Target="https://vanillabonds.com/dossier-data/pdf/fastned/fastned-2024-annual-report.pdf#page=126" TargetMode="External" Id="rId752"/><Relationship Type="http://schemas.openxmlformats.org/officeDocument/2006/relationships/hyperlink" Target="https://vanillabonds.com/dossier-data/pdf/fastned/fastned-2024-annual-report.pdf#page=126" TargetMode="External" Id="rId753"/><Relationship Type="http://schemas.openxmlformats.org/officeDocument/2006/relationships/hyperlink" Target="https://vanillabonds.com/dossier-data/pdf/fastned/fastned-2024-annual-report.pdf#page=126" TargetMode="External" Id="rId754"/><Relationship Type="http://schemas.openxmlformats.org/officeDocument/2006/relationships/hyperlink" Target="https://vanillabonds.com/dossier-data/pdf/fastned/fastned-2024-annual-report.pdf#page=126" TargetMode="External" Id="rId755"/><Relationship Type="http://schemas.openxmlformats.org/officeDocument/2006/relationships/hyperlink" Target="https://vanillabonds.com/dossier-data/pdf/fastned/fastned-2024-annual-report.pdf#page=126" TargetMode="External" Id="rId756"/><Relationship Type="http://schemas.openxmlformats.org/officeDocument/2006/relationships/hyperlink" Target="https://vanillabonds.com/dossier-data/pdf/fastned/fastned-2024-annual-report.pdf#page=126" TargetMode="External" Id="rId757"/><Relationship Type="http://schemas.openxmlformats.org/officeDocument/2006/relationships/hyperlink" Target="https://vanillabonds.com/dossier-data/pdf/fastned/fastned-2024-annual-report.pdf#page=126" TargetMode="External" Id="rId758"/><Relationship Type="http://schemas.openxmlformats.org/officeDocument/2006/relationships/hyperlink" Target="https://vanillabonds.com/dossier-data/pdf/fastned/fastned-2024-annual-report.pdf#page=126" TargetMode="External" Id="rId759"/><Relationship Type="http://schemas.openxmlformats.org/officeDocument/2006/relationships/hyperlink" Target="https://vanillabonds.com/dossier-data/pdf/fastned/fastned-2024-annual-report.pdf#page=126" TargetMode="External" Id="rId760"/><Relationship Type="http://schemas.openxmlformats.org/officeDocument/2006/relationships/hyperlink" Target="https://vanillabonds.com/dossier-data/pdf/fastned/fastned-2024-annual-report.pdf#page=127" TargetMode="External" Id="rId761"/><Relationship Type="http://schemas.openxmlformats.org/officeDocument/2006/relationships/hyperlink" Target="https://vanillabonds.com/dossier-data/pdf/fastned/fastned-2024-annual-report.pdf#page=89" TargetMode="External" Id="rId762"/><Relationship Type="http://schemas.openxmlformats.org/officeDocument/2006/relationships/hyperlink" Target="https://vanillabonds.com/dossier-data/pdf/fastned/fastned-2024-annual-report.pdf#page=89" TargetMode="External" Id="rId763"/><Relationship Type="http://schemas.openxmlformats.org/officeDocument/2006/relationships/hyperlink" Target="https://vanillabonds.com/dossier-data/pdf/fastned/fastned-2024-annual-report.pdf#page=89" TargetMode="External" Id="rId764"/><Relationship Type="http://schemas.openxmlformats.org/officeDocument/2006/relationships/hyperlink" Target="https://vanillabonds.com/dossier-data/pdf/fastned/fastned-2024-annual-report.pdf#page=89" TargetMode="External" Id="rId765"/><Relationship Type="http://schemas.openxmlformats.org/officeDocument/2006/relationships/hyperlink" Target="https://vanillabonds.com/dossier-data/pdf/fastned/fastned-2024-annual-report.pdf#page=91" TargetMode="External" Id="rId766"/><Relationship Type="http://schemas.openxmlformats.org/officeDocument/2006/relationships/hyperlink" Target="https://vanillabonds.com/dossier-data/pdf/fastned/fastned-2024-annual-report.pdf#page=91" TargetMode="External" Id="rId767"/><Relationship Type="http://schemas.openxmlformats.org/officeDocument/2006/relationships/hyperlink" Target="https://vanillabonds.com/dossier-data/pdf/fastned/fastned-2024-annual-report.pdf#page=91" TargetMode="External" Id="rId768"/><Relationship Type="http://schemas.openxmlformats.org/officeDocument/2006/relationships/hyperlink" Target="https://vanillabonds.com/dossier-data/pdf/fastned/fastned-2024-annual-report.pdf#page=93" TargetMode="External" Id="rId769"/><Relationship Type="http://schemas.openxmlformats.org/officeDocument/2006/relationships/hyperlink" Target="https://vanillabonds.com/dossier-data/pdf/fastned/fastned-2024-annual-report.pdf#page=93" TargetMode="External" Id="rId770"/><Relationship Type="http://schemas.openxmlformats.org/officeDocument/2006/relationships/hyperlink" Target="https://vanillabonds.com/dossier-data/pdf/fastned/fastned-2024-annual-report.pdf#page=93" TargetMode="External" Id="rId771"/><Relationship Type="http://schemas.openxmlformats.org/officeDocument/2006/relationships/hyperlink" Target="https://vanillabonds.com/dossier-data/pdf/fastned/fastned-2024-annual-report.pdf#page=127" TargetMode="External" Id="rId772"/><Relationship Type="http://schemas.openxmlformats.org/officeDocument/2006/relationships/hyperlink" Target="https://vanillabonds.com/dossier-data/pdf/fastned/fastned-2024-annual-report.pdf#page=127" TargetMode="External" Id="rId773"/><Relationship Type="http://schemas.openxmlformats.org/officeDocument/2006/relationships/hyperlink" Target="https://vanillabonds.com/dossier-data/pdf/fastned/fastned-2024-annual-report.pdf#page=164" TargetMode="External" Id="rId774"/><Relationship Type="http://schemas.openxmlformats.org/officeDocument/2006/relationships/hyperlink" Target="https://vanillabonds.com/dossier-data/pdf/fastned/fastned-2024-annual-report.pdf#page=165" TargetMode="External" Id="rId775"/><Relationship Type="http://schemas.openxmlformats.org/officeDocument/2006/relationships/hyperlink" Target="https://vanillabonds.com/dossier-data/pdf/fastned/fastned-2024-annual-report.pdf#page=165" TargetMode="External" Id="rId776"/><Relationship Type="http://schemas.openxmlformats.org/officeDocument/2006/relationships/hyperlink" Target="https://vanillabonds.com/dossier-data/pdf/fastned/fastned-2024-annual-report.pdf#page=165" TargetMode="External" Id="rId777"/><Relationship Type="http://schemas.openxmlformats.org/officeDocument/2006/relationships/hyperlink" Target="https://vanillabonds.com/dossier-data/pdf/fastned/fastned-2024-annual-report.pdf#page=166" TargetMode="External" Id="rId778"/><Relationship Type="http://schemas.openxmlformats.org/officeDocument/2006/relationships/hyperlink" Target="https://vanillabonds.com/dossier-data/pdf/fastned/fastned-2024-annual-report.pdf#page=166" TargetMode="External" Id="rId779"/><Relationship Type="http://schemas.openxmlformats.org/officeDocument/2006/relationships/hyperlink" Target="https://vanillabonds.com/dossier-data/pdf/fastned/fastned-2024-annual-report.pdf#page=185" TargetMode="External" Id="rId780"/><Relationship Type="http://schemas.openxmlformats.org/officeDocument/2006/relationships/hyperlink" Target="https://vanillabonds.com/dossier-data/pdf/fastned/fastned-2024-annual-report.pdf#page=185" TargetMode="External" Id="rId781"/><Relationship Type="http://schemas.openxmlformats.org/officeDocument/2006/relationships/hyperlink" Target="https://vanillabonds.com/dossier-data/pdf/fastned/fastned-2024-annual-report.pdf#page=127" TargetMode="External" Id="rId782"/><Relationship Type="http://schemas.openxmlformats.org/officeDocument/2006/relationships/hyperlink" Target="https://vanillabonds.com/dossier-data/pdf/fastned/fastned-2024-annual-report.pdf#page=166" TargetMode="External" Id="rId783"/><Relationship Type="http://schemas.openxmlformats.org/officeDocument/2006/relationships/hyperlink" Target="https://vanillabonds.com/dossier-data/pdf/fastned/fastned-2024-annual-report.pdf#page=173" TargetMode="External" Id="rId784"/><Relationship Type="http://schemas.openxmlformats.org/officeDocument/2006/relationships/hyperlink" Target="https://vanillabonds.com/dossier-data/pdf/fastned/fastned-2024-annual-report.pdf#page=178" TargetMode="External" Id="rId785"/><Relationship Type="http://schemas.openxmlformats.org/officeDocument/2006/relationships/hyperlink" Target="https://vanillabonds.com/dossier-data/pdf/fastned/fastned-2024-annual-report.pdf#page=180" TargetMode="External" Id="rId786"/><Relationship Type="http://schemas.openxmlformats.org/officeDocument/2006/relationships/hyperlink" Target="https://vanillabonds.com/dossier-data/pdf/fastned/fastned-2024-annual-report.pdf#page=180" TargetMode="External" Id="rId787"/><Relationship Type="http://schemas.openxmlformats.org/officeDocument/2006/relationships/hyperlink" Target="https://vanillabonds.com/dossier-data/pdf/fastned/fastned-2024-annual-report.pdf#page=180" TargetMode="External" Id="rId788"/><Relationship Type="http://schemas.openxmlformats.org/officeDocument/2006/relationships/hyperlink" Target="https://vanillabonds.com/dossier-data/pdf/fastned/fastned-2024-annual-report.pdf#page=180" TargetMode="External" Id="rId789"/><Relationship Type="http://schemas.openxmlformats.org/officeDocument/2006/relationships/hyperlink" Target="https://vanillabonds.com/dossier-data/pdf/fastned/fastned-2024-annual-report.pdf#page=180" TargetMode="External" Id="rId790"/><Relationship Type="http://schemas.openxmlformats.org/officeDocument/2006/relationships/hyperlink" Target="https://vanillabonds.com/dossier-data/pdf/fastned/fastned-2024-annual-report.pdf#page=180" TargetMode="External" Id="rId791"/><Relationship Type="http://schemas.openxmlformats.org/officeDocument/2006/relationships/hyperlink" Target="https://vanillabonds.com/dossier-data/pdf/fastned/fastned-2024-annual-report.pdf#page=180" TargetMode="External" Id="rId792"/><Relationship Type="http://schemas.openxmlformats.org/officeDocument/2006/relationships/hyperlink" Target="https://vanillabonds.com/dossier-data/pdf/fastned/fastned-2024-annual-report.pdf#page=181" TargetMode="External" Id="rId793"/><Relationship Type="http://schemas.openxmlformats.org/officeDocument/2006/relationships/hyperlink" Target="https://vanillabonds.com/dossier-data/pdf/fastned/fastned-2024-annual-report.pdf#page=181" TargetMode="External" Id="rId794"/><Relationship Type="http://schemas.openxmlformats.org/officeDocument/2006/relationships/hyperlink" Target="https://vanillabonds.com/dossier-data/pdf/fastned/fastned-2024-annual-report.pdf#page=181" TargetMode="External" Id="rId795"/><Relationship Type="http://schemas.openxmlformats.org/officeDocument/2006/relationships/hyperlink" Target="https://vanillabonds.com/dossier-data/pdf/fastned/fastned-2024-annual-report.pdf#page=75" TargetMode="External" Id="rId796"/><Relationship Type="http://schemas.openxmlformats.org/officeDocument/2006/relationships/hyperlink" Target="https://vanillabonds.com/dossier-data/pdf/fastned/fastned-2024-annual-report.pdf#page=79" TargetMode="External" Id="rId797"/><Relationship Type="http://schemas.openxmlformats.org/officeDocument/2006/relationships/hyperlink" Target="https://vanillabonds.com/dossier-data/pdf/fastned/fastned-2024-annual-report.pdf#page=32" TargetMode="External" Id="rId798"/><Relationship Type="http://schemas.openxmlformats.org/officeDocument/2006/relationships/hyperlink" Target="https://vanillabonds.com/dossier-data/pdf/fastned/fastned-2024-annual-report.pdf#page=32" TargetMode="External" Id="rId799"/><Relationship Type="http://schemas.openxmlformats.org/officeDocument/2006/relationships/hyperlink" Target="https://vanillabonds.com/dossier-data/pdf/fastned/fastned-2024-annual-report.pdf#page=32" TargetMode="External" Id="rId800"/><Relationship Type="http://schemas.openxmlformats.org/officeDocument/2006/relationships/hyperlink" Target="https://vanillabonds.com/dossier-data/pdf/fastned/fastned-2024-annual-report.pdf#page=32" TargetMode="External" Id="rId801"/><Relationship Type="http://schemas.openxmlformats.org/officeDocument/2006/relationships/hyperlink" Target="https://vanillabonds.com/dossier-data/pdf/fastned/fastned-2024-annual-report.pdf#page=32" TargetMode="External" Id="rId802"/><Relationship Type="http://schemas.openxmlformats.org/officeDocument/2006/relationships/hyperlink" Target="https://vanillabonds.com/dossier-data/pdf/fastned/fastned-2024-annual-report.pdf#page=32" TargetMode="External" Id="rId803"/><Relationship Type="http://schemas.openxmlformats.org/officeDocument/2006/relationships/hyperlink" Target="https://vanillabonds.com/dossier-data/pdf/fastned/fastned-2024-annual-report.pdf#page=32" TargetMode="External" Id="rId804"/><Relationship Type="http://schemas.openxmlformats.org/officeDocument/2006/relationships/hyperlink" Target="https://vanillabonds.com/dossier-data/pdf/fastned/fastned-2024-annual-report.pdf#page=32" TargetMode="External" Id="rId805"/><Relationship Type="http://schemas.openxmlformats.org/officeDocument/2006/relationships/hyperlink" Target="https://vanillabonds.com/dossier-data/pdf/fastned/fastned-2024-annual-report.pdf#page=32" TargetMode="External" Id="rId806"/><Relationship Type="http://schemas.openxmlformats.org/officeDocument/2006/relationships/hyperlink" Target="https://vanillabonds.com/dossier-data/pdf/fastned/fastned-2024-annual-report.pdf#page=33" TargetMode="External" Id="rId807"/><Relationship Type="http://schemas.openxmlformats.org/officeDocument/2006/relationships/hyperlink" Target="https://vanillabonds.com/dossier-data/pdf/fastned/fastned-2024-annual-report.pdf#page=33" TargetMode="External" Id="rId808"/><Relationship Type="http://schemas.openxmlformats.org/officeDocument/2006/relationships/hyperlink" Target="https://vanillabonds.com/dossier-data/pdf/fastned/fastned-2024-annual-report.pdf#page=45" TargetMode="External" Id="rId809"/><Relationship Type="http://schemas.openxmlformats.org/officeDocument/2006/relationships/hyperlink" Target="https://vanillabonds.com/dossier-data/pdf/fastned/fastned-2024-annual-report.pdf#page=50" TargetMode="External" Id="rId810"/><Relationship Type="http://schemas.openxmlformats.org/officeDocument/2006/relationships/hyperlink" Target="https://vanillabonds.com/dossier-data/pdf/fastned/fastned-2024-annual-report.pdf#page=69" TargetMode="External" Id="rId811"/><Relationship Type="http://schemas.openxmlformats.org/officeDocument/2006/relationships/hyperlink" Target="https://vanillabonds.com/dossier-data/pdf/fastned/fastned-2024-annual-report.pdf#page=76" TargetMode="External" Id="rId812"/><Relationship Type="http://schemas.openxmlformats.org/officeDocument/2006/relationships/hyperlink" Target="https://vanillabonds.com/dossier-data/pdf/fastned/fastned-2024-annual-report.pdf#page=121" TargetMode="External" Id="rId813"/><Relationship Type="http://schemas.openxmlformats.org/officeDocument/2006/relationships/hyperlink" Target="https://vanillabonds.com/dossier-data/pdf/fastned/fastned-2024-annual-report.pdf#page=121" TargetMode="External" Id="rId814"/><Relationship Type="http://schemas.openxmlformats.org/officeDocument/2006/relationships/hyperlink" Target="https://vanillabonds.com/dossier-data/pdf/fastned/fastned-2024-annual-report.pdf#page=130" TargetMode="External" Id="rId815"/><Relationship Type="http://schemas.openxmlformats.org/officeDocument/2006/relationships/hyperlink" Target="https://vanillabonds.com/dossier-data/pdf/fastned/fastned-2024-annual-report.pdf#page=136" TargetMode="External" Id="rId816"/><Relationship Type="http://schemas.openxmlformats.org/officeDocument/2006/relationships/hyperlink" Target="https://vanillabonds.com/dossier-data/pdf/fastned/fastned-2024-annual-report.pdf#page=189" TargetMode="External" Id="rId817"/><Relationship Type="http://schemas.openxmlformats.org/officeDocument/2006/relationships/hyperlink" Target="https://vanillabonds.com/dossier-data/pdf/fastned/fastned-2024-annual-report.pdf#page=193" TargetMode="External" Id="rId818"/><Relationship Type="http://schemas.openxmlformats.org/officeDocument/2006/relationships/hyperlink" Target="https://vanillabonds.com/dossier-data/pdf/fastned/fastned-2024-annual-report.pdf#page=198" TargetMode="External" Id="rId819"/><Relationship Type="http://schemas.openxmlformats.org/officeDocument/2006/relationships/hyperlink" Target="https://vanillabonds.com/dossier-data/pdf/fastned/fastned-2024-annual-report.pdf#page=202" TargetMode="External" Id="rId820"/><Relationship Type="http://schemas.openxmlformats.org/officeDocument/2006/relationships/hyperlink" Target="https://vanillabonds.com/dossier-data/pdf/fastned/fastned-2024-annual-report.pdf#page=9" TargetMode="External" Id="rId821"/><Relationship Type="http://schemas.openxmlformats.org/officeDocument/2006/relationships/hyperlink" Target="https://vanillabonds.com/dossier-data/pdf/fastned/fastned-2024-annual-report.pdf#page=58" TargetMode="External" Id="rId822"/><Relationship Type="http://schemas.openxmlformats.org/officeDocument/2006/relationships/hyperlink" Target="https://vanillabonds.com/dossier-data/pdf/fastned/fastned-2024-annual-report.pdf#page=58" TargetMode="External" Id="rId823"/><Relationship Type="http://schemas.openxmlformats.org/officeDocument/2006/relationships/hyperlink" Target="https://vanillabonds.com/dossier-data/pdf/fastned/fastned-2024-annual-report.pdf#page=59" TargetMode="External" Id="rId824"/><Relationship Type="http://schemas.openxmlformats.org/officeDocument/2006/relationships/hyperlink" Target="https://vanillabonds.com/dossier-data/pdf/fastned/fastned-2024-annual-report.pdf#page=127" TargetMode="External" Id="rId825"/><Relationship Type="http://schemas.openxmlformats.org/officeDocument/2006/relationships/hyperlink" Target="https://vanillabonds.com/dossier-data/pdf/fastned/fastned-2024-annual-report.pdf#page=145" TargetMode="External" Id="rId826"/><Relationship Type="http://schemas.openxmlformats.org/officeDocument/2006/relationships/hyperlink" Target="https://vanillabonds.com/dossier-data/pdf/fastned/fastned-2024-annual-report.pdf#page=146" TargetMode="External" Id="rId827"/><Relationship Type="http://schemas.openxmlformats.org/officeDocument/2006/relationships/hyperlink" Target="https://vanillabonds.com/dossier-data/pdf/fastned/fastned-2024-annual-report.pdf#page=151" TargetMode="External" Id="rId828"/><Relationship Type="http://schemas.openxmlformats.org/officeDocument/2006/relationships/hyperlink" Target="https://vanillabonds.com/dossier-data/pdf/fastned/fastned-2024-annual-report.pdf#page=154" TargetMode="External" Id="rId829"/><Relationship Type="http://schemas.openxmlformats.org/officeDocument/2006/relationships/hyperlink" Target="https://vanillabonds.com/dossier-data/pdf/fastned/fastned-2024-annual-report.pdf#page=40" TargetMode="External" Id="rId830"/><Relationship Type="http://schemas.openxmlformats.org/officeDocument/2006/relationships/hyperlink" Target="https://vanillabonds.com/dossier-data/pdf/fastned/fastned-2024-annual-report.pdf#page=40" TargetMode="External" Id="rId831"/><Relationship Type="http://schemas.openxmlformats.org/officeDocument/2006/relationships/hyperlink" Target="https://vanillabonds.com/dossier-data/pdf/fastned/fastned-2024-annual-report.pdf#page=40" TargetMode="External" Id="rId832"/><Relationship Type="http://schemas.openxmlformats.org/officeDocument/2006/relationships/hyperlink" Target="https://vanillabonds.com/dossier-data/pdf/fastned/fastned-2024-annual-report.pdf#page=133" TargetMode="External" Id="rId833"/><Relationship Type="http://schemas.openxmlformats.org/officeDocument/2006/relationships/hyperlink" Target="https://vanillabonds.com/dossier-data/pdf/fastned/fastned-2024-annual-report.pdf#page=133" TargetMode="External" Id="rId834"/><Relationship Type="http://schemas.openxmlformats.org/officeDocument/2006/relationships/hyperlink" Target="https://vanillabonds.com/dossier-data/pdf/fastned/fastned-2024-annual-report.pdf#page=135" TargetMode="External" Id="rId835"/><Relationship Type="http://schemas.openxmlformats.org/officeDocument/2006/relationships/hyperlink" Target="https://vanillabonds.com/dossier-data/pdf/fastned/fastned-2024-annual-report.pdf#page=135" TargetMode="External" Id="rId836"/><Relationship Type="http://schemas.openxmlformats.org/officeDocument/2006/relationships/hyperlink" Target="https://vanillabonds.com/dossier-data/pdf/fastned/fastned-2024-annual-report.pdf#page=51" TargetMode="External" Id="rId837"/><Relationship Type="http://schemas.openxmlformats.org/officeDocument/2006/relationships/hyperlink" Target="https://vanillabonds.com/dossier-data/pdf/fastned/fastned-2024-annual-report.pdf#page=57" TargetMode="External" Id="rId838"/><Relationship Type="http://schemas.openxmlformats.org/officeDocument/2006/relationships/hyperlink" Target="https://vanillabonds.com/dossier-data/pdf/fastned/fastned-2024-annual-report.pdf#page=61" TargetMode="External" Id="rId839"/><Relationship Type="http://schemas.openxmlformats.org/officeDocument/2006/relationships/hyperlink" Target="https://vanillabonds.com/dossier-data/pdf/fastned/fastned-2024-annual-report.pdf#page=140" TargetMode="External" Id="rId840"/><Relationship Type="http://schemas.openxmlformats.org/officeDocument/2006/relationships/hyperlink" Target="https://vanillabonds.com/dossier-data/pdf/fastned/fastned-2024-annual-report.pdf#page=198" TargetMode="External" Id="rId841"/><Relationship Type="http://schemas.openxmlformats.org/officeDocument/2006/relationships/hyperlink" Target="https://vanillabonds.com/dossier-data/pdf/fastned/fastned-2024-annual-report.pdf#page=39" TargetMode="External" Id="rId842"/><Relationship Type="http://schemas.openxmlformats.org/officeDocument/2006/relationships/hyperlink" Target="https://vanillabonds.com/dossier-data/pdf/fastned/fastned-2024-annual-report.pdf#page=96" TargetMode="External" Id="rId843"/><Relationship Type="http://schemas.openxmlformats.org/officeDocument/2006/relationships/hyperlink" Target="https://vanillabonds.com/dossier-data/pdf/fastned/fastned-2024-annual-report.pdf#page=40" TargetMode="External" Id="rId844"/><Relationship Type="http://schemas.openxmlformats.org/officeDocument/2006/relationships/hyperlink" Target="https://vanillabonds.com/dossier-data/pdf/fastned/fastned-2024-annual-report.pdf#page=40" TargetMode="External" Id="rId845"/><Relationship Type="http://schemas.openxmlformats.org/officeDocument/2006/relationships/hyperlink" Target="https://vanillabonds.com/dossier-data/pdf/fastned/fastned-2024-annual-report.pdf#page=40" TargetMode="External" Id="rId846"/><Relationship Type="http://schemas.openxmlformats.org/officeDocument/2006/relationships/hyperlink" Target="https://vanillabonds.com/dossier-data/pdf/fastned/fastned-2024-annual-report.pdf#page=40" TargetMode="External" Id="rId847"/><Relationship Type="http://schemas.openxmlformats.org/officeDocument/2006/relationships/hyperlink" Target="https://vanillabonds.com/dossier-data/pdf/fastned/fastned-2024-annual-report.pdf#page=40" TargetMode="External" Id="rId848"/><Relationship Type="http://schemas.openxmlformats.org/officeDocument/2006/relationships/hyperlink" Target="https://vanillabonds.com/dossier-data/pdf/fastned/fastned-2024-annual-report.pdf#page=134" TargetMode="External" Id="rId849"/><Relationship Type="http://schemas.openxmlformats.org/officeDocument/2006/relationships/hyperlink" Target="https://vanillabonds.com/dossier-data/pdf/fastned/fastned-2024-annual-report.pdf#page=136" TargetMode="External" Id="rId850"/><Relationship Type="http://schemas.openxmlformats.org/officeDocument/2006/relationships/hyperlink" Target="https://vanillabonds.com/dossier-data/pdf/fastned/fastned-2024-annual-report.pdf#page=162" TargetMode="External" Id="rId851"/><Relationship Type="http://schemas.openxmlformats.org/officeDocument/2006/relationships/hyperlink" Target="https://vanillabonds.com/dossier-data/pdf/fastned/fastned-2024-annual-report.pdf#page=127" TargetMode="External" Id="rId852"/><Relationship Type="http://schemas.openxmlformats.org/officeDocument/2006/relationships/hyperlink" Target="https://vanillabonds.com/dossier-data/pdf/fastned/fastned-2024-annual-report.pdf#page=127" TargetMode="External" Id="rId853"/><Relationship Type="http://schemas.openxmlformats.org/officeDocument/2006/relationships/hyperlink" Target="https://vanillabonds.com/dossier-data/pdf/fastned/fastned-2024-annual-report.pdf#page=134" TargetMode="External" Id="rId854"/><Relationship Type="http://schemas.openxmlformats.org/officeDocument/2006/relationships/hyperlink" Target="https://vanillabonds.com/dossier-data/pdf/fastned/fastned-2024-annual-report.pdf#page=145" TargetMode="External" Id="rId855"/><Relationship Type="http://schemas.openxmlformats.org/officeDocument/2006/relationships/hyperlink" Target="https://vanillabonds.com/dossier-data/pdf/fastned/fastned-2024-annual-report.pdf#page=156" TargetMode="External" Id="rId856"/><Relationship Type="http://schemas.openxmlformats.org/officeDocument/2006/relationships/hyperlink" Target="https://vanillabonds.com/dossier-data/pdf/fastned/fastned-2024-annual-report.pdf#page=162" TargetMode="External" Id="rId857"/><Relationship Type="http://schemas.openxmlformats.org/officeDocument/2006/relationships/hyperlink" Target="https://vanillabonds.com/dossier-data/pdf/fastned/fastned-2024-annual-report.pdf#page=162" TargetMode="External" Id="rId858"/><Relationship Type="http://schemas.openxmlformats.org/officeDocument/2006/relationships/hyperlink" Target="https://vanillabonds.com/dossier-data/pdf/fastned/fastned-2024-annual-report.pdf#page=188" TargetMode="External" Id="rId859"/><Relationship Type="http://schemas.openxmlformats.org/officeDocument/2006/relationships/hyperlink" Target="https://vanillabonds.com/dossier-data/pdf/fastned/fastned-2024-annual-report.pdf#page=191" TargetMode="External" Id="rId860"/><Relationship Type="http://schemas.openxmlformats.org/officeDocument/2006/relationships/hyperlink" Target="https://vanillabonds.com/dossier-data/pdf/fastned/fastned-2024-annual-report.pdf#page=192" TargetMode="External" Id="rId861"/><Relationship Type="http://schemas.openxmlformats.org/officeDocument/2006/relationships/hyperlink" Target="https://vanillabonds.com/dossier-data/pdf/fastned/fastned-2024-annual-report.pdf#page=204" TargetMode="External" Id="rId862"/><Relationship Type="http://schemas.openxmlformats.org/officeDocument/2006/relationships/hyperlink" Target="https://vanillabonds.com/dossier-data/pdf/fastned/fastned-2024-annual-report.pdf#page=195" TargetMode="External" Id="rId863"/><Relationship Type="http://schemas.openxmlformats.org/officeDocument/2006/relationships/hyperlink" Target="https://vanillabonds.com/dossier-data/pdf/fastned/fastned-2024-annual-report.pdf#page=100" TargetMode="External" Id="rId864"/><Relationship Type="http://schemas.openxmlformats.org/officeDocument/2006/relationships/hyperlink" Target="https://vanillabonds.com/dossier-data/pdf/fastned/fastned-2024-annual-report.pdf#page=122" TargetMode="External" Id="rId865"/><Relationship Type="http://schemas.openxmlformats.org/officeDocument/2006/relationships/hyperlink" Target="https://vanillabonds.com/dossier-data/pdf/fastned/fastned-2024-annual-report.pdf#page=122" TargetMode="External" Id="rId866"/><Relationship Type="http://schemas.openxmlformats.org/officeDocument/2006/relationships/hyperlink" Target="https://vanillabonds.com/dossier-data/pdf/fastned/fastned-2024-annual-report.pdf#page=136" TargetMode="External" Id="rId867"/><Relationship Type="http://schemas.openxmlformats.org/officeDocument/2006/relationships/hyperlink" Target="https://vanillabonds.com/dossier-data/pdf/fastned/fastned-2024-annual-report.pdf#page=137" TargetMode="External" Id="rId868"/><Relationship Type="http://schemas.openxmlformats.org/officeDocument/2006/relationships/hyperlink" Target="https://vanillabonds.com/dossier-data/pdf/fastned/fastned-2024-annual-report.pdf#page=137" TargetMode="External" Id="rId869"/><Relationship Type="http://schemas.openxmlformats.org/officeDocument/2006/relationships/hyperlink" Target="https://vanillabonds.com/dossier-data/pdf/fastned/fastned-2024-annual-report.pdf#page=138" TargetMode="External" Id="rId870"/><Relationship Type="http://schemas.openxmlformats.org/officeDocument/2006/relationships/hyperlink" Target="https://vanillabonds.com/dossier-data/pdf/fastned/fastned-2024-annual-report.pdf#page=139" TargetMode="External" Id="rId871"/><Relationship Type="http://schemas.openxmlformats.org/officeDocument/2006/relationships/hyperlink" Target="https://vanillabonds.com/dossier-data/pdf/fastned/fastned-2024-annual-report.pdf#page=98" TargetMode="External" Id="rId872"/><Relationship Type="http://schemas.openxmlformats.org/officeDocument/2006/relationships/hyperlink" Target="https://vanillabonds.com/dossier-data/pdf/fastned/fastned-2024-annual-report.pdf#page=98" TargetMode="External" Id="rId873"/><Relationship Type="http://schemas.openxmlformats.org/officeDocument/2006/relationships/hyperlink" Target="https://vanillabonds.com/dossier-data/pdf/fastned/fastned-2024-annual-report.pdf#page=132" TargetMode="External" Id="rId874"/><Relationship Type="http://schemas.openxmlformats.org/officeDocument/2006/relationships/hyperlink" Target="https://vanillabonds.com/dossier-data/pdf/fastned/fastned-2024-annual-report.pdf#page=132" TargetMode="External" Id="rId875"/><Relationship Type="http://schemas.openxmlformats.org/officeDocument/2006/relationships/hyperlink" Target="https://vanillabonds.com/dossier-data/pdf/fastned/fastned-2024-annual-report.pdf#page=132" TargetMode="External" Id="rId876"/><Relationship Type="http://schemas.openxmlformats.org/officeDocument/2006/relationships/hyperlink" Target="https://vanillabonds.com/dossier-data/pdf/fastned/fastned-2024-annual-report.pdf#page=132" TargetMode="External" Id="rId877"/><Relationship Type="http://schemas.openxmlformats.org/officeDocument/2006/relationships/hyperlink" Target="https://vanillabonds.com/dossier-data/pdf/fastned/fastned-2024-annual-report.pdf#page=132" TargetMode="External" Id="rId878"/><Relationship Type="http://schemas.openxmlformats.org/officeDocument/2006/relationships/hyperlink" Target="https://vanillabonds.com/dossier-data/pdf/fastned/fastned-2024-annual-report.pdf#page=132" TargetMode="External" Id="rId879"/><Relationship Type="http://schemas.openxmlformats.org/officeDocument/2006/relationships/hyperlink" Target="https://vanillabonds.com/dossier-data/pdf/fastned/fastned-2024-annual-report.pdf#page=98" TargetMode="External" Id="rId880"/><Relationship Type="http://schemas.openxmlformats.org/officeDocument/2006/relationships/hyperlink" Target="https://vanillabonds.com/dossier-data/pdf/fastned/fastned-2024-annual-report.pdf#page=98" TargetMode="External" Id="rId881"/><Relationship Type="http://schemas.openxmlformats.org/officeDocument/2006/relationships/hyperlink" Target="https://vanillabonds.com/dossier-data/pdf/fastned/fastned-2024-annual-report.pdf#page=131" TargetMode="External" Id="rId882"/><Relationship Type="http://schemas.openxmlformats.org/officeDocument/2006/relationships/hyperlink" Target="https://vanillabonds.com/dossier-data/pdf/fastned/fastned-2024-annual-report.pdf#page=131" TargetMode="External" Id="rId883"/><Relationship Type="http://schemas.openxmlformats.org/officeDocument/2006/relationships/hyperlink" Target="https://vanillabonds.com/dossier-data/pdf/fastned/fastned-2024-annual-report.pdf#page=131" TargetMode="External" Id="rId884"/><Relationship Type="http://schemas.openxmlformats.org/officeDocument/2006/relationships/hyperlink" Target="https://vanillabonds.com/dossier-data/pdf/fastned/fastned-2024-annual-report.pdf#page=131" TargetMode="External" Id="rId885"/><Relationship Type="http://schemas.openxmlformats.org/officeDocument/2006/relationships/hyperlink" Target="https://vanillabonds.com/dossier-data/pdf/fastned/fastned-2024-annual-report.pdf#page=131" TargetMode="External" Id="rId886"/><Relationship Type="http://schemas.openxmlformats.org/officeDocument/2006/relationships/hyperlink" Target="https://vanillabonds.com/dossier-data/pdf/fastned/fastned-2024-annual-report.pdf#page=131" TargetMode="External" Id="rId887"/><Relationship Type="http://schemas.openxmlformats.org/officeDocument/2006/relationships/hyperlink" Target="https://vanillabonds.com/dossier-data/pdf/fastned/fastned-2024-annual-report.pdf#page=104" TargetMode="External" Id="rId888"/><Relationship Type="http://schemas.openxmlformats.org/officeDocument/2006/relationships/hyperlink" Target="https://vanillabonds.com/dossier-data/pdf/fastned/fastned-2024-annual-report.pdf#page=104" TargetMode="External" Id="rId889"/><Relationship Type="http://schemas.openxmlformats.org/officeDocument/2006/relationships/hyperlink" Target="https://vanillabonds.com/dossier-data/pdf/fastned/fastned-2024-annual-report.pdf#page=59" TargetMode="External" Id="rId890"/><Relationship Type="http://schemas.openxmlformats.org/officeDocument/2006/relationships/hyperlink" Target="https://vanillabonds.com/dossier-data/pdf/fastned/fastned-2024-annual-report.pdf#page=118" TargetMode="External" Id="rId891"/><Relationship Type="http://schemas.openxmlformats.org/officeDocument/2006/relationships/hyperlink" Target="https://vanillabonds.com/dossier-data/pdf/fastned/fastned-2024-annual-report.pdf#page=151" TargetMode="External" Id="rId892"/><Relationship Type="http://schemas.openxmlformats.org/officeDocument/2006/relationships/hyperlink" Target="https://vanillabonds.com/dossier-data/pdf/fastned/fastned-2024-annual-report.pdf#page=151" TargetMode="External" Id="rId893"/><Relationship Type="http://schemas.openxmlformats.org/officeDocument/2006/relationships/hyperlink" Target="https://vanillabonds.com/dossier-data/pdf/fastned/fastned-2024-annual-report.pdf#page=151" TargetMode="External" Id="rId894"/><Relationship Type="http://schemas.openxmlformats.org/officeDocument/2006/relationships/hyperlink" Target="https://vanillabonds.com/dossier-data/pdf/fastned/fastned-2024-annual-report.pdf#page=66" TargetMode="External" Id="rId895"/><Relationship Type="http://schemas.openxmlformats.org/officeDocument/2006/relationships/hyperlink" Target="https://vanillabonds.com/dossier-data/pdf/fastned/fastned-2024-annual-report.pdf#page=148" TargetMode="External" Id="rId896"/><Relationship Type="http://schemas.openxmlformats.org/officeDocument/2006/relationships/hyperlink" Target="https://vanillabonds.com/dossier-data/pdf/fastned/fastned-2024-annual-report.pdf#page=148" TargetMode="External" Id="rId897"/><Relationship Type="http://schemas.openxmlformats.org/officeDocument/2006/relationships/hyperlink" Target="https://vanillabonds.com/dossier-data/pdf/fastned/fastned-2024-annual-report.pdf#page=148" TargetMode="External" Id="rId898"/><Relationship Type="http://schemas.openxmlformats.org/officeDocument/2006/relationships/hyperlink" Target="https://vanillabonds.com/dossier-data/pdf/fastned/fastned-2024-annual-report.pdf#page=148" TargetMode="External" Id="rId899"/><Relationship Type="http://schemas.openxmlformats.org/officeDocument/2006/relationships/hyperlink" Target="https://vanillabonds.com/dossier-data/pdf/fastned/fastned-2024-annual-report.pdf#page=149" TargetMode="External" Id="rId900"/><Relationship Type="http://schemas.openxmlformats.org/officeDocument/2006/relationships/hyperlink" Target="https://vanillabonds.com/dossier-data/pdf/fastned/fastned-2024-annual-report.pdf#page=13" TargetMode="External" Id="rId901"/><Relationship Type="http://schemas.openxmlformats.org/officeDocument/2006/relationships/hyperlink" Target="https://vanillabonds.com/dossier-data/pdf/fastned/fastned-2024-annual-report.pdf#page=19" TargetMode="External" Id="rId902"/><Relationship Type="http://schemas.openxmlformats.org/officeDocument/2006/relationships/hyperlink" Target="https://vanillabonds.com/dossier-data/pdf/fastned/fastned-2024-annual-report.pdf#page=151" TargetMode="External" Id="rId903"/><Relationship Type="http://schemas.openxmlformats.org/officeDocument/2006/relationships/hyperlink" Target="https://vanillabonds.com/dossier-data/pdf/fastned/fastned-2024-annual-report.pdf#page=162" TargetMode="External" Id="rId904"/><Relationship Type="http://schemas.openxmlformats.org/officeDocument/2006/relationships/hyperlink" Target="https://vanillabonds.com/dossier-data/pdf/fastned/fastned-2024-annual-report.pdf#page=188" TargetMode="External" Id="rId905"/><Relationship Type="http://schemas.openxmlformats.org/officeDocument/2006/relationships/hyperlink" Target="https://vanillabonds.com/dossier-data/pdf/fastned/fastned-2024-annual-report.pdf#page=58" TargetMode="External" Id="rId906"/><Relationship Type="http://schemas.openxmlformats.org/officeDocument/2006/relationships/hyperlink" Target="https://vanillabonds.com/dossier-data/pdf/fastned/fastned-2024-annual-report.pdf#page=102" TargetMode="External" Id="rId907"/><Relationship Type="http://schemas.openxmlformats.org/officeDocument/2006/relationships/hyperlink" Target="https://vanillabonds.com/dossier-data/pdf/fastned/fastned-2024-annual-report.pdf#page=106" TargetMode="External" Id="rId908"/><Relationship Type="http://schemas.openxmlformats.org/officeDocument/2006/relationships/hyperlink" Target="https://vanillabonds.com/dossier-data/pdf/fastned/fastned-2024-annual-report.pdf#page=106" TargetMode="External" Id="rId909"/><Relationship Type="http://schemas.openxmlformats.org/officeDocument/2006/relationships/hyperlink" Target="https://vanillabonds.com/dossier-data/pdf/fastned/fastned-2024-annual-report.pdf#page=125" TargetMode="External" Id="rId910"/><Relationship Type="http://schemas.openxmlformats.org/officeDocument/2006/relationships/hyperlink" Target="https://vanillabonds.com/dossier-data/pdf/fastned/fastned-2024-annual-report.pdf#page=125" TargetMode="External" Id="rId911"/><Relationship Type="http://schemas.openxmlformats.org/officeDocument/2006/relationships/hyperlink" Target="https://vanillabonds.com/dossier-data/pdf/fastned/fastned-2024-annual-report.pdf#page=125" TargetMode="External" Id="rId912"/><Relationship Type="http://schemas.openxmlformats.org/officeDocument/2006/relationships/hyperlink" Target="https://vanillabonds.com/dossier-data/pdf/fastned/fastned-2024-annual-report.pdf#page=150" TargetMode="External" Id="rId913"/><Relationship Type="http://schemas.openxmlformats.org/officeDocument/2006/relationships/hyperlink" Target="https://vanillabonds.com/dossier-data/pdf/fastned/fastned-2024-annual-report.pdf#page=151" TargetMode="External" Id="rId914"/><Relationship Type="http://schemas.openxmlformats.org/officeDocument/2006/relationships/hyperlink" Target="https://vanillabonds.com/dossier-data/pdf/fastned/fastned-2024-annual-report.pdf#page=152" TargetMode="External" Id="rId915"/><Relationship Type="http://schemas.openxmlformats.org/officeDocument/2006/relationships/hyperlink" Target="https://vanillabonds.com/dossier-data/pdf/fastned/fastned-2024-annual-report.pdf#page=69" TargetMode="External" Id="rId916"/><Relationship Type="http://schemas.openxmlformats.org/officeDocument/2006/relationships/hyperlink" Target="https://vanillabonds.com/dossier-data/pdf/fastned/fastned-2024-annual-report.pdf#page=69" TargetMode="External" Id="rId917"/><Relationship Type="http://schemas.openxmlformats.org/officeDocument/2006/relationships/hyperlink" Target="https://vanillabonds.com/dossier-data/pdf/fastned/fastned-2024-annual-report.pdf#page=86" TargetMode="External" Id="rId918"/><Relationship Type="http://schemas.openxmlformats.org/officeDocument/2006/relationships/hyperlink" Target="https://vanillabonds.com/dossier-data/pdf/fastned/fastned-2024-annual-report.pdf#page=164" TargetMode="External" Id="rId919"/><Relationship Type="http://schemas.openxmlformats.org/officeDocument/2006/relationships/hyperlink" Target="https://vanillabonds.com/dossier-data/pdf/fastned/fastned-2024-annual-report.pdf#page=165" TargetMode="External" Id="rId920"/><Relationship Type="http://schemas.openxmlformats.org/officeDocument/2006/relationships/hyperlink" Target="https://vanillabonds.com/dossier-data/pdf/fastned/fastned-2024-annual-report.pdf#page=166" TargetMode="External" Id="rId921"/><Relationship Type="http://schemas.openxmlformats.org/officeDocument/2006/relationships/hyperlink" Target="https://vanillabonds.com/dossier-data/pdf/fastned/fastned-2024-annual-report.pdf#page=79" TargetMode="External" Id="rId922"/><Relationship Type="http://schemas.openxmlformats.org/officeDocument/2006/relationships/hyperlink" Target="https://vanillabonds.com/dossier-data/pdf/fastned/fastned-2024-annual-report.pdf#page=80" TargetMode="External" Id="rId923"/><Relationship Type="http://schemas.openxmlformats.org/officeDocument/2006/relationships/hyperlink" Target="https://vanillabonds.com/dossier-data/pdf/fastned/fastned-2024-annual-report.pdf#page=80" TargetMode="External" Id="rId924"/><Relationship Type="http://schemas.openxmlformats.org/officeDocument/2006/relationships/hyperlink" Target="https://vanillabonds.com/dossier-data/pdf/fastned/fastned-2024-annual-report.pdf#page=80" TargetMode="External" Id="rId925"/><Relationship Type="http://schemas.openxmlformats.org/officeDocument/2006/relationships/hyperlink" Target="https://vanillabonds.com/dossier-data/pdf/fastned/fastned-2024-annual-report.pdf#page=80" TargetMode="External" Id="rId926"/><Relationship Type="http://schemas.openxmlformats.org/officeDocument/2006/relationships/hyperlink" Target="https://vanillabonds.com/dossier-data/pdf/fastned/fastned-2024-annual-report.pdf#page=80" TargetMode="External" Id="rId927"/><Relationship Type="http://schemas.openxmlformats.org/officeDocument/2006/relationships/hyperlink" Target="https://vanillabonds.com/dossier-data/pdf/fastned/fastned-2024-annual-report.pdf#page=82" TargetMode="External" Id="rId928"/><Relationship Type="http://schemas.openxmlformats.org/officeDocument/2006/relationships/hyperlink" Target="https://vanillabonds.com/dossier-data/pdf/fastned/fastned-2024-annual-report.pdf#page=82" TargetMode="External" Id="rId929"/><Relationship Type="http://schemas.openxmlformats.org/officeDocument/2006/relationships/hyperlink" Target="https://vanillabonds.com/dossier-data/pdf/fastned/fastned-2024-annual-report.pdf#page=82" TargetMode="External" Id="rId930"/><Relationship Type="http://schemas.openxmlformats.org/officeDocument/2006/relationships/hyperlink" Target="https://vanillabonds.com/dossier-data/pdf/fastned/fastned-2024-annual-report.pdf#page=82" TargetMode="External" Id="rId931"/><Relationship Type="http://schemas.openxmlformats.org/officeDocument/2006/relationships/hyperlink" Target="https://vanillabonds.com/dossier-data/pdf/fastned/fastned-2024-annual-report.pdf#page=82" TargetMode="External" Id="rId932"/><Relationship Type="http://schemas.openxmlformats.org/officeDocument/2006/relationships/hyperlink" Target="https://vanillabonds.com/dossier-data/pdf/fastned/fastned-2024-annual-report.pdf#page=82" TargetMode="External" Id="rId933"/><Relationship Type="http://schemas.openxmlformats.org/officeDocument/2006/relationships/hyperlink" Target="https://vanillabonds.com/dossier-data/pdf/fastned/fastned-2024-annual-report.pdf#page=82" TargetMode="External" Id="rId934"/><Relationship Type="http://schemas.openxmlformats.org/officeDocument/2006/relationships/hyperlink" Target="https://vanillabonds.com/dossier-data/pdf/fastned/fastned-2024-annual-report.pdf#page=164" TargetMode="External" Id="rId935"/><Relationship Type="http://schemas.openxmlformats.org/officeDocument/2006/relationships/hyperlink" Target="https://vanillabonds.com/dossier-data/pdf/fastned/fastned-2024-annual-report.pdf#page=164" TargetMode="External" Id="rId936"/><Relationship Type="http://schemas.openxmlformats.org/officeDocument/2006/relationships/hyperlink" Target="https://vanillabonds.com/dossier-data/pdf/fastned/fastned-2024-annual-report.pdf#page=164" TargetMode="External" Id="rId937"/><Relationship Type="http://schemas.openxmlformats.org/officeDocument/2006/relationships/hyperlink" Target="https://vanillabonds.com/dossier-data/pdf/fastned/fastned-2024-annual-report.pdf#page=165" TargetMode="External" Id="rId938"/><Relationship Type="http://schemas.openxmlformats.org/officeDocument/2006/relationships/hyperlink" Target="https://vanillabonds.com/dossier-data/pdf/fastned/fastned-2024-annual-report.pdf#page=166" TargetMode="External" Id="rId939"/><Relationship Type="http://schemas.openxmlformats.org/officeDocument/2006/relationships/hyperlink" Target="https://vanillabonds.com/dossier-data/pdf/fastned/fastned-2024-annual-report.pdf#page=166" TargetMode="External" Id="rId940"/><Relationship Type="http://schemas.openxmlformats.org/officeDocument/2006/relationships/hyperlink" Target="https://vanillabonds.com/dossier-data/pdf/fastned/fastned-2024-annual-report.pdf#page=167" TargetMode="External" Id="rId941"/><Relationship Type="http://schemas.openxmlformats.org/officeDocument/2006/relationships/hyperlink" Target="https://vanillabonds.com/dossier-data/pdf/fastned/fastned-2024-annual-report.pdf#page=8" TargetMode="External" Id="rId942"/><Relationship Type="http://schemas.openxmlformats.org/officeDocument/2006/relationships/hyperlink" Target="https://vanillabonds.com/dossier-data/pdf/fastned/fastned-2024-annual-report.pdf#page=146" TargetMode="External" Id="rId943"/><Relationship Type="http://schemas.openxmlformats.org/officeDocument/2006/relationships/hyperlink" Target="https://vanillabonds.com/dossier-data/pdf/fastned/fastned-2024-annual-report.pdf#page=35" TargetMode="External" Id="rId944"/><Relationship Type="http://schemas.openxmlformats.org/officeDocument/2006/relationships/hyperlink" Target="https://vanillabonds.com/dossier-data/pdf/fastned/fastned-2024-annual-report.pdf#page=45" TargetMode="External" Id="rId945"/><Relationship Type="http://schemas.openxmlformats.org/officeDocument/2006/relationships/hyperlink" Target="https://vanillabonds.com/dossier-data/pdf/fastned/fastned-2024-annual-report.pdf#page=45" TargetMode="External" Id="rId946"/><Relationship Type="http://schemas.openxmlformats.org/officeDocument/2006/relationships/hyperlink" Target="https://vanillabonds.com/dossier-data/pdf/fastned/fastned-2024-annual-report.pdf#page=45" TargetMode="External" Id="rId947"/><Relationship Type="http://schemas.openxmlformats.org/officeDocument/2006/relationships/hyperlink" Target="https://vanillabonds.com/dossier-data/pdf/fastned/fastned-2024-annual-report.pdf#page=48" TargetMode="External" Id="rId948"/><Relationship Type="http://schemas.openxmlformats.org/officeDocument/2006/relationships/hyperlink" Target="https://vanillabonds.com/dossier-data/pdf/fastned/fastned-2024-annual-report.pdf#page=50" TargetMode="External" Id="rId949"/><Relationship Type="http://schemas.openxmlformats.org/officeDocument/2006/relationships/hyperlink" Target="https://vanillabonds.com/dossier-data/pdf/fastned/fastned-2024-annual-report.pdf#page=51" TargetMode="External" Id="rId950"/><Relationship Type="http://schemas.openxmlformats.org/officeDocument/2006/relationships/hyperlink" Target="https://vanillabonds.com/dossier-data/pdf/fastned/fastned-2024-annual-report.pdf#page=51" TargetMode="External" Id="rId951"/><Relationship Type="http://schemas.openxmlformats.org/officeDocument/2006/relationships/hyperlink" Target="https://vanillabonds.com/dossier-data/pdf/fastned/fastned-2024-annual-report.pdf#page=52" TargetMode="External" Id="rId952"/><Relationship Type="http://schemas.openxmlformats.org/officeDocument/2006/relationships/hyperlink" Target="https://vanillabonds.com/dossier-data/pdf/fastned/fastned-2024-annual-report.pdf#page=53" TargetMode="External" Id="rId953"/><Relationship Type="http://schemas.openxmlformats.org/officeDocument/2006/relationships/hyperlink" Target="https://vanillabonds.com/dossier-data/pdf/fastned/fastned-2024-annual-report.pdf#page=54" TargetMode="External" Id="rId954"/><Relationship Type="http://schemas.openxmlformats.org/officeDocument/2006/relationships/hyperlink" Target="https://vanillabonds.com/dossier-data/pdf/fastned/fastned-2024-annual-report.pdf#page=54" TargetMode="External" Id="rId955"/><Relationship Type="http://schemas.openxmlformats.org/officeDocument/2006/relationships/hyperlink" Target="https://vanillabonds.com/dossier-data/pdf/fastned/fastned-2024-annual-report.pdf#page=54" TargetMode="External" Id="rId956"/><Relationship Type="http://schemas.openxmlformats.org/officeDocument/2006/relationships/hyperlink" Target="https://vanillabonds.com/dossier-data/pdf/fastned/fastned-2024-annual-report.pdf#page=55" TargetMode="External" Id="rId957"/><Relationship Type="http://schemas.openxmlformats.org/officeDocument/2006/relationships/hyperlink" Target="https://vanillabonds.com/dossier-data/pdf/fastned/fastned-2024-annual-report.pdf#page=57" TargetMode="External" Id="rId958"/><Relationship Type="http://schemas.openxmlformats.org/officeDocument/2006/relationships/hyperlink" Target="https://vanillabonds.com/dossier-data/pdf/fastned/fastned-2024-annual-report.pdf#page=129" TargetMode="External" Id="rId959"/><Relationship Type="http://schemas.openxmlformats.org/officeDocument/2006/relationships/hyperlink" Target="https://vanillabonds.com/dossier-data/pdf/fastned/fastned-2024-annual-report.pdf#page=143" TargetMode="External" Id="rId960"/><Relationship Type="http://schemas.openxmlformats.org/officeDocument/2006/relationships/hyperlink" Target="https://vanillabonds.com/dossier-data/pdf/fastned/fastned-2024-annual-report.pdf#page=196" TargetMode="External" Id="rId961"/><Relationship Type="http://schemas.openxmlformats.org/officeDocument/2006/relationships/hyperlink" Target="https://vanillabonds.com/dossier-data/pdf/fastned/fastned-2024-annual-report.pdf#page=199" TargetMode="External" Id="rId962"/><Relationship Type="http://schemas.openxmlformats.org/officeDocument/2006/relationships/hyperlink" Target="https://vanillabonds.com/dossier-data/pdf/fastned/fastned-2024-annual-report.pdf#page=200" TargetMode="External" Id="rId963"/><Relationship Type="http://schemas.openxmlformats.org/officeDocument/2006/relationships/hyperlink" Target="https://vanillabonds.com/dossier-data/pdf/fastned/fastned-2024-annual-report.pdf#page=204" TargetMode="External" Id="rId964"/><Relationship Type="http://schemas.openxmlformats.org/officeDocument/2006/relationships/hyperlink" Target="https://vanillabonds.com/dossier-data/pdf/fastned/fastned-2024-annual-report.pdf#page=205" TargetMode="External" Id="rId965"/><Relationship Type="http://schemas.openxmlformats.org/officeDocument/2006/relationships/hyperlink" Target="https://vanillabonds.com/dossier-data/pdf/fastned/fastned-2024-annual-report.pdf#page=206" TargetMode="External" Id="rId966"/><Relationship Type="http://schemas.openxmlformats.org/officeDocument/2006/relationships/hyperlink" Target="https://vanillabonds.com/dossier-data/pdf/fastned/fastned-2024-annual-report.pdf#page=147" TargetMode="External" Id="rId967"/><Relationship Type="http://schemas.openxmlformats.org/officeDocument/2006/relationships/hyperlink" Target="https://vanillabonds.com/dossier-data/pdf/fastned/fastned-2024-annual-report.pdf#page=147" TargetMode="External" Id="rId968"/><Relationship Type="http://schemas.openxmlformats.org/officeDocument/2006/relationships/hyperlink" Target="https://vanillabonds.com/dossier-data/pdf/fastned/fastned-2024-annual-report.pdf#page=147" TargetMode="External" Id="rId969"/><Relationship Type="http://schemas.openxmlformats.org/officeDocument/2006/relationships/hyperlink" Target="https://vanillabonds.com/dossier-data/pdf/fastned/fastned-2024-annual-report.pdf#page=147" TargetMode="External" Id="rId970"/><Relationship Type="http://schemas.openxmlformats.org/officeDocument/2006/relationships/hyperlink" Target="https://vanillabonds.com/dossier-data/pdf/fastned/fastned-2024-annual-report.pdf#page=147" TargetMode="External" Id="rId971"/><Relationship Type="http://schemas.openxmlformats.org/officeDocument/2006/relationships/hyperlink" Target="https://vanillabonds.com/dossier-data/pdf/fastned/fastned-2024-annual-report.pdf#page=147" TargetMode="External" Id="rId972"/><Relationship Type="http://schemas.openxmlformats.org/officeDocument/2006/relationships/hyperlink" Target="https://vanillabonds.com/dossier-data/pdf/fastned/fastned-2024-annual-report.pdf#page=147" TargetMode="External" Id="rId973"/><Relationship Type="http://schemas.openxmlformats.org/officeDocument/2006/relationships/hyperlink" Target="https://vanillabonds.com/dossier-data/pdf/fastned/fastned-2024-annual-report.pdf#page=147" TargetMode="External" Id="rId974"/><Relationship Type="http://schemas.openxmlformats.org/officeDocument/2006/relationships/hyperlink" Target="https://vanillabonds.com/dossier-data/pdf/fastned/fastned-2024-annual-report.pdf#page=202" TargetMode="External" Id="rId975"/><Relationship Type="http://schemas.openxmlformats.org/officeDocument/2006/relationships/hyperlink" Target="https://vanillabonds.com/dossier-data/pdf/fastned/fastned-2025-annual-report.pdf#page=217" TargetMode="External" Id="rId976"/><Relationship Type="http://schemas.openxmlformats.org/officeDocument/2006/relationships/hyperlink" Target="https://vanillabonds.com/dossier-data/pdf/fastned/fastned-2025-annual-report.pdf#page=86" TargetMode="External" Id="rId977"/><Relationship Type="http://schemas.openxmlformats.org/officeDocument/2006/relationships/hyperlink" Target="https://vanillabonds.com/dossier-data/pdf/fastned/fastned-2025-annual-report.pdf#page=122" TargetMode="External" Id="rId978"/><Relationship Type="http://schemas.openxmlformats.org/officeDocument/2006/relationships/hyperlink" Target="https://vanillabonds.com/dossier-data/pdf/fastned/fastned-2025-annual-report.pdf#page=217" TargetMode="External" Id="rId979"/><Relationship Type="http://schemas.openxmlformats.org/officeDocument/2006/relationships/hyperlink" Target="https://vanillabonds.com/dossier-data/pdf/fastned/fastned-2025-annual-report.pdf#page=122" TargetMode="External" Id="rId980"/><Relationship Type="http://schemas.openxmlformats.org/officeDocument/2006/relationships/hyperlink" Target="https://vanillabonds.com/dossier-data/pdf/fastned/fastned-2025-annual-report.pdf#page=13" TargetMode="External" Id="rId981"/><Relationship Type="http://schemas.openxmlformats.org/officeDocument/2006/relationships/hyperlink" Target="https://vanillabonds.com/dossier-data/pdf/fastned/fastned-2025-annual-report.pdf#page=122" TargetMode="External" Id="rId982"/><Relationship Type="http://schemas.openxmlformats.org/officeDocument/2006/relationships/hyperlink" Target="https://vanillabonds.com/dossier-data/pdf/fastned/fastned-2025-annual-report.pdf#page=245" TargetMode="External" Id="rId983"/><Relationship Type="http://schemas.openxmlformats.org/officeDocument/2006/relationships/hyperlink" Target="https://vanillabonds.com/dossier-data/pdf/fastned/fastned-2025-annual-report.pdf#page=217" TargetMode="External" Id="rId984"/><Relationship Type="http://schemas.openxmlformats.org/officeDocument/2006/relationships/hyperlink" Target="https://vanillabonds.com/dossier-data/pdf/fastned/fastned-2025-annual-report.pdf#page=50" TargetMode="External" Id="rId985"/><Relationship Type="http://schemas.openxmlformats.org/officeDocument/2006/relationships/hyperlink" Target="https://vanillabonds.com/dossier-data/pdf/fastned/fastned-2025-annual-report.pdf#page=122" TargetMode="External" Id="rId986"/><Relationship Type="http://schemas.openxmlformats.org/officeDocument/2006/relationships/hyperlink" Target="https://vanillabonds.com/dossier-data/pdf/fastned/fastned-2025-annual-report.pdf#page=234" TargetMode="External" Id="rId987"/><Relationship Type="http://schemas.openxmlformats.org/officeDocument/2006/relationships/hyperlink" Target="https://vanillabonds.com/dossier-data/pdf/fastned/fastned-2025-annual-report.pdf#page=13" TargetMode="External" Id="rId988"/><Relationship Type="http://schemas.openxmlformats.org/officeDocument/2006/relationships/hyperlink" Target="https://vanillabonds.com/dossier-data/pdf/fastned/fastned-2025-annual-report.pdf#page=154" TargetMode="External" Id="rId989"/><Relationship Type="http://schemas.openxmlformats.org/officeDocument/2006/relationships/hyperlink" Target="https://vanillabonds.com/dossier-data/pdf/fastned/fastned-2025-annual-report.pdf#page=245" TargetMode="External" Id="rId990"/><Relationship Type="http://schemas.openxmlformats.org/officeDocument/2006/relationships/hyperlink" Target="https://vanillabonds.com/dossier-data/pdf/fastned/fastned-2025-annual-report.pdf#page=157" TargetMode="External" Id="rId991"/><Relationship Type="http://schemas.openxmlformats.org/officeDocument/2006/relationships/hyperlink" Target="https://vanillabonds.com/dossier-data/pdf/fastned/fastned-2025-annual-report.pdf#page=37" TargetMode="External" Id="rId992"/><Relationship Type="http://schemas.openxmlformats.org/officeDocument/2006/relationships/hyperlink" Target="https://vanillabonds.com/dossier-data/pdf/fastned/fastned-2025-annual-report.pdf#page=157" TargetMode="External" Id="rId993"/><Relationship Type="http://schemas.openxmlformats.org/officeDocument/2006/relationships/hyperlink" Target="https://vanillabonds.com/dossier-data/pdf/fastned/fastned-2025-annual-report.pdf#page=89" TargetMode="External" Id="rId994"/><Relationship Type="http://schemas.openxmlformats.org/officeDocument/2006/relationships/hyperlink" Target="https://vanillabonds.com/dossier-data/pdf/fastned/fastned-2025-annual-report.pdf#page=122" TargetMode="External" Id="rId995"/><Relationship Type="http://schemas.openxmlformats.org/officeDocument/2006/relationships/hyperlink" Target="https://vanillabonds.com/dossier-data/pdf/fastned/fastned-2025-annual-report.pdf#page=89" TargetMode="External" Id="rId996"/><Relationship Type="http://schemas.openxmlformats.org/officeDocument/2006/relationships/hyperlink" Target="https://vanillabonds.com/dossier-data/pdf/fastned/fastned-2025-annual-report.pdf#page=122" TargetMode="External" Id="rId997"/><Relationship Type="http://schemas.openxmlformats.org/officeDocument/2006/relationships/hyperlink" Target="https://vanillabonds.com/dossier-data/pdf/fastned/fastned-2025-annual-report.pdf#page=232" TargetMode="External" Id="rId998"/><Relationship Type="http://schemas.openxmlformats.org/officeDocument/2006/relationships/hyperlink" Target="https://vanillabonds.com/dossier-data/pdf/fastned/fastned-2025-annual-report.pdf#page=103" TargetMode="External" Id="rId999"/><Relationship Type="http://schemas.openxmlformats.org/officeDocument/2006/relationships/hyperlink" Target="https://vanillabonds.com/dossier-data/pdf/fastned/fastned-2025-annual-report.pdf#page=229" TargetMode="External" Id="rId1000"/><Relationship Type="http://schemas.openxmlformats.org/officeDocument/2006/relationships/hyperlink" Target="https://vanillabonds.com/dossier-data/pdf/fastned/fastned-2025-annual-report.pdf#page=103" TargetMode="External" Id="rId1001"/><Relationship Type="http://schemas.openxmlformats.org/officeDocument/2006/relationships/hyperlink" Target="https://vanillabonds.com/dossier-data/pdf/fastned/fastned-2025-annual-report.pdf#page=217" TargetMode="External" Id="rId1002"/><Relationship Type="http://schemas.openxmlformats.org/officeDocument/2006/relationships/hyperlink" Target="https://vanillabonds.com/dossier-data/pdf/fastned/fastned-2025-annual-report.pdf#page=82" TargetMode="External" Id="rId1003"/><Relationship Type="http://schemas.openxmlformats.org/officeDocument/2006/relationships/hyperlink" Target="https://vanillabonds.com/dossier-data/pdf/fastned/fastned-2025-annual-report.pdf#page=122" TargetMode="External" Id="rId1004"/><Relationship Type="http://schemas.openxmlformats.org/officeDocument/2006/relationships/hyperlink" Target="https://vanillabonds.com/dossier-data/pdf/fastned/fastned-2025-annual-report.pdf#page=199" TargetMode="External" Id="rId1005"/><Relationship Type="http://schemas.openxmlformats.org/officeDocument/2006/relationships/hyperlink" Target="https://vanillabonds.com/dossier-data/pdf/fastned/fastned-2025-annual-report.pdf#page=199" TargetMode="External" Id="rId1006"/><Relationship Type="http://schemas.openxmlformats.org/officeDocument/2006/relationships/hyperlink" Target="https://vanillabonds.com/dossier-data/pdf/fastned/fastned-2025-annual-report.pdf#page=5" TargetMode="External" Id="rId1007"/><Relationship Type="http://schemas.openxmlformats.org/officeDocument/2006/relationships/hyperlink" Target="https://vanillabonds.com/dossier-data/pdf/fastned/fastned-2025-annual-report.pdf#page=13" TargetMode="External" Id="rId1008"/><Relationship Type="http://schemas.openxmlformats.org/officeDocument/2006/relationships/hyperlink" Target="https://vanillabonds.com/dossier-data/pdf/fastned/fastned-2025-annual-report.pdf#page=14" TargetMode="External" Id="rId1009"/><Relationship Type="http://schemas.openxmlformats.org/officeDocument/2006/relationships/hyperlink" Target="https://vanillabonds.com/dossier-data/pdf/fastned/fastned-2025-annual-report.pdf#page=16" TargetMode="External" Id="rId1010"/><Relationship Type="http://schemas.openxmlformats.org/officeDocument/2006/relationships/hyperlink" Target="https://vanillabonds.com/dossier-data/pdf/fastned/fastned-2025-annual-report.pdf#page=16" TargetMode="External" Id="rId1011"/><Relationship Type="http://schemas.openxmlformats.org/officeDocument/2006/relationships/hyperlink" Target="https://vanillabonds.com/dossier-data/pdf/fastned/fastned-2025-annual-report.pdf#page=19" TargetMode="External" Id="rId1012"/><Relationship Type="http://schemas.openxmlformats.org/officeDocument/2006/relationships/hyperlink" Target="https://vanillabonds.com/dossier-data/pdf/fastned/fastned-2025-annual-report.pdf#page=19" TargetMode="External" Id="rId1013"/><Relationship Type="http://schemas.openxmlformats.org/officeDocument/2006/relationships/hyperlink" Target="https://vanillabonds.com/dossier-data/pdf/fastned/fastned-2025-annual-report.pdf#page=20" TargetMode="External" Id="rId1014"/><Relationship Type="http://schemas.openxmlformats.org/officeDocument/2006/relationships/hyperlink" Target="https://vanillabonds.com/dossier-data/pdf/fastned/fastned-2025-annual-report.pdf#page=37" TargetMode="External" Id="rId1015"/><Relationship Type="http://schemas.openxmlformats.org/officeDocument/2006/relationships/hyperlink" Target="https://vanillabonds.com/dossier-data/pdf/fastned/fastned-2025-annual-report.pdf#page=45" TargetMode="External" Id="rId1016"/><Relationship Type="http://schemas.openxmlformats.org/officeDocument/2006/relationships/hyperlink" Target="https://vanillabonds.com/dossier-data/pdf/fastned/fastned-2025-annual-report.pdf#page=45" TargetMode="External" Id="rId1017"/><Relationship Type="http://schemas.openxmlformats.org/officeDocument/2006/relationships/hyperlink" Target="https://vanillabonds.com/dossier-data/pdf/fastned/fastned-2025-annual-report.pdf#page=45" TargetMode="External" Id="rId1018"/><Relationship Type="http://schemas.openxmlformats.org/officeDocument/2006/relationships/hyperlink" Target="https://vanillabonds.com/dossier-data/pdf/fastned/fastned-2025-annual-report.pdf#page=45" TargetMode="External" Id="rId1019"/><Relationship Type="http://schemas.openxmlformats.org/officeDocument/2006/relationships/hyperlink" Target="https://vanillabonds.com/dossier-data/pdf/fastned/fastned-2025-annual-report.pdf#page=45" TargetMode="External" Id="rId1020"/><Relationship Type="http://schemas.openxmlformats.org/officeDocument/2006/relationships/hyperlink" Target="https://vanillabonds.com/dossier-data/pdf/fastned/fastned-2025-annual-report.pdf#page=46" TargetMode="External" Id="rId1021"/><Relationship Type="http://schemas.openxmlformats.org/officeDocument/2006/relationships/hyperlink" Target="https://vanillabonds.com/dossier-data/pdf/fastned/fastned-2025-annual-report.pdf#page=46" TargetMode="External" Id="rId1022"/><Relationship Type="http://schemas.openxmlformats.org/officeDocument/2006/relationships/hyperlink" Target="https://vanillabonds.com/dossier-data/pdf/fastned/fastned-2025-annual-report.pdf#page=46" TargetMode="External" Id="rId1023"/><Relationship Type="http://schemas.openxmlformats.org/officeDocument/2006/relationships/hyperlink" Target="https://vanillabonds.com/dossier-data/pdf/fastned/fastned-2025-annual-report.pdf#page=46" TargetMode="External" Id="rId1024"/><Relationship Type="http://schemas.openxmlformats.org/officeDocument/2006/relationships/hyperlink" Target="https://vanillabonds.com/dossier-data/pdf/fastned/fastned-2025-annual-report.pdf#page=46" TargetMode="External" Id="rId1025"/><Relationship Type="http://schemas.openxmlformats.org/officeDocument/2006/relationships/hyperlink" Target="https://vanillabonds.com/dossier-data/pdf/fastned/fastned-2025-annual-report.pdf#page=46" TargetMode="External" Id="rId1026"/><Relationship Type="http://schemas.openxmlformats.org/officeDocument/2006/relationships/hyperlink" Target="https://vanillabonds.com/dossier-data/pdf/fastned/fastned-2025-annual-report.pdf#page=47" TargetMode="External" Id="rId1027"/><Relationship Type="http://schemas.openxmlformats.org/officeDocument/2006/relationships/hyperlink" Target="https://vanillabonds.com/dossier-data/pdf/fastned/fastned-2025-annual-report.pdf#page=47" TargetMode="External" Id="rId1028"/><Relationship Type="http://schemas.openxmlformats.org/officeDocument/2006/relationships/hyperlink" Target="https://vanillabonds.com/dossier-data/pdf/fastned/fastned-2025-annual-report.pdf#page=47" TargetMode="External" Id="rId1029"/><Relationship Type="http://schemas.openxmlformats.org/officeDocument/2006/relationships/hyperlink" Target="https://vanillabonds.com/dossier-data/pdf/fastned/fastned-2025-annual-report.pdf#page=47" TargetMode="External" Id="rId1030"/><Relationship Type="http://schemas.openxmlformats.org/officeDocument/2006/relationships/hyperlink" Target="https://vanillabonds.com/dossier-data/pdf/fastned/fastned-2025-annual-report.pdf#page=47" TargetMode="External" Id="rId1031"/><Relationship Type="http://schemas.openxmlformats.org/officeDocument/2006/relationships/hyperlink" Target="https://vanillabonds.com/dossier-data/pdf/fastned/fastned-2025-annual-report.pdf#page=47" TargetMode="External" Id="rId1032"/><Relationship Type="http://schemas.openxmlformats.org/officeDocument/2006/relationships/hyperlink" Target="https://vanillabonds.com/dossier-data/pdf/fastned/fastned-2025-annual-report.pdf#page=50" TargetMode="External" Id="rId1033"/><Relationship Type="http://schemas.openxmlformats.org/officeDocument/2006/relationships/hyperlink" Target="https://vanillabonds.com/dossier-data/pdf/fastned/fastned-2025-annual-report.pdf#page=50" TargetMode="External" Id="rId1034"/><Relationship Type="http://schemas.openxmlformats.org/officeDocument/2006/relationships/hyperlink" Target="https://vanillabonds.com/dossier-data/pdf/fastned/fastned-2025-annual-report.pdf#page=65" TargetMode="External" Id="rId1035"/><Relationship Type="http://schemas.openxmlformats.org/officeDocument/2006/relationships/hyperlink" Target="https://vanillabonds.com/dossier-data/pdf/fastned/fastned-2025-annual-report.pdf#page=67" TargetMode="External" Id="rId1036"/><Relationship Type="http://schemas.openxmlformats.org/officeDocument/2006/relationships/hyperlink" Target="https://vanillabonds.com/dossier-data/pdf/fastned/fastned-2025-annual-report.pdf#page=83" TargetMode="External" Id="rId1037"/><Relationship Type="http://schemas.openxmlformats.org/officeDocument/2006/relationships/hyperlink" Target="https://vanillabonds.com/dossier-data/pdf/fastned/fastned-2025-annual-report.pdf#page=97" TargetMode="External" Id="rId1038"/><Relationship Type="http://schemas.openxmlformats.org/officeDocument/2006/relationships/hyperlink" Target="https://vanillabonds.com/dossier-data/pdf/fastned/fastned-2025-annual-report.pdf#page=99" TargetMode="External" Id="rId1039"/><Relationship Type="http://schemas.openxmlformats.org/officeDocument/2006/relationships/hyperlink" Target="https://vanillabonds.com/dossier-data/pdf/fastned/fastned-2025-annual-report.pdf#page=100" TargetMode="External" Id="rId1040"/><Relationship Type="http://schemas.openxmlformats.org/officeDocument/2006/relationships/hyperlink" Target="https://vanillabonds.com/dossier-data/pdf/fastned/fastned-2025-annual-report.pdf#page=122" TargetMode="External" Id="rId1041"/><Relationship Type="http://schemas.openxmlformats.org/officeDocument/2006/relationships/hyperlink" Target="https://vanillabonds.com/dossier-data/pdf/fastned/fastned-2025-annual-report.pdf#page=133" TargetMode="External" Id="rId1042"/><Relationship Type="http://schemas.openxmlformats.org/officeDocument/2006/relationships/hyperlink" Target="https://vanillabonds.com/dossier-data/pdf/fastned/fastned-2025-annual-report.pdf#page=141" TargetMode="External" Id="rId1043"/><Relationship Type="http://schemas.openxmlformats.org/officeDocument/2006/relationships/hyperlink" Target="https://vanillabonds.com/dossier-data/pdf/fastned/fastned-2025-annual-report.pdf#page=141" TargetMode="External" Id="rId1044"/><Relationship Type="http://schemas.openxmlformats.org/officeDocument/2006/relationships/hyperlink" Target="https://vanillabonds.com/dossier-data/pdf/fastned/fastned-2025-annual-report.pdf#page=144" TargetMode="External" Id="rId1045"/><Relationship Type="http://schemas.openxmlformats.org/officeDocument/2006/relationships/hyperlink" Target="https://vanillabonds.com/dossier-data/pdf/fastned/fastned-2025-annual-report.pdf#page=145" TargetMode="External" Id="rId1046"/><Relationship Type="http://schemas.openxmlformats.org/officeDocument/2006/relationships/hyperlink" Target="https://vanillabonds.com/dossier-data/pdf/fastned/fastned-2025-annual-report.pdf#page=155" TargetMode="External" Id="rId1047"/><Relationship Type="http://schemas.openxmlformats.org/officeDocument/2006/relationships/hyperlink" Target="https://vanillabonds.com/dossier-data/pdf/fastned/fastned-2025-annual-report.pdf#page=171" TargetMode="External" Id="rId1048"/><Relationship Type="http://schemas.openxmlformats.org/officeDocument/2006/relationships/hyperlink" Target="https://vanillabonds.com/dossier-data/pdf/fastned/fastned-2025-annual-report.pdf#page=171" TargetMode="External" Id="rId1049"/><Relationship Type="http://schemas.openxmlformats.org/officeDocument/2006/relationships/hyperlink" Target="https://vanillabonds.com/dossier-data/pdf/fastned/fastned-2025-annual-report.pdf#page=173" TargetMode="External" Id="rId1050"/><Relationship Type="http://schemas.openxmlformats.org/officeDocument/2006/relationships/hyperlink" Target="https://vanillabonds.com/dossier-data/pdf/fastned/fastned-2025-annual-report.pdf#page=178" TargetMode="External" Id="rId1051"/><Relationship Type="http://schemas.openxmlformats.org/officeDocument/2006/relationships/hyperlink" Target="https://vanillabonds.com/dossier-data/pdf/fastned/fastned-2025-annual-report.pdf#page=179" TargetMode="External" Id="rId1052"/><Relationship Type="http://schemas.openxmlformats.org/officeDocument/2006/relationships/hyperlink" Target="https://vanillabonds.com/dossier-data/pdf/fastned/fastned-2025-annual-report.pdf#page=182" TargetMode="External" Id="rId1053"/><Relationship Type="http://schemas.openxmlformats.org/officeDocument/2006/relationships/hyperlink" Target="https://vanillabonds.com/dossier-data/pdf/fastned/fastned-2025-annual-report.pdf#page=198" TargetMode="External" Id="rId1054"/><Relationship Type="http://schemas.openxmlformats.org/officeDocument/2006/relationships/hyperlink" Target="https://vanillabonds.com/dossier-data/pdf/fastned/fastned-2025-annual-report.pdf#page=201" TargetMode="External" Id="rId1055"/><Relationship Type="http://schemas.openxmlformats.org/officeDocument/2006/relationships/hyperlink" Target="https://vanillabonds.com/dossier-data/pdf/fastned/fastned-2025-annual-report.pdf#page=205" TargetMode="External" Id="rId1056"/><Relationship Type="http://schemas.openxmlformats.org/officeDocument/2006/relationships/hyperlink" Target="https://vanillabonds.com/dossier-data/pdf/fastned/fastned-2025-annual-report.pdf#page=205" TargetMode="External" Id="rId1057"/><Relationship Type="http://schemas.openxmlformats.org/officeDocument/2006/relationships/hyperlink" Target="https://vanillabonds.com/dossier-data/pdf/fastned/fastned-2025-annual-report.pdf#page=212" TargetMode="External" Id="rId1058"/><Relationship Type="http://schemas.openxmlformats.org/officeDocument/2006/relationships/hyperlink" Target="https://vanillabonds.com/dossier-data/pdf/fastned/fastned-2025-annual-report.pdf#page=212" TargetMode="External" Id="rId1059"/><Relationship Type="http://schemas.openxmlformats.org/officeDocument/2006/relationships/hyperlink" Target="https://vanillabonds.com/dossier-data/pdf/fastned/fastned-2025-annual-report.pdf#page=224" TargetMode="External" Id="rId1060"/><Relationship Type="http://schemas.openxmlformats.org/officeDocument/2006/relationships/hyperlink" Target="https://vanillabonds.com/dossier-data/pdf/fastned/fastned-2025-annual-report.pdf#page=225" TargetMode="External" Id="rId1061"/><Relationship Type="http://schemas.openxmlformats.org/officeDocument/2006/relationships/hyperlink" Target="https://vanillabonds.com/dossier-data/pdf/fastned/fastned-2025-annual-report.pdf#page=232" TargetMode="External" Id="rId1062"/><Relationship Type="http://schemas.openxmlformats.org/officeDocument/2006/relationships/hyperlink" Target="https://vanillabonds.com/dossier-data/pdf/fastned/fastned-2025-annual-report.pdf#page=235" TargetMode="External" Id="rId1063"/><Relationship Type="http://schemas.openxmlformats.org/officeDocument/2006/relationships/hyperlink" Target="https://vanillabonds.com/dossier-data/pdf/fastned/fastned-2025-annual-report.pdf#page=245" TargetMode="External" Id="rId1064"/><Relationship Type="http://schemas.openxmlformats.org/officeDocument/2006/relationships/hyperlink" Target="https://vanillabonds.com/dossier-data/pdf/fastned/fastned-2025-annual-report.pdf#page=245" TargetMode="External" Id="rId1065"/><Relationship Type="http://schemas.openxmlformats.org/officeDocument/2006/relationships/hyperlink" Target="https://vanillabonds.com/dossier-data/pdf/fastned/fastned-2025-annual-report.pdf#page=245" TargetMode="External" Id="rId1066"/><Relationship Type="http://schemas.openxmlformats.org/officeDocument/2006/relationships/hyperlink" Target="https://vanillabonds.com/dossier-data/pdf/fastned/fastned-2025-annual-report.pdf#page=245" TargetMode="External" Id="rId1067"/><Relationship Type="http://schemas.openxmlformats.org/officeDocument/2006/relationships/hyperlink" Target="https://vanillabonds.com/dossier-data/pdf/fastned/fastned-2025-annual-report.pdf#page=245" TargetMode="External" Id="rId1068"/><Relationship Type="http://schemas.openxmlformats.org/officeDocument/2006/relationships/hyperlink" Target="https://vanillabonds.com/dossier-data/pdf/fastned/fastned-2025-annual-report.pdf#page=245" TargetMode="External" Id="rId1069"/><Relationship Type="http://schemas.openxmlformats.org/officeDocument/2006/relationships/hyperlink" Target="https://vanillabonds.com/dossier-data/pdf/fastned/fastned-2025-annual-report.pdf#page=245" TargetMode="External" Id="rId1070"/><Relationship Type="http://schemas.openxmlformats.org/officeDocument/2006/relationships/hyperlink" Target="https://vanillabonds.com/dossier-data/pdf/fastned/fastned-2025-annual-report.pdf#page=245" TargetMode="External" Id="rId1071"/><Relationship Type="http://schemas.openxmlformats.org/officeDocument/2006/relationships/hyperlink" Target="https://vanillabonds.com/dossier-data/pdf/fastned/fastned-2025-annual-report.pdf#page=114" TargetMode="External" Id="rId1072"/><Relationship Type="http://schemas.openxmlformats.org/officeDocument/2006/relationships/hyperlink" Target="https://vanillabonds.com/dossier-data/pdf/fastned/fastned-2025-annual-report.pdf#page=114" TargetMode="External" Id="rId1073"/><Relationship Type="http://schemas.openxmlformats.org/officeDocument/2006/relationships/hyperlink" Target="https://vanillabonds.com/dossier-data/pdf/fastned/fastned-2025-annual-report.pdf#page=116" TargetMode="External" Id="rId1074"/><Relationship Type="http://schemas.openxmlformats.org/officeDocument/2006/relationships/hyperlink" Target="https://vanillabonds.com/dossier-data/pdf/fastned/fastned-2025-annual-report.pdf#page=116" TargetMode="External" Id="rId1075"/><Relationship Type="http://schemas.openxmlformats.org/officeDocument/2006/relationships/hyperlink" Target="https://vanillabonds.com/dossier-data/pdf/fastned/fastned-2025-annual-report.pdf#page=118" TargetMode="External" Id="rId1076"/><Relationship Type="http://schemas.openxmlformats.org/officeDocument/2006/relationships/hyperlink" Target="https://vanillabonds.com/dossier-data/pdf/fastned/fastned-2025-annual-report.pdf#page=118" TargetMode="External" Id="rId1077"/><Relationship Type="http://schemas.openxmlformats.org/officeDocument/2006/relationships/hyperlink" Target="https://vanillabonds.com/dossier-data/pdf/fastned/fastned-2025-annual-report.pdf#page=118" TargetMode="External" Id="rId1078"/><Relationship Type="http://schemas.openxmlformats.org/officeDocument/2006/relationships/hyperlink" Target="https://vanillabonds.com/dossier-data/pdf/fastned/fastned-2025-annual-report.pdf#page=118" TargetMode="External" Id="rId1079"/><Relationship Type="http://schemas.openxmlformats.org/officeDocument/2006/relationships/hyperlink" Target="https://vanillabonds.com/dossier-data/pdf/fastned/fastned-2025-annual-report.pdf#page=120" TargetMode="External" Id="rId1080"/><Relationship Type="http://schemas.openxmlformats.org/officeDocument/2006/relationships/hyperlink" Target="https://vanillabonds.com/dossier-data/pdf/fastned/fastned-2025-annual-report.pdf#page=120" TargetMode="External" Id="rId1081"/><Relationship Type="http://schemas.openxmlformats.org/officeDocument/2006/relationships/hyperlink" Target="https://vanillabonds.com/dossier-data/pdf/fastned/fastned-2025-annual-report.pdf#page=120" TargetMode="External" Id="rId1082"/><Relationship Type="http://schemas.openxmlformats.org/officeDocument/2006/relationships/hyperlink" Target="https://vanillabonds.com/dossier-data/pdf/fastned/fastned-2025-annual-report.pdf#page=120" TargetMode="External" Id="rId1083"/><Relationship Type="http://schemas.openxmlformats.org/officeDocument/2006/relationships/hyperlink" Target="https://vanillabonds.com/dossier-data/pdf/fastned/fastned-2025-annual-report.pdf#page=150" TargetMode="External" Id="rId1084"/><Relationship Type="http://schemas.openxmlformats.org/officeDocument/2006/relationships/hyperlink" Target="https://vanillabonds.com/dossier-data/pdf/fastned/fastned-2025-annual-report.pdf#page=150" TargetMode="External" Id="rId1085"/><Relationship Type="http://schemas.openxmlformats.org/officeDocument/2006/relationships/hyperlink" Target="https://vanillabonds.com/dossier-data/pdf/fastned/fastned-2025-annual-report.pdf#page=150" TargetMode="External" Id="rId1086"/><Relationship Type="http://schemas.openxmlformats.org/officeDocument/2006/relationships/hyperlink" Target="https://vanillabonds.com/dossier-data/pdf/fastned/fastned-2025-annual-report.pdf#page=155" TargetMode="External" Id="rId1087"/><Relationship Type="http://schemas.openxmlformats.org/officeDocument/2006/relationships/hyperlink" Target="https://vanillabonds.com/dossier-data/pdf/fastned/fastned-2025-annual-report.pdf#page=156" TargetMode="External" Id="rId1088"/><Relationship Type="http://schemas.openxmlformats.org/officeDocument/2006/relationships/hyperlink" Target="https://vanillabonds.com/dossier-data/pdf/fastned/fastned-2025-annual-report.pdf#page=156" TargetMode="External" Id="rId1089"/><Relationship Type="http://schemas.openxmlformats.org/officeDocument/2006/relationships/hyperlink" Target="https://vanillabonds.com/dossier-data/pdf/fastned/fastned-2025-annual-report.pdf#page=157" TargetMode="External" Id="rId1090"/><Relationship Type="http://schemas.openxmlformats.org/officeDocument/2006/relationships/hyperlink" Target="https://vanillabonds.com/dossier-data/pdf/fastned/fastned-2025-annual-report.pdf#page=157" TargetMode="External" Id="rId1091"/><Relationship Type="http://schemas.openxmlformats.org/officeDocument/2006/relationships/hyperlink" Target="https://vanillabonds.com/dossier-data/pdf/fastned/fastned-2025-annual-report.pdf#page=157" TargetMode="External" Id="rId1092"/><Relationship Type="http://schemas.openxmlformats.org/officeDocument/2006/relationships/hyperlink" Target="https://vanillabonds.com/dossier-data/pdf/fastned/fastned-2025-annual-report.pdf#page=158" TargetMode="External" Id="rId1093"/><Relationship Type="http://schemas.openxmlformats.org/officeDocument/2006/relationships/hyperlink" Target="https://vanillabonds.com/dossier-data/pdf/fastned/fastned-2025-annual-report.pdf#page=161" TargetMode="External" Id="rId1094"/><Relationship Type="http://schemas.openxmlformats.org/officeDocument/2006/relationships/hyperlink" Target="https://vanillabonds.com/dossier-data/pdf/fastned/fastned-2025-annual-report.pdf#page=164" TargetMode="External" Id="rId1095"/><Relationship Type="http://schemas.openxmlformats.org/officeDocument/2006/relationships/hyperlink" Target="https://vanillabonds.com/dossier-data/pdf/fastned/fastned-2025-annual-report.pdf#page=165" TargetMode="External" Id="rId1096"/><Relationship Type="http://schemas.openxmlformats.org/officeDocument/2006/relationships/hyperlink" Target="https://vanillabonds.com/dossier-data/pdf/fastned/fastned-2025-annual-report.pdf#page=166" TargetMode="External" Id="rId1097"/><Relationship Type="http://schemas.openxmlformats.org/officeDocument/2006/relationships/hyperlink" Target="https://vanillabonds.com/dossier-data/pdf/fastned/fastned-2025-annual-report.pdf#page=169" TargetMode="External" Id="rId1098"/><Relationship Type="http://schemas.openxmlformats.org/officeDocument/2006/relationships/hyperlink" Target="https://vanillabonds.com/dossier-data/pdf/fastned/fastned-2025-annual-report.pdf#page=169" TargetMode="External" Id="rId1099"/><Relationship Type="http://schemas.openxmlformats.org/officeDocument/2006/relationships/hyperlink" Target="https://vanillabonds.com/dossier-data/pdf/fastned/fastned-2025-annual-report.pdf#page=171" TargetMode="External" Id="rId1100"/><Relationship Type="http://schemas.openxmlformats.org/officeDocument/2006/relationships/hyperlink" Target="https://vanillabonds.com/dossier-data/pdf/fastned/fastned-2025-annual-report.pdf#page=174" TargetMode="External" Id="rId1101"/><Relationship Type="http://schemas.openxmlformats.org/officeDocument/2006/relationships/hyperlink" Target="https://vanillabonds.com/dossier-data/pdf/fastned/fastned-2025-annual-report.pdf#page=176" TargetMode="External" Id="rId1102"/><Relationship Type="http://schemas.openxmlformats.org/officeDocument/2006/relationships/hyperlink" Target="https://vanillabonds.com/dossier-data/pdf/fastned/fastned-2025-annual-report.pdf#page=181" TargetMode="External" Id="rId1103"/><Relationship Type="http://schemas.openxmlformats.org/officeDocument/2006/relationships/hyperlink" Target="https://vanillabonds.com/dossier-data/pdf/fastned/fastned-2025-annual-report.pdf#page=182" TargetMode="External" Id="rId1104"/><Relationship Type="http://schemas.openxmlformats.org/officeDocument/2006/relationships/hyperlink" Target="https://vanillabonds.com/dossier-data/pdf/fastned/fastned-2025-annual-report.pdf#page=182" TargetMode="External" Id="rId1105"/><Relationship Type="http://schemas.openxmlformats.org/officeDocument/2006/relationships/hyperlink" Target="https://vanillabonds.com/dossier-data/pdf/fastned/fastned-2025-annual-report.pdf#page=183" TargetMode="External" Id="rId1106"/><Relationship Type="http://schemas.openxmlformats.org/officeDocument/2006/relationships/hyperlink" Target="https://vanillabonds.com/dossier-data/pdf/fastned/fastned-2025-annual-report.pdf#page=183" TargetMode="External" Id="rId1107"/><Relationship Type="http://schemas.openxmlformats.org/officeDocument/2006/relationships/hyperlink" Target="https://vanillabonds.com/dossier-data/pdf/fastned/fastned-2025-annual-report.pdf#page=184" TargetMode="External" Id="rId1108"/><Relationship Type="http://schemas.openxmlformats.org/officeDocument/2006/relationships/hyperlink" Target="https://vanillabonds.com/dossier-data/pdf/fastned/fastned-2025-annual-report.pdf#page=184" TargetMode="External" Id="rId1109"/><Relationship Type="http://schemas.openxmlformats.org/officeDocument/2006/relationships/hyperlink" Target="https://vanillabonds.com/dossier-data/pdf/fastned/fastned-2025-annual-report.pdf#page=185" TargetMode="External" Id="rId1110"/><Relationship Type="http://schemas.openxmlformats.org/officeDocument/2006/relationships/hyperlink" Target="https://vanillabonds.com/dossier-data/pdf/fastned/fastned-2025-annual-report.pdf#page=185" TargetMode="External" Id="rId1111"/><Relationship Type="http://schemas.openxmlformats.org/officeDocument/2006/relationships/hyperlink" Target="https://vanillabonds.com/dossier-data/pdf/fastned/fastned-2025-annual-report.pdf#page=186" TargetMode="External" Id="rId1112"/><Relationship Type="http://schemas.openxmlformats.org/officeDocument/2006/relationships/hyperlink" Target="https://vanillabonds.com/dossier-data/pdf/fastned/fastned-2025-annual-report.pdf#page=187" TargetMode="External" Id="rId1113"/><Relationship Type="http://schemas.openxmlformats.org/officeDocument/2006/relationships/hyperlink" Target="https://vanillabonds.com/dossier-data/pdf/fastned/fastned-2025-annual-report.pdf#page=190" TargetMode="External" Id="rId1114"/><Relationship Type="http://schemas.openxmlformats.org/officeDocument/2006/relationships/hyperlink" Target="https://vanillabonds.com/dossier-data/pdf/fastned/fastned-2025-annual-report.pdf#page=3" TargetMode="External" Id="rId1115"/><Relationship Type="http://schemas.openxmlformats.org/officeDocument/2006/relationships/hyperlink" Target="https://vanillabonds.com/dossier-data/pdf/fastned/fastned-2025-annual-report.pdf#page=3" TargetMode="External" Id="rId1116"/><Relationship Type="http://schemas.openxmlformats.org/officeDocument/2006/relationships/hyperlink" Target="https://vanillabonds.com/dossier-data/pdf/fastned/fastned-2025-annual-report.pdf#page=3" TargetMode="External" Id="rId1117"/><Relationship Type="http://schemas.openxmlformats.org/officeDocument/2006/relationships/hyperlink" Target="https://vanillabonds.com/dossier-data/pdf/fastned/fastned-2025-annual-report.pdf#page=3" TargetMode="External" Id="rId1118"/><Relationship Type="http://schemas.openxmlformats.org/officeDocument/2006/relationships/hyperlink" Target="https://vanillabonds.com/dossier-data/pdf/fastned/fastned-2025-annual-report.pdf#page=4" TargetMode="External" Id="rId1119"/><Relationship Type="http://schemas.openxmlformats.org/officeDocument/2006/relationships/hyperlink" Target="https://vanillabonds.com/dossier-data/pdf/fastned/fastned-2025-annual-report.pdf#page=4" TargetMode="External" Id="rId1120"/><Relationship Type="http://schemas.openxmlformats.org/officeDocument/2006/relationships/hyperlink" Target="https://vanillabonds.com/dossier-data/pdf/fastned/fastned-2025-annual-report.pdf#page=4" TargetMode="External" Id="rId1121"/><Relationship Type="http://schemas.openxmlformats.org/officeDocument/2006/relationships/hyperlink" Target="https://vanillabonds.com/dossier-data/pdf/fastned/fastned-2025-annual-report.pdf#page=4" TargetMode="External" Id="rId1122"/><Relationship Type="http://schemas.openxmlformats.org/officeDocument/2006/relationships/hyperlink" Target="https://vanillabonds.com/dossier-data/pdf/fastned/fastned-2025-annual-report.pdf#page=16" TargetMode="External" Id="rId1123"/><Relationship Type="http://schemas.openxmlformats.org/officeDocument/2006/relationships/hyperlink" Target="https://vanillabonds.com/dossier-data/pdf/fastned/fastned-2025-annual-report.pdf#page=16" TargetMode="External" Id="rId1124"/><Relationship Type="http://schemas.openxmlformats.org/officeDocument/2006/relationships/hyperlink" Target="https://vanillabonds.com/dossier-data/pdf/fastned/fastned-2025-annual-report.pdf#page=17" TargetMode="External" Id="rId1125"/><Relationship Type="http://schemas.openxmlformats.org/officeDocument/2006/relationships/hyperlink" Target="https://vanillabonds.com/dossier-data/pdf/fastned/fastned-2025-annual-report.pdf#page=18" TargetMode="External" Id="rId1126"/><Relationship Type="http://schemas.openxmlformats.org/officeDocument/2006/relationships/hyperlink" Target="https://vanillabonds.com/dossier-data/pdf/fastned/fastned-2025-annual-report.pdf#page=20" TargetMode="External" Id="rId1127"/><Relationship Type="http://schemas.openxmlformats.org/officeDocument/2006/relationships/hyperlink" Target="https://vanillabonds.com/dossier-data/pdf/fastned/fastned-2025-annual-report.pdf#page=37" TargetMode="External" Id="rId1128"/><Relationship Type="http://schemas.openxmlformats.org/officeDocument/2006/relationships/hyperlink" Target="https://vanillabonds.com/dossier-data/pdf/fastned/fastned-2025-annual-report.pdf#page=81" TargetMode="External" Id="rId1129"/><Relationship Type="http://schemas.openxmlformats.org/officeDocument/2006/relationships/hyperlink" Target="https://vanillabonds.com/dossier-data/pdf/fastned/fastned-2025-annual-report.pdf#page=99" TargetMode="External" Id="rId1130"/><Relationship Type="http://schemas.openxmlformats.org/officeDocument/2006/relationships/hyperlink" Target="https://vanillabonds.com/dossier-data/pdf/fastned/fastned-2025-annual-report.pdf#page=99" TargetMode="External" Id="rId1131"/><Relationship Type="http://schemas.openxmlformats.org/officeDocument/2006/relationships/hyperlink" Target="https://vanillabonds.com/dossier-data/pdf/fastned/fastned-2025-annual-report.pdf#page=100" TargetMode="External" Id="rId1132"/><Relationship Type="http://schemas.openxmlformats.org/officeDocument/2006/relationships/hyperlink" Target="https://vanillabonds.com/dossier-data/pdf/fastned/fastned-2025-annual-report.pdf#page=100" TargetMode="External" Id="rId1133"/><Relationship Type="http://schemas.openxmlformats.org/officeDocument/2006/relationships/hyperlink" Target="https://vanillabonds.com/dossier-data/pdf/fastned/fastned-2025-annual-report.pdf#page=102" TargetMode="External" Id="rId1134"/><Relationship Type="http://schemas.openxmlformats.org/officeDocument/2006/relationships/hyperlink" Target="https://vanillabonds.com/dossier-data/pdf/fastned/fastned-2025-annual-report.pdf#page=108" TargetMode="External" Id="rId1135"/><Relationship Type="http://schemas.openxmlformats.org/officeDocument/2006/relationships/hyperlink" Target="https://vanillabonds.com/dossier-data/pdf/fastned/fastned-2025-annual-report.pdf#page=120" TargetMode="External" Id="rId1136"/><Relationship Type="http://schemas.openxmlformats.org/officeDocument/2006/relationships/hyperlink" Target="https://vanillabonds.com/dossier-data/pdf/fastned/fastned-2025-annual-report.pdf#page=122" TargetMode="External" Id="rId1137"/><Relationship Type="http://schemas.openxmlformats.org/officeDocument/2006/relationships/hyperlink" Target="https://vanillabonds.com/dossier-data/pdf/fastned/fastned-2025-annual-report.pdf#page=138" TargetMode="External" Id="rId1138"/><Relationship Type="http://schemas.openxmlformats.org/officeDocument/2006/relationships/hyperlink" Target="https://vanillabonds.com/dossier-data/pdf/fastned/fastned-2025-annual-report.pdf#page=148" TargetMode="External" Id="rId1139"/><Relationship Type="http://schemas.openxmlformats.org/officeDocument/2006/relationships/hyperlink" Target="https://vanillabonds.com/dossier-data/pdf/fastned/fastned-2025-annual-report.pdf#page=148" TargetMode="External" Id="rId1140"/><Relationship Type="http://schemas.openxmlformats.org/officeDocument/2006/relationships/hyperlink" Target="https://vanillabonds.com/dossier-data/pdf/fastned/fastned-2025-annual-report.pdf#page=148" TargetMode="External" Id="rId1141"/><Relationship Type="http://schemas.openxmlformats.org/officeDocument/2006/relationships/hyperlink" Target="https://vanillabonds.com/dossier-data/pdf/fastned/fastned-2025-annual-report.pdf#page=148" TargetMode="External" Id="rId1142"/><Relationship Type="http://schemas.openxmlformats.org/officeDocument/2006/relationships/hyperlink" Target="https://vanillabonds.com/dossier-data/pdf/fastned/fastned-2025-annual-report.pdf#page=148" TargetMode="External" Id="rId1143"/><Relationship Type="http://schemas.openxmlformats.org/officeDocument/2006/relationships/hyperlink" Target="https://vanillabonds.com/dossier-data/pdf/fastned/fastned-2025-annual-report.pdf#page=151" TargetMode="External" Id="rId1144"/><Relationship Type="http://schemas.openxmlformats.org/officeDocument/2006/relationships/hyperlink" Target="https://vanillabonds.com/dossier-data/pdf/fastned/fastned-2025-annual-report.pdf#page=165" TargetMode="External" Id="rId1145"/><Relationship Type="http://schemas.openxmlformats.org/officeDocument/2006/relationships/hyperlink" Target="https://vanillabonds.com/dossier-data/pdf/fastned/fastned-2025-annual-report.pdf#page=173" TargetMode="External" Id="rId1146"/><Relationship Type="http://schemas.openxmlformats.org/officeDocument/2006/relationships/hyperlink" Target="https://vanillabonds.com/dossier-data/pdf/fastned/fastned-2025-annual-report.pdf#page=173" TargetMode="External" Id="rId1147"/><Relationship Type="http://schemas.openxmlformats.org/officeDocument/2006/relationships/hyperlink" Target="https://vanillabonds.com/dossier-data/pdf/fastned/fastned-2025-annual-report.pdf#page=173" TargetMode="External" Id="rId1148"/><Relationship Type="http://schemas.openxmlformats.org/officeDocument/2006/relationships/hyperlink" Target="https://vanillabonds.com/dossier-data/pdf/fastned/fastned-2025-annual-report.pdf#page=175" TargetMode="External" Id="rId1149"/><Relationship Type="http://schemas.openxmlformats.org/officeDocument/2006/relationships/hyperlink" Target="https://vanillabonds.com/dossier-data/pdf/fastned/fastned-2025-annual-report.pdf#page=195" TargetMode="External" Id="rId1150"/><Relationship Type="http://schemas.openxmlformats.org/officeDocument/2006/relationships/hyperlink" Target="https://vanillabonds.com/dossier-data/pdf/fastned/fastned-2025-annual-report.pdf#page=195" TargetMode="External" Id="rId1151"/><Relationship Type="http://schemas.openxmlformats.org/officeDocument/2006/relationships/hyperlink" Target="https://vanillabonds.com/dossier-data/pdf/fastned/fastned-2025-annual-report.pdf#page=195" TargetMode="External" Id="rId1152"/><Relationship Type="http://schemas.openxmlformats.org/officeDocument/2006/relationships/hyperlink" Target="https://vanillabonds.com/dossier-data/pdf/fastned/fastned-2025-annual-report.pdf#page=208" TargetMode="External" Id="rId1153"/><Relationship Type="http://schemas.openxmlformats.org/officeDocument/2006/relationships/hyperlink" Target="https://vanillabonds.com/dossier-data/pdf/fastned/fastned-2025-annual-report.pdf#page=208" TargetMode="External" Id="rId1154"/><Relationship Type="http://schemas.openxmlformats.org/officeDocument/2006/relationships/hyperlink" Target="https://vanillabonds.com/dossier-data/pdf/fastned/fastned-2025-annual-report.pdf#page=209" TargetMode="External" Id="rId1155"/><Relationship Type="http://schemas.openxmlformats.org/officeDocument/2006/relationships/hyperlink" Target="https://vanillabonds.com/dossier-data/pdf/fastned/fastned-2025-annual-report.pdf#page=223" TargetMode="External" Id="rId1156"/><Relationship Type="http://schemas.openxmlformats.org/officeDocument/2006/relationships/hyperlink" Target="https://vanillabonds.com/dossier-data/pdf/fastned/fastned-2025-annual-report.pdf#page=97" TargetMode="External" Id="rId1157"/><Relationship Type="http://schemas.openxmlformats.org/officeDocument/2006/relationships/hyperlink" Target="https://vanillabonds.com/dossier-data/pdf/fastned/fastned-2025-annual-report.pdf#page=97" TargetMode="External" Id="rId1158"/><Relationship Type="http://schemas.openxmlformats.org/officeDocument/2006/relationships/hyperlink" Target="https://vanillabonds.com/dossier-data/pdf/fastned/fastned-2025-annual-report.pdf#page=45" TargetMode="External" Id="rId1159"/><Relationship Type="http://schemas.openxmlformats.org/officeDocument/2006/relationships/hyperlink" Target="https://vanillabonds.com/dossier-data/pdf/fastned/fastned-2025-annual-report.pdf#page=116" TargetMode="External" Id="rId1160"/><Relationship Type="http://schemas.openxmlformats.org/officeDocument/2006/relationships/hyperlink" Target="https://vanillabonds.com/dossier-data/pdf/fastned/fastned-2025-annual-report.pdf#page=116" TargetMode="External" Id="rId1161"/><Relationship Type="http://schemas.openxmlformats.org/officeDocument/2006/relationships/hyperlink" Target="https://vanillabonds.com/dossier-data/pdf/fastned/fastned-2025-annual-report.pdf#page=45" TargetMode="External" Id="rId1162"/><Relationship Type="http://schemas.openxmlformats.org/officeDocument/2006/relationships/hyperlink" Target="https://vanillabonds.com/dossier-data/pdf/fastned/fastned-2025-annual-report.pdf#page=153" TargetMode="External" Id="rId1163"/><Relationship Type="http://schemas.openxmlformats.org/officeDocument/2006/relationships/hyperlink" Target="https://vanillabonds.com/dossier-data/pdf/fastned/fastned-2025-annual-report.pdf#page=152" TargetMode="External" Id="rId1164"/><Relationship Type="http://schemas.openxmlformats.org/officeDocument/2006/relationships/hyperlink" Target="https://vanillabonds.com/dossier-data/pdf/fastned/fastned-2025-annual-report.pdf#page=45" TargetMode="External" Id="rId1165"/><Relationship Type="http://schemas.openxmlformats.org/officeDocument/2006/relationships/hyperlink" Target="https://vanillabonds.com/dossier-data/pdf/fastned/fastned-2025-annual-report.pdf#page=46" TargetMode="External" Id="rId1166"/><Relationship Type="http://schemas.openxmlformats.org/officeDocument/2006/relationships/hyperlink" Target="https://vanillabonds.com/dossier-data/pdf/fastned/fastned-2025-annual-report.pdf#page=114" TargetMode="External" Id="rId1167"/><Relationship Type="http://schemas.openxmlformats.org/officeDocument/2006/relationships/hyperlink" Target="https://vanillabonds.com/dossier-data/pdf/fastned/fastned-2025-annual-report.pdf#page=46" TargetMode="External" Id="rId1168"/><Relationship Type="http://schemas.openxmlformats.org/officeDocument/2006/relationships/hyperlink" Target="https://vanillabonds.com/dossier-data/pdf/fastned/fastned-2025-annual-report.pdf#page=114" TargetMode="External" Id="rId1169"/><Relationship Type="http://schemas.openxmlformats.org/officeDocument/2006/relationships/hyperlink" Target="https://vanillabonds.com/dossier-data/pdf/fastned/fastned-2025-annual-report.pdf#page=116" TargetMode="External" Id="rId1170"/><Relationship Type="http://schemas.openxmlformats.org/officeDocument/2006/relationships/hyperlink" Target="https://vanillabonds.com/dossier-data/pdf/fastned/fastned-2025-annual-report.pdf#page=116" TargetMode="External" Id="rId1171"/><Relationship Type="http://schemas.openxmlformats.org/officeDocument/2006/relationships/hyperlink" Target="https://vanillabonds.com/dossier-data/pdf/fastned/fastned-2025-annual-report.pdf#page=45" TargetMode="External" Id="rId1172"/><Relationship Type="http://schemas.openxmlformats.org/officeDocument/2006/relationships/hyperlink" Target="https://vanillabonds.com/dossier-data/pdf/fastned/fastned-2025-annual-report.pdf#page=116" TargetMode="External" Id="rId1173"/><Relationship Type="http://schemas.openxmlformats.org/officeDocument/2006/relationships/hyperlink" Target="https://vanillabonds.com/dossier-data/pdf/fastned/fastned-2025-annual-report.pdf#page=116" TargetMode="External" Id="rId1174"/><Relationship Type="http://schemas.openxmlformats.org/officeDocument/2006/relationships/hyperlink" Target="https://vanillabonds.com/dossier-data/pdf/fastned/fastned-2025-annual-report.pdf#page=45" TargetMode="External" Id="rId1175"/><Relationship Type="http://schemas.openxmlformats.org/officeDocument/2006/relationships/hyperlink" Target="https://vanillabonds.com/dossier-data/pdf/fastned/fastned-2025-annual-report.pdf#page=153" TargetMode="External" Id="rId1176"/><Relationship Type="http://schemas.openxmlformats.org/officeDocument/2006/relationships/hyperlink" Target="https://vanillabonds.com/dossier-data/pdf/fastned/fastned-2025-annual-report.pdf#page=152" TargetMode="External" Id="rId1177"/><Relationship Type="http://schemas.openxmlformats.org/officeDocument/2006/relationships/hyperlink" Target="https://vanillabonds.com/dossier-data/pdf/fastned/fastned-2025-annual-report.pdf#page=45" TargetMode="External" Id="rId1178"/><Relationship Type="http://schemas.openxmlformats.org/officeDocument/2006/relationships/hyperlink" Target="https://vanillabonds.com/dossier-data/pdf/fastned/fastned-2025-annual-report.pdf#page=45" TargetMode="External" Id="rId1179"/><Relationship Type="http://schemas.openxmlformats.org/officeDocument/2006/relationships/hyperlink" Target="https://vanillabonds.com/dossier-data/pdf/fastned/fastned-2025-annual-report.pdf#page=116" TargetMode="External" Id="rId1180"/><Relationship Type="http://schemas.openxmlformats.org/officeDocument/2006/relationships/hyperlink" Target="https://vanillabonds.com/dossier-data/pdf/fastned/fastned-2025-annual-report.pdf#page=45" TargetMode="External" Id="rId1181"/><Relationship Type="http://schemas.openxmlformats.org/officeDocument/2006/relationships/hyperlink" Target="https://vanillabonds.com/dossier-data/pdf/fastned/fastned-2025-annual-report.pdf#page=116" TargetMode="External" Id="rId1182"/><Relationship Type="http://schemas.openxmlformats.org/officeDocument/2006/relationships/hyperlink" Target="https://vanillabonds.com/dossier-data/pdf/fastned/fastned-2025-annual-report.pdf#page=47" TargetMode="External" Id="rId1183"/><Relationship Type="http://schemas.openxmlformats.org/officeDocument/2006/relationships/hyperlink" Target="https://vanillabonds.com/dossier-data/pdf/fastned/fastned-2025-annual-report.pdf#page=120" TargetMode="External" Id="rId1184"/><Relationship Type="http://schemas.openxmlformats.org/officeDocument/2006/relationships/hyperlink" Target="https://vanillabonds.com/dossier-data/pdf/fastned/fastned-2025-annual-report.pdf#page=120" TargetMode="External" Id="rId1185"/><Relationship Type="http://schemas.openxmlformats.org/officeDocument/2006/relationships/hyperlink" Target="https://vanillabonds.com/dossier-data/pdf/fastned/fastned-2025-annual-report.pdf#page=120" TargetMode="External" Id="rId1186"/><Relationship Type="http://schemas.openxmlformats.org/officeDocument/2006/relationships/hyperlink" Target="https://vanillabonds.com/dossier-data/pdf/fastned/fastned-2025-annual-report.pdf#page=120" TargetMode="External" Id="rId1187"/><Relationship Type="http://schemas.openxmlformats.org/officeDocument/2006/relationships/hyperlink" Target="https://vanillabonds.com/dossier-data/pdf/fastned/fastned-2025-annual-report.pdf#page=47" TargetMode="External" Id="rId1188"/><Relationship Type="http://schemas.openxmlformats.org/officeDocument/2006/relationships/hyperlink" Target="https://vanillabonds.com/dossier-data/pdf/fastned/fastned-2025-annual-report.pdf#page=118" TargetMode="External" Id="rId1189"/><Relationship Type="http://schemas.openxmlformats.org/officeDocument/2006/relationships/hyperlink" Target="https://vanillabonds.com/dossier-data/pdf/fastned/fastned-2025-annual-report.pdf#page=118" TargetMode="External" Id="rId1190"/><Relationship Type="http://schemas.openxmlformats.org/officeDocument/2006/relationships/hyperlink" Target="https://vanillabonds.com/dossier-data/pdf/fastned/fastned-2025-annual-report.pdf#page=172" TargetMode="External" Id="rId1191"/><Relationship Type="http://schemas.openxmlformats.org/officeDocument/2006/relationships/hyperlink" Target="https://vanillabonds.com/dossier-data/pdf/fastned/fastned-2025-annual-report.pdf#page=172" TargetMode="External" Id="rId1192"/><Relationship Type="http://schemas.openxmlformats.org/officeDocument/2006/relationships/hyperlink" Target="https://vanillabonds.com/dossier-data/pdf/fastned/fastned-2025-annual-report.pdf#page=185" TargetMode="External" Id="rId1193"/><Relationship Type="http://schemas.openxmlformats.org/officeDocument/2006/relationships/hyperlink" Target="https://vanillabonds.com/dossier-data/pdf/fastned/fastned-2025-annual-report.pdf#page=185" TargetMode="External" Id="rId1194"/><Relationship Type="http://schemas.openxmlformats.org/officeDocument/2006/relationships/hyperlink" Target="https://vanillabonds.com/dossier-data/pdf/fastned/fastned-2025-annual-report.pdf#page=146" TargetMode="External" Id="rId1195"/><Relationship Type="http://schemas.openxmlformats.org/officeDocument/2006/relationships/hyperlink" Target="https://vanillabonds.com/dossier-data/pdf/fastned/fastned-2025-annual-report.pdf#page=146" TargetMode="External" Id="rId1196"/><Relationship Type="http://schemas.openxmlformats.org/officeDocument/2006/relationships/hyperlink" Target="https://vanillabonds.com/dossier-data/pdf/fastned/fastned-2025-annual-report.pdf#page=47" TargetMode="External" Id="rId1197"/><Relationship Type="http://schemas.openxmlformats.org/officeDocument/2006/relationships/hyperlink" Target="https://vanillabonds.com/dossier-data/pdf/fastned/fastned-2025-annual-report.pdf#page=118" TargetMode="External" Id="rId1198"/><Relationship Type="http://schemas.openxmlformats.org/officeDocument/2006/relationships/hyperlink" Target="https://vanillabonds.com/dossier-data/pdf/fastned/fastned-2025-annual-report.pdf#page=118" TargetMode="External" Id="rId1199"/><Relationship Type="http://schemas.openxmlformats.org/officeDocument/2006/relationships/hyperlink" Target="https://vanillabonds.com/dossier-data/pdf/fastned/fastned-2025-annual-report.pdf#page=47" TargetMode="External" Id="rId1200"/><Relationship Type="http://schemas.openxmlformats.org/officeDocument/2006/relationships/hyperlink" Target="https://vanillabonds.com/dossier-data/pdf/fastned/fastned-2025-annual-report.pdf#page=118" TargetMode="External" Id="rId1201"/><Relationship Type="http://schemas.openxmlformats.org/officeDocument/2006/relationships/hyperlink" Target="https://vanillabonds.com/dossier-data/pdf/fastned/fastned-2025-annual-report.pdf#page=118" TargetMode="External" Id="rId1202"/><Relationship Type="http://schemas.openxmlformats.org/officeDocument/2006/relationships/hyperlink" Target="https://vanillabonds.com/dossier-data/pdf/fastned/fastned-2025-annual-report.pdf#page=3" TargetMode="External" Id="rId1203"/><Relationship Type="http://schemas.openxmlformats.org/officeDocument/2006/relationships/hyperlink" Target="https://vanillabonds.com/dossier-data/pdf/fastned/fastned-2025-annual-report.pdf#page=3" TargetMode="External" Id="rId1204"/><Relationship Type="http://schemas.openxmlformats.org/officeDocument/2006/relationships/hyperlink" Target="https://vanillabonds.com/dossier-data/pdf/fastned/fastned-2025-annual-report.pdf#page=4" TargetMode="External" Id="rId1205"/><Relationship Type="http://schemas.openxmlformats.org/officeDocument/2006/relationships/hyperlink" Target="https://vanillabonds.com/dossier-data/pdf/fastned/fastned-2025-annual-report.pdf#page=172" TargetMode="External" Id="rId1206"/><Relationship Type="http://schemas.openxmlformats.org/officeDocument/2006/relationships/hyperlink" Target="https://vanillabonds.com/dossier-data/pdf/fastned/fastned-2025-annual-report.pdf#page=172" TargetMode="External" Id="rId1207"/><Relationship Type="http://schemas.openxmlformats.org/officeDocument/2006/relationships/hyperlink" Target="https://vanillabonds.com/dossier-data/pdf/fastned/fastned-2025-annual-report.pdf#page=172" TargetMode="External" Id="rId1208"/><Relationship Type="http://schemas.openxmlformats.org/officeDocument/2006/relationships/hyperlink" Target="https://vanillabonds.com/dossier-data/pdf/fastned/fastned-2025-annual-report.pdf#page=172" TargetMode="External" Id="rId1209"/><Relationship Type="http://schemas.openxmlformats.org/officeDocument/2006/relationships/hyperlink" Target="https://vanillabonds.com/dossier-data/pdf/fastned/fastned-2025-annual-report.pdf#page=172" TargetMode="External" Id="rId1210"/><Relationship Type="http://schemas.openxmlformats.org/officeDocument/2006/relationships/hyperlink" Target="https://vanillabonds.com/dossier-data/pdf/fastned/fastned-2025-annual-report.pdf#page=172" TargetMode="External" Id="rId1211"/><Relationship Type="http://schemas.openxmlformats.org/officeDocument/2006/relationships/hyperlink" Target="https://vanillabonds.com/dossier-data/pdf/fastned/fastned-2025-annual-report.pdf#page=172" TargetMode="External" Id="rId1212"/><Relationship Type="http://schemas.openxmlformats.org/officeDocument/2006/relationships/hyperlink" Target="https://vanillabonds.com/dossier-data/pdf/fastned/fastned-2025-annual-report.pdf#page=172" TargetMode="External" Id="rId1213"/><Relationship Type="http://schemas.openxmlformats.org/officeDocument/2006/relationships/hyperlink" Target="https://vanillabonds.com/dossier-data/pdf/fastned/fastned-2025-annual-report.pdf#page=172" TargetMode="External" Id="rId1214"/><Relationship Type="http://schemas.openxmlformats.org/officeDocument/2006/relationships/hyperlink" Target="https://vanillabonds.com/dossier-data/pdf/fastned/fastned-2025-annual-report.pdf#page=172" TargetMode="External" Id="rId1215"/><Relationship Type="http://schemas.openxmlformats.org/officeDocument/2006/relationships/hyperlink" Target="https://vanillabonds.com/dossier-data/pdf/fastned/fastned-2025-annual-report.pdf#page=172" TargetMode="External" Id="rId1216"/><Relationship Type="http://schemas.openxmlformats.org/officeDocument/2006/relationships/hyperlink" Target="https://vanillabonds.com/dossier-data/pdf/fastned/fastned-2025-annual-report.pdf#page=172" TargetMode="External" Id="rId1217"/><Relationship Type="http://schemas.openxmlformats.org/officeDocument/2006/relationships/hyperlink" Target="https://vanillabonds.com/dossier-data/pdf/fastned/fastned-2025-annual-report.pdf#page=172" TargetMode="External" Id="rId1218"/><Relationship Type="http://schemas.openxmlformats.org/officeDocument/2006/relationships/hyperlink" Target="https://vanillabonds.com/dossier-data/pdf/fastned/fastned-2025-annual-report.pdf#page=195" TargetMode="External" Id="rId1219"/><Relationship Type="http://schemas.openxmlformats.org/officeDocument/2006/relationships/hyperlink" Target="https://vanillabonds.com/dossier-data/pdf/fastned/fastned-2025-annual-report.pdf#page=195" TargetMode="External" Id="rId1220"/><Relationship Type="http://schemas.openxmlformats.org/officeDocument/2006/relationships/hyperlink" Target="https://vanillabonds.com/dossier-data/pdf/fastned/fastned-2025-annual-report.pdf#page=173" TargetMode="External" Id="rId1221"/><Relationship Type="http://schemas.openxmlformats.org/officeDocument/2006/relationships/hyperlink" Target="https://vanillabonds.com/dossier-data/pdf/fastned/fastned-2025-annual-report.pdf#page=184" TargetMode="External" Id="rId1222"/><Relationship Type="http://schemas.openxmlformats.org/officeDocument/2006/relationships/hyperlink" Target="https://vanillabonds.com/dossier-data/pdf/fastned/fastned-2025-annual-report.pdf#page=195" TargetMode="External" Id="rId1223"/><Relationship Type="http://schemas.openxmlformats.org/officeDocument/2006/relationships/hyperlink" Target="https://vanillabonds.com/dossier-data/pdf/fastned/fastned-2025-annual-report.pdf#page=9" TargetMode="External" Id="rId1224"/><Relationship Type="http://schemas.openxmlformats.org/officeDocument/2006/relationships/hyperlink" Target="https://vanillabonds.com/dossier-data/pdf/fastned/fastned-2025-annual-report.pdf#page=14" TargetMode="External" Id="rId1225"/><Relationship Type="http://schemas.openxmlformats.org/officeDocument/2006/relationships/hyperlink" Target="https://vanillabonds.com/dossier-data/pdf/fastned/fastned-2025-annual-report.pdf#page=55" TargetMode="External" Id="rId1226"/><Relationship Type="http://schemas.openxmlformats.org/officeDocument/2006/relationships/hyperlink" Target="https://vanillabonds.com/dossier-data/pdf/fastned/fastned-2025-annual-report.pdf#page=80" TargetMode="External" Id="rId1227"/><Relationship Type="http://schemas.openxmlformats.org/officeDocument/2006/relationships/hyperlink" Target="https://vanillabonds.com/dossier-data/pdf/fastned/fastned-2025-annual-report.pdf#page=80" TargetMode="External" Id="rId1228"/><Relationship Type="http://schemas.openxmlformats.org/officeDocument/2006/relationships/hyperlink" Target="https://vanillabonds.com/dossier-data/pdf/fastned/fastned-2025-annual-report.pdf#page=81" TargetMode="External" Id="rId1229"/><Relationship Type="http://schemas.openxmlformats.org/officeDocument/2006/relationships/hyperlink" Target="https://vanillabonds.com/dossier-data/pdf/fastned/fastned-2025-annual-report.pdf#page=81" TargetMode="External" Id="rId1230"/><Relationship Type="http://schemas.openxmlformats.org/officeDocument/2006/relationships/hyperlink" Target="https://vanillabonds.com/dossier-data/pdf/fastned/fastned-2025-annual-report.pdf#page=81" TargetMode="External" Id="rId1231"/><Relationship Type="http://schemas.openxmlformats.org/officeDocument/2006/relationships/hyperlink" Target="https://vanillabonds.com/dossier-data/pdf/fastned/fastned-2025-annual-report.pdf#page=81" TargetMode="External" Id="rId1232"/><Relationship Type="http://schemas.openxmlformats.org/officeDocument/2006/relationships/hyperlink" Target="https://vanillabonds.com/dossier-data/pdf/fastned/fastned-2025-annual-report.pdf#page=81" TargetMode="External" Id="rId1233"/><Relationship Type="http://schemas.openxmlformats.org/officeDocument/2006/relationships/hyperlink" Target="https://vanillabonds.com/dossier-data/pdf/fastned/fastned-2025-annual-report.pdf#page=82" TargetMode="External" Id="rId1234"/><Relationship Type="http://schemas.openxmlformats.org/officeDocument/2006/relationships/hyperlink" Target="https://vanillabonds.com/dossier-data/pdf/fastned/fastned-2025-annual-report.pdf#page=82" TargetMode="External" Id="rId1235"/><Relationship Type="http://schemas.openxmlformats.org/officeDocument/2006/relationships/hyperlink" Target="https://vanillabonds.com/dossier-data/pdf/fastned/fastned-2025-annual-report.pdf#page=83" TargetMode="External" Id="rId1236"/><Relationship Type="http://schemas.openxmlformats.org/officeDocument/2006/relationships/hyperlink" Target="https://vanillabonds.com/dossier-data/pdf/fastned/fastned-2025-annual-report.pdf#page=84" TargetMode="External" Id="rId1237"/><Relationship Type="http://schemas.openxmlformats.org/officeDocument/2006/relationships/hyperlink" Target="https://vanillabonds.com/dossier-data/pdf/fastned/fastned-2025-annual-report.pdf#page=84" TargetMode="External" Id="rId1238"/><Relationship Type="http://schemas.openxmlformats.org/officeDocument/2006/relationships/hyperlink" Target="https://vanillabonds.com/dossier-data/pdf/fastned/fastned-2025-annual-report.pdf#page=84" TargetMode="External" Id="rId1239"/><Relationship Type="http://schemas.openxmlformats.org/officeDocument/2006/relationships/hyperlink" Target="https://vanillabonds.com/dossier-data/pdf/fastned/fastned-2025-annual-report.pdf#page=111" TargetMode="External" Id="rId1240"/><Relationship Type="http://schemas.openxmlformats.org/officeDocument/2006/relationships/hyperlink" Target="https://vanillabonds.com/dossier-data/pdf/fastned/fastned-2025-annual-report.pdf#page=117" TargetMode="External" Id="rId1241"/><Relationship Type="http://schemas.openxmlformats.org/officeDocument/2006/relationships/hyperlink" Target="https://vanillabonds.com/dossier-data/pdf/fastned/fastned-2025-annual-report.pdf#page=122" TargetMode="External" Id="rId1242"/><Relationship Type="http://schemas.openxmlformats.org/officeDocument/2006/relationships/hyperlink" Target="https://vanillabonds.com/dossier-data/pdf/fastned/fastned-2025-annual-report.pdf#page=122" TargetMode="External" Id="rId1243"/><Relationship Type="http://schemas.openxmlformats.org/officeDocument/2006/relationships/hyperlink" Target="https://vanillabonds.com/dossier-data/pdf/fastned/fastned-2025-annual-report.pdf#page=142" TargetMode="External" Id="rId1244"/><Relationship Type="http://schemas.openxmlformats.org/officeDocument/2006/relationships/hyperlink" Target="https://vanillabonds.com/dossier-data/pdf/fastned/fastned-2025-annual-report.pdf#page=143" TargetMode="External" Id="rId1245"/><Relationship Type="http://schemas.openxmlformats.org/officeDocument/2006/relationships/hyperlink" Target="https://vanillabonds.com/dossier-data/pdf/fastned/fastned-2025-annual-report.pdf#page=165" TargetMode="External" Id="rId1246"/><Relationship Type="http://schemas.openxmlformats.org/officeDocument/2006/relationships/hyperlink" Target="https://vanillabonds.com/dossier-data/pdf/fastned/fastned-2025-annual-report.pdf#page=167" TargetMode="External" Id="rId1247"/><Relationship Type="http://schemas.openxmlformats.org/officeDocument/2006/relationships/hyperlink" Target="https://vanillabonds.com/dossier-data/pdf/fastned/fastned-2025-annual-report.pdf#page=178" TargetMode="External" Id="rId1248"/><Relationship Type="http://schemas.openxmlformats.org/officeDocument/2006/relationships/hyperlink" Target="https://vanillabonds.com/dossier-data/pdf/fastned/fastned-2025-annual-report.pdf#page=178" TargetMode="External" Id="rId1249"/><Relationship Type="http://schemas.openxmlformats.org/officeDocument/2006/relationships/hyperlink" Target="https://vanillabonds.com/dossier-data/pdf/fastned/fastned-2025-annual-report.pdf#page=179" TargetMode="External" Id="rId1250"/><Relationship Type="http://schemas.openxmlformats.org/officeDocument/2006/relationships/hyperlink" Target="https://vanillabonds.com/dossier-data/pdf/fastned/fastned-2025-annual-report.pdf#page=179" TargetMode="External" Id="rId1251"/><Relationship Type="http://schemas.openxmlformats.org/officeDocument/2006/relationships/hyperlink" Target="https://vanillabonds.com/dossier-data/pdf/fastned/fastned-2025-annual-report.pdf#page=179" TargetMode="External" Id="rId1252"/><Relationship Type="http://schemas.openxmlformats.org/officeDocument/2006/relationships/hyperlink" Target="https://vanillabonds.com/dossier-data/pdf/fastned/fastned-2025-annual-report.pdf#page=180" TargetMode="External" Id="rId1253"/><Relationship Type="http://schemas.openxmlformats.org/officeDocument/2006/relationships/hyperlink" Target="https://vanillabonds.com/dossier-data/pdf/fastned/fastned-2025-annual-report.pdf#page=181" TargetMode="External" Id="rId1254"/><Relationship Type="http://schemas.openxmlformats.org/officeDocument/2006/relationships/hyperlink" Target="https://vanillabonds.com/dossier-data/pdf/fastned/fastned-2025-annual-report.pdf#page=211" TargetMode="External" Id="rId1255"/><Relationship Type="http://schemas.openxmlformats.org/officeDocument/2006/relationships/hyperlink" Target="https://vanillabonds.com/dossier-data/pdf/fastned/fastned-2025-annual-report.pdf#page=218" TargetMode="External" Id="rId1256"/><Relationship Type="http://schemas.openxmlformats.org/officeDocument/2006/relationships/hyperlink" Target="https://vanillabonds.com/dossier-data/pdf/fastned/fastned-2025-annual-report.pdf#page=218" TargetMode="External" Id="rId1257"/><Relationship Type="http://schemas.openxmlformats.org/officeDocument/2006/relationships/hyperlink" Target="https://vanillabonds.com/dossier-data/pdf/fastned/fastned-2025-annual-report.pdf#page=218" TargetMode="External" Id="rId1258"/><Relationship Type="http://schemas.openxmlformats.org/officeDocument/2006/relationships/hyperlink" Target="https://vanillabonds.com/dossier-data/pdf/fastned/fastned-2025-annual-report.pdf#page=219" TargetMode="External" Id="rId1259"/><Relationship Type="http://schemas.openxmlformats.org/officeDocument/2006/relationships/hyperlink" Target="https://vanillabonds.com/dossier-data/pdf/fastned/fastned-2025-annual-report.pdf#page=225" TargetMode="External" Id="rId1260"/><Relationship Type="http://schemas.openxmlformats.org/officeDocument/2006/relationships/hyperlink" Target="https://vanillabonds.com/dossier-data/pdf/fastned/fastned-2025-annual-report.pdf#page=232" TargetMode="External" Id="rId1261"/><Relationship Type="http://schemas.openxmlformats.org/officeDocument/2006/relationships/hyperlink" Target="https://vanillabonds.com/dossier-data/pdf/fastned/fastned-2025-annual-report.pdf#page=18" TargetMode="External" Id="rId1262"/><Relationship Type="http://schemas.openxmlformats.org/officeDocument/2006/relationships/hyperlink" Target="https://vanillabonds.com/dossier-data/pdf/fastned/fastned-2025-annual-report.pdf#page=18" TargetMode="External" Id="rId1263"/><Relationship Type="http://schemas.openxmlformats.org/officeDocument/2006/relationships/hyperlink" Target="https://vanillabonds.com/dossier-data/pdf/fastned/fastned-2025-annual-report.pdf#page=23" TargetMode="External" Id="rId1264"/><Relationship Type="http://schemas.openxmlformats.org/officeDocument/2006/relationships/hyperlink" Target="https://vanillabonds.com/dossier-data/pdf/fastned/fastned-2025-annual-report.pdf#page=24" TargetMode="External" Id="rId1265"/><Relationship Type="http://schemas.openxmlformats.org/officeDocument/2006/relationships/hyperlink" Target="https://vanillabonds.com/dossier-data/pdf/fastned/fastned-2025-annual-report.pdf#page=25" TargetMode="External" Id="rId1266"/><Relationship Type="http://schemas.openxmlformats.org/officeDocument/2006/relationships/hyperlink" Target="https://vanillabonds.com/dossier-data/pdf/fastned/fastned-2025-annual-report.pdf#page=26" TargetMode="External" Id="rId1267"/><Relationship Type="http://schemas.openxmlformats.org/officeDocument/2006/relationships/hyperlink" Target="https://vanillabonds.com/dossier-data/pdf/fastned/fastned-2025-annual-report.pdf#page=27" TargetMode="External" Id="rId1268"/><Relationship Type="http://schemas.openxmlformats.org/officeDocument/2006/relationships/hyperlink" Target="https://vanillabonds.com/dossier-data/pdf/fastned/fastned-2025-annual-report.pdf#page=28" TargetMode="External" Id="rId1269"/><Relationship Type="http://schemas.openxmlformats.org/officeDocument/2006/relationships/hyperlink" Target="https://vanillabonds.com/dossier-data/pdf/fastned/fastned-2025-annual-report.pdf#page=29" TargetMode="External" Id="rId1270"/><Relationship Type="http://schemas.openxmlformats.org/officeDocument/2006/relationships/hyperlink" Target="https://vanillabonds.com/dossier-data/pdf/fastned/fastned-2025-annual-report.pdf#page=30" TargetMode="External" Id="rId1271"/><Relationship Type="http://schemas.openxmlformats.org/officeDocument/2006/relationships/hyperlink" Target="https://vanillabonds.com/dossier-data/pdf/fastned/fastned-2025-annual-report.pdf#page=31" TargetMode="External" Id="rId1272"/><Relationship Type="http://schemas.openxmlformats.org/officeDocument/2006/relationships/hyperlink" Target="https://vanillabonds.com/dossier-data/pdf/fastned/fastned-2025-annual-report.pdf#page=32" TargetMode="External" Id="rId1273"/><Relationship Type="http://schemas.openxmlformats.org/officeDocument/2006/relationships/hyperlink" Target="https://vanillabonds.com/dossier-data/pdf/fastned/fastned-2025-annual-report.pdf#page=96" TargetMode="External" Id="rId1274"/><Relationship Type="http://schemas.openxmlformats.org/officeDocument/2006/relationships/hyperlink" Target="https://vanillabonds.com/dossier-data/pdf/fastned/fastned-2025-annual-report.pdf#page=109" TargetMode="External" Id="rId1275"/><Relationship Type="http://schemas.openxmlformats.org/officeDocument/2006/relationships/hyperlink" Target="https://vanillabonds.com/dossier-data/pdf/fastned/fastned-2025-annual-report.pdf#page=110" TargetMode="External" Id="rId1276"/><Relationship Type="http://schemas.openxmlformats.org/officeDocument/2006/relationships/hyperlink" Target="https://vanillabonds.com/dossier-data/pdf/fastned/fastned-2025-annual-report.pdf#page=110" TargetMode="External" Id="rId1277"/><Relationship Type="http://schemas.openxmlformats.org/officeDocument/2006/relationships/hyperlink" Target="https://vanillabonds.com/dossier-data/pdf/fastned/fastned-2025-annual-report.pdf#page=215" TargetMode="External" Id="rId1278"/><Relationship Type="http://schemas.openxmlformats.org/officeDocument/2006/relationships/hyperlink" Target="https://vanillabonds.com/dossier-data/pdf/fastned/fastned-2025-annual-report.pdf#page=215" TargetMode="External" Id="rId1279"/><Relationship Type="http://schemas.openxmlformats.org/officeDocument/2006/relationships/hyperlink" Target="https://vanillabonds.com/dossier-data/pdf/fastned/fastned-2025-annual-report.pdf#page=215" TargetMode="External" Id="rId1280"/><Relationship Type="http://schemas.openxmlformats.org/officeDocument/2006/relationships/hyperlink" Target="https://vanillabonds.com/dossier-data/pdf/fastned/fastned-2025-annual-report.pdf#page=184" TargetMode="External" Id="rId1281"/><Relationship Type="http://schemas.openxmlformats.org/officeDocument/2006/relationships/hyperlink" Target="https://vanillabonds.com/dossier-data/pdf/fastned/fastned-2025-annual-report.pdf#page=148" TargetMode="External" Id="rId1282"/><Relationship Type="http://schemas.openxmlformats.org/officeDocument/2006/relationships/hyperlink" Target="https://vanillabonds.com/dossier-data/pdf/fastned/fastned-2025-annual-report.pdf#page=169" TargetMode="External" Id="rId1283"/><Relationship Type="http://schemas.openxmlformats.org/officeDocument/2006/relationships/hyperlink" Target="https://vanillabonds.com/dossier-data/pdf/fastned/fastned-2025-annual-report.pdf#page=96" TargetMode="External" Id="rId1284"/><Relationship Type="http://schemas.openxmlformats.org/officeDocument/2006/relationships/hyperlink" Target="https://vanillabonds.com/dossier-data/pdf/fastned/fastned-2025-annual-report.pdf#page=43" TargetMode="External" Id="rId1285"/><Relationship Type="http://schemas.openxmlformats.org/officeDocument/2006/relationships/hyperlink" Target="https://vanillabonds.com/dossier-data/pdf/fastned/fastned-2025-annual-report.pdf#page=86" TargetMode="External" Id="rId1286"/><Relationship Type="http://schemas.openxmlformats.org/officeDocument/2006/relationships/hyperlink" Target="https://vanillabonds.com/dossier-data/pdf/fastned/fastned-2025-annual-report.pdf#page=86" TargetMode="External" Id="rId1287"/><Relationship Type="http://schemas.openxmlformats.org/officeDocument/2006/relationships/hyperlink" Target="https://vanillabonds.com/dossier-data/pdf/fastned/fastned-2025-annual-report.pdf#page=86" TargetMode="External" Id="rId1288"/><Relationship Type="http://schemas.openxmlformats.org/officeDocument/2006/relationships/hyperlink" Target="https://vanillabonds.com/dossier-data/pdf/fastned/fastned-2025-annual-report.pdf#page=86" TargetMode="External" Id="rId1289"/><Relationship Type="http://schemas.openxmlformats.org/officeDocument/2006/relationships/hyperlink" Target="https://vanillabonds.com/dossier-data/pdf/fastned/fastned-2025-annual-report.pdf#page=87" TargetMode="External" Id="rId1290"/><Relationship Type="http://schemas.openxmlformats.org/officeDocument/2006/relationships/hyperlink" Target="https://vanillabonds.com/dossier-data/pdf/fastned/fastned-2025-annual-report.pdf#page=87" TargetMode="External" Id="rId1291"/><Relationship Type="http://schemas.openxmlformats.org/officeDocument/2006/relationships/hyperlink" Target="https://vanillabonds.com/dossier-data/pdf/fastned/fastned-2025-annual-report.pdf#page=87" TargetMode="External" Id="rId1292"/><Relationship Type="http://schemas.openxmlformats.org/officeDocument/2006/relationships/hyperlink" Target="https://vanillabonds.com/dossier-data/pdf/fastned/fastned-2025-annual-report.pdf#page=87" TargetMode="External" Id="rId1293"/><Relationship Type="http://schemas.openxmlformats.org/officeDocument/2006/relationships/hyperlink" Target="https://vanillabonds.com/dossier-data/pdf/fastned/fastned-2025-annual-report.pdf#page=87" TargetMode="External" Id="rId1294"/><Relationship Type="http://schemas.openxmlformats.org/officeDocument/2006/relationships/hyperlink" Target="https://vanillabonds.com/dossier-data/pdf/fastned/fastned-2025-annual-report.pdf#page=88" TargetMode="External" Id="rId1295"/><Relationship Type="http://schemas.openxmlformats.org/officeDocument/2006/relationships/hyperlink" Target="https://vanillabonds.com/dossier-data/pdf/fastned/fastned-2025-annual-report.pdf#page=88" TargetMode="External" Id="rId1296"/><Relationship Type="http://schemas.openxmlformats.org/officeDocument/2006/relationships/hyperlink" Target="https://vanillabonds.com/dossier-data/pdf/fastned/fastned-2025-annual-report.pdf#page=88" TargetMode="External" Id="rId1297"/><Relationship Type="http://schemas.openxmlformats.org/officeDocument/2006/relationships/hyperlink" Target="https://vanillabonds.com/dossier-data/pdf/fastned/fastned-2025-annual-report.pdf#page=89" TargetMode="External" Id="rId1298"/><Relationship Type="http://schemas.openxmlformats.org/officeDocument/2006/relationships/hyperlink" Target="https://vanillabonds.com/dossier-data/pdf/fastned/fastned-2025-annual-report.pdf#page=89" TargetMode="External" Id="rId1299"/><Relationship Type="http://schemas.openxmlformats.org/officeDocument/2006/relationships/hyperlink" Target="https://vanillabonds.com/dossier-data/pdf/fastned/fastned-2025-annual-report.pdf#page=89" TargetMode="External" Id="rId1300"/><Relationship Type="http://schemas.openxmlformats.org/officeDocument/2006/relationships/hyperlink" Target="https://vanillabonds.com/dossier-data/pdf/fastned/fastned-2025-annual-report.pdf#page=90" TargetMode="External" Id="rId1301"/><Relationship Type="http://schemas.openxmlformats.org/officeDocument/2006/relationships/hyperlink" Target="https://vanillabonds.com/dossier-data/pdf/fastned/fastned-2025-annual-report.pdf#page=90" TargetMode="External" Id="rId1302"/><Relationship Type="http://schemas.openxmlformats.org/officeDocument/2006/relationships/hyperlink" Target="https://vanillabonds.com/dossier-data/pdf/fastned/fastned-2025-annual-report.pdf#page=90" TargetMode="External" Id="rId1303"/><Relationship Type="http://schemas.openxmlformats.org/officeDocument/2006/relationships/hyperlink" Target="https://vanillabonds.com/dossier-data/pdf/fastned/fastned-2025-annual-report.pdf#page=91" TargetMode="External" Id="rId1304"/><Relationship Type="http://schemas.openxmlformats.org/officeDocument/2006/relationships/hyperlink" Target="https://vanillabonds.com/dossier-data/pdf/fastned/fastned-2025-annual-report.pdf#page=91" TargetMode="External" Id="rId1305"/><Relationship Type="http://schemas.openxmlformats.org/officeDocument/2006/relationships/hyperlink" Target="https://vanillabonds.com/dossier-data/pdf/fastned/fastned-2025-annual-report.pdf#page=91" TargetMode="External" Id="rId1306"/><Relationship Type="http://schemas.openxmlformats.org/officeDocument/2006/relationships/hyperlink" Target="https://vanillabonds.com/dossier-data/pdf/fastned/fastned-2025-annual-report.pdf#page=92" TargetMode="External" Id="rId1307"/><Relationship Type="http://schemas.openxmlformats.org/officeDocument/2006/relationships/hyperlink" Target="https://vanillabonds.com/dossier-data/pdf/fastned/fastned-2025-annual-report.pdf#page=93" TargetMode="External" Id="rId1308"/><Relationship Type="http://schemas.openxmlformats.org/officeDocument/2006/relationships/hyperlink" Target="https://vanillabonds.com/dossier-data/pdf/fastned/fastned-2025-annual-report.pdf#page=93" TargetMode="External" Id="rId1309"/><Relationship Type="http://schemas.openxmlformats.org/officeDocument/2006/relationships/hyperlink" Target="https://vanillabonds.com/dossier-data/pdf/fastned/fastned-2025-annual-report.pdf#page=94" TargetMode="External" Id="rId1310"/><Relationship Type="http://schemas.openxmlformats.org/officeDocument/2006/relationships/hyperlink" Target="https://vanillabonds.com/dossier-data/pdf/fastned/fastned-2025-annual-report.pdf#page=95" TargetMode="External" Id="rId1311"/><Relationship Type="http://schemas.openxmlformats.org/officeDocument/2006/relationships/hyperlink" Target="https://vanillabonds.com/dossier-data/pdf/fastned/fastned-2025-annual-report.pdf#page=100" TargetMode="External" Id="rId1312"/><Relationship Type="http://schemas.openxmlformats.org/officeDocument/2006/relationships/hyperlink" Target="https://vanillabonds.com/dossier-data/pdf/fastned/fastned-2025-annual-report.pdf#page=100" TargetMode="External" Id="rId1313"/><Relationship Type="http://schemas.openxmlformats.org/officeDocument/2006/relationships/hyperlink" Target="https://vanillabonds.com/dossier-data/pdf/fastned/fastned-2025-annual-report.pdf#page=100" TargetMode="External" Id="rId1314"/><Relationship Type="http://schemas.openxmlformats.org/officeDocument/2006/relationships/hyperlink" Target="https://vanillabonds.com/dossier-data/pdf/fastned/fastned-2025-annual-report.pdf#page=101" TargetMode="External" Id="rId1315"/><Relationship Type="http://schemas.openxmlformats.org/officeDocument/2006/relationships/hyperlink" Target="https://vanillabonds.com/dossier-data/pdf/fastned/fastned-2025-annual-report.pdf#page=101" TargetMode="External" Id="rId1316"/><Relationship Type="http://schemas.openxmlformats.org/officeDocument/2006/relationships/hyperlink" Target="https://vanillabonds.com/dossier-data/pdf/fastned/fastned-2025-annual-report.pdf#page=101" TargetMode="External" Id="rId1317"/><Relationship Type="http://schemas.openxmlformats.org/officeDocument/2006/relationships/hyperlink" Target="https://vanillabonds.com/dossier-data/pdf/fastned/fastned-2025-annual-report.pdf#page=102" TargetMode="External" Id="rId1318"/><Relationship Type="http://schemas.openxmlformats.org/officeDocument/2006/relationships/hyperlink" Target="https://vanillabonds.com/dossier-data/pdf/fastned/fastned-2025-annual-report.pdf#page=102" TargetMode="External" Id="rId1319"/><Relationship Type="http://schemas.openxmlformats.org/officeDocument/2006/relationships/hyperlink" Target="https://vanillabonds.com/dossier-data/pdf/fastned/fastned-2025-annual-report.pdf#page=102" TargetMode="External" Id="rId1320"/><Relationship Type="http://schemas.openxmlformats.org/officeDocument/2006/relationships/hyperlink" Target="https://vanillabonds.com/dossier-data/pdf/fastned/fastned-2025-annual-report.pdf#page=102" TargetMode="External" Id="rId1321"/><Relationship Type="http://schemas.openxmlformats.org/officeDocument/2006/relationships/hyperlink" Target="https://vanillabonds.com/dossier-data/pdf/fastned/fastned-2025-annual-report.pdf#page=103" TargetMode="External" Id="rId1322"/><Relationship Type="http://schemas.openxmlformats.org/officeDocument/2006/relationships/hyperlink" Target="https://vanillabonds.com/dossier-data/pdf/fastned/fastned-2025-annual-report.pdf#page=105" TargetMode="External" Id="rId1323"/><Relationship Type="http://schemas.openxmlformats.org/officeDocument/2006/relationships/hyperlink" Target="https://vanillabonds.com/dossier-data/pdf/fastned/fastned-2025-annual-report.pdf#page=106" TargetMode="External" Id="rId1324"/><Relationship Type="http://schemas.openxmlformats.org/officeDocument/2006/relationships/hyperlink" Target="https://vanillabonds.com/dossier-data/pdf/fastned/fastned-2025-annual-report.pdf#page=106" TargetMode="External" Id="rId1325"/><Relationship Type="http://schemas.openxmlformats.org/officeDocument/2006/relationships/hyperlink" Target="https://vanillabonds.com/dossier-data/pdf/fastned/fastned-2025-annual-report.pdf#page=106" TargetMode="External" Id="rId1326"/><Relationship Type="http://schemas.openxmlformats.org/officeDocument/2006/relationships/hyperlink" Target="https://vanillabonds.com/dossier-data/pdf/fastned/fastned-2025-annual-report.pdf#page=107" TargetMode="External" Id="rId1327"/><Relationship Type="http://schemas.openxmlformats.org/officeDocument/2006/relationships/hyperlink" Target="https://vanillabonds.com/dossier-data/pdf/fastned/fastned-2025-annual-report.pdf#page=107" TargetMode="External" Id="rId1328"/><Relationship Type="http://schemas.openxmlformats.org/officeDocument/2006/relationships/hyperlink" Target="https://vanillabonds.com/dossier-data/pdf/fastned/fastned-2025-annual-report.pdf#page=108" TargetMode="External" Id="rId1329"/><Relationship Type="http://schemas.openxmlformats.org/officeDocument/2006/relationships/hyperlink" Target="https://vanillabonds.com/dossier-data/pdf/fastned/fastned-2025-annual-report.pdf#page=108" TargetMode="External" Id="rId1330"/><Relationship Type="http://schemas.openxmlformats.org/officeDocument/2006/relationships/hyperlink" Target="https://vanillabonds.com/dossier-data/pdf/fastned/fastned-2025-annual-report.pdf#page=148" TargetMode="External" Id="rId1331"/><Relationship Type="http://schemas.openxmlformats.org/officeDocument/2006/relationships/hyperlink" Target="https://vanillabonds.com/dossier-data/pdf/fastned/fastned-2025-annual-report.pdf#page=148" TargetMode="External" Id="rId1332"/><Relationship Type="http://schemas.openxmlformats.org/officeDocument/2006/relationships/hyperlink" Target="https://vanillabonds.com/dossier-data/pdf/fastned/fastned-2025-annual-report.pdf#page=149" TargetMode="External" Id="rId1333"/><Relationship Type="http://schemas.openxmlformats.org/officeDocument/2006/relationships/hyperlink" Target="https://vanillabonds.com/dossier-data/pdf/fastned/fastned-2025-annual-report.pdf#page=184" TargetMode="External" Id="rId1334"/><Relationship Type="http://schemas.openxmlformats.org/officeDocument/2006/relationships/hyperlink" Target="https://vanillabonds.com/dossier-data/pdf/fastned/fastned-2025-annual-report.pdf#page=188" TargetMode="External" Id="rId1335"/><Relationship Type="http://schemas.openxmlformats.org/officeDocument/2006/relationships/hyperlink" Target="https://vanillabonds.com/dossier-data/pdf/fastned/fastned-2025-annual-report.pdf#page=188" TargetMode="External" Id="rId1336"/><Relationship Type="http://schemas.openxmlformats.org/officeDocument/2006/relationships/hyperlink" Target="https://vanillabonds.com/dossier-data/pdf/fastned/fastned-2025-annual-report.pdf#page=189" TargetMode="External" Id="rId1337"/><Relationship Type="http://schemas.openxmlformats.org/officeDocument/2006/relationships/hyperlink" Target="https://vanillabonds.com/dossier-data/pdf/fastned/fastned-2025-annual-report.pdf#page=189" TargetMode="External" Id="rId1338"/><Relationship Type="http://schemas.openxmlformats.org/officeDocument/2006/relationships/hyperlink" Target="https://vanillabonds.com/dossier-data/pdf/fastned/fastned-2025-annual-report.pdf#page=191" TargetMode="External" Id="rId1339"/><Relationship Type="http://schemas.openxmlformats.org/officeDocument/2006/relationships/hyperlink" Target="https://vanillabonds.com/dossier-data/pdf/fastned/fastned-2025-annual-report.pdf#page=194" TargetMode="External" Id="rId1340"/><Relationship Type="http://schemas.openxmlformats.org/officeDocument/2006/relationships/hyperlink" Target="https://vanillabonds.com/dossier-data/pdf/fastned/fastned-2025-annual-report.pdf#page=195" TargetMode="External" Id="rId1341"/><Relationship Type="http://schemas.openxmlformats.org/officeDocument/2006/relationships/hyperlink" Target="https://vanillabonds.com/dossier-data/pdf/fastned/fastned-2025-annual-report.pdf#page=208" TargetMode="External" Id="rId1342"/><Relationship Type="http://schemas.openxmlformats.org/officeDocument/2006/relationships/hyperlink" Target="https://vanillabonds.com/dossier-data/pdf/fastned/fastned-2025-annual-report.pdf#page=209" TargetMode="External" Id="rId1343"/><Relationship Type="http://schemas.openxmlformats.org/officeDocument/2006/relationships/hyperlink" Target="https://vanillabonds.com/dossier-data/pdf/fastned/fastned-2025-annual-report.pdf#page=210" TargetMode="External" Id="rId1344"/><Relationship Type="http://schemas.openxmlformats.org/officeDocument/2006/relationships/hyperlink" Target="https://vanillabonds.com/dossier-data/pdf/fastned/fastned-2025-annual-report.pdf#page=211" TargetMode="External" Id="rId1345"/><Relationship Type="http://schemas.openxmlformats.org/officeDocument/2006/relationships/hyperlink" Target="https://vanillabonds.com/dossier-data/pdf/fastned/fastned-2025-annual-report.pdf#page=214" TargetMode="External" Id="rId1346"/><Relationship Type="http://schemas.openxmlformats.org/officeDocument/2006/relationships/hyperlink" Target="https://vanillabonds.com/dossier-data/pdf/fastned/fastned-2025-annual-report.pdf#page=214" TargetMode="External" Id="rId1347"/><Relationship Type="http://schemas.openxmlformats.org/officeDocument/2006/relationships/hyperlink" Target="https://vanillabonds.com/dossier-data/pdf/fastned/fastned-2025-annual-report.pdf#page=218" TargetMode="External" Id="rId1348"/><Relationship Type="http://schemas.openxmlformats.org/officeDocument/2006/relationships/hyperlink" Target="https://vanillabonds.com/dossier-data/pdf/fastned/fastned-2025-annual-report.pdf#page=219" TargetMode="External" Id="rId1349"/><Relationship Type="http://schemas.openxmlformats.org/officeDocument/2006/relationships/hyperlink" Target="https://vanillabonds.com/dossier-data/pdf/fastned/fastned-2025-annual-report.pdf#page=220" TargetMode="External" Id="rId1350"/><Relationship Type="http://schemas.openxmlformats.org/officeDocument/2006/relationships/hyperlink" Target="https://vanillabonds.com/dossier-data/pdf/fastned/fastned-2025-annual-report.pdf#page=226" TargetMode="External" Id="rId1351"/><Relationship Type="http://schemas.openxmlformats.org/officeDocument/2006/relationships/hyperlink" Target="https://vanillabonds.com/dossier-data/pdf/fastned/fastned-2025-annual-report.pdf#page=228" TargetMode="External" Id="rId1352"/><Relationship Type="http://schemas.openxmlformats.org/officeDocument/2006/relationships/hyperlink" Target="https://vanillabonds.com/dossier-data/pdf/fastned/fastned-2025-annual-report.pdf#page=234" TargetMode="External" Id="rId1353"/><Relationship Type="http://schemas.openxmlformats.org/officeDocument/2006/relationships/hyperlink" Target="https://vanillabonds.com/dossier-data/pdf/fastned/fastned-2025-annual-report.pdf#page=236" TargetMode="External" Id="rId1354"/><Relationship Type="http://schemas.openxmlformats.org/officeDocument/2006/relationships/hyperlink" Target="https://vanillabonds.com/dossier-data/pdf/fastned/fastned-2025-annual-report.pdf#page=2" TargetMode="External" Id="rId1355"/><Relationship Type="http://schemas.openxmlformats.org/officeDocument/2006/relationships/hyperlink" Target="https://vanillabonds.com/dossier-data/pdf/fastned/fastned-2025-annual-report.pdf#page=17" TargetMode="External" Id="rId1356"/><Relationship Type="http://schemas.openxmlformats.org/officeDocument/2006/relationships/hyperlink" Target="https://vanillabonds.com/dossier-data/pdf/fastned/fastned-2025-annual-report.pdf#page=45" TargetMode="External" Id="rId1357"/><Relationship Type="http://schemas.openxmlformats.org/officeDocument/2006/relationships/hyperlink" Target="https://vanillabonds.com/dossier-data/pdf/fastned/fastned-2025-annual-report.pdf#page=50" TargetMode="External" Id="rId1358"/><Relationship Type="http://schemas.openxmlformats.org/officeDocument/2006/relationships/hyperlink" Target="https://vanillabonds.com/dossier-data/pdf/fastned/fastned-2025-annual-report.pdf#page=76" TargetMode="External" Id="rId1359"/><Relationship Type="http://schemas.openxmlformats.org/officeDocument/2006/relationships/hyperlink" Target="https://vanillabonds.com/dossier-data/pdf/fastned/fastned-2025-annual-report.pdf#page=76" TargetMode="External" Id="rId1360"/><Relationship Type="http://schemas.openxmlformats.org/officeDocument/2006/relationships/hyperlink" Target="https://vanillabonds.com/dossier-data/pdf/fastned/fastned-2025-annual-report.pdf#page=76" TargetMode="External" Id="rId1361"/><Relationship Type="http://schemas.openxmlformats.org/officeDocument/2006/relationships/hyperlink" Target="https://vanillabonds.com/dossier-data/pdf/fastned/fastned-2025-annual-report.pdf#page=78" TargetMode="External" Id="rId1362"/><Relationship Type="http://schemas.openxmlformats.org/officeDocument/2006/relationships/hyperlink" Target="https://vanillabonds.com/dossier-data/pdf/fastned/fastned-2025-annual-report.pdf#page=78" TargetMode="External" Id="rId1363"/><Relationship Type="http://schemas.openxmlformats.org/officeDocument/2006/relationships/hyperlink" Target="https://vanillabonds.com/dossier-data/pdf/fastned/fastned-2025-annual-report.pdf#page=79" TargetMode="External" Id="rId1364"/><Relationship Type="http://schemas.openxmlformats.org/officeDocument/2006/relationships/hyperlink" Target="https://vanillabonds.com/dossier-data/pdf/fastned/fastned-2025-annual-report.pdf#page=79" TargetMode="External" Id="rId1365"/><Relationship Type="http://schemas.openxmlformats.org/officeDocument/2006/relationships/hyperlink" Target="https://vanillabonds.com/dossier-data/pdf/fastned/fastned-2025-annual-report.pdf#page=82" TargetMode="External" Id="rId1366"/><Relationship Type="http://schemas.openxmlformats.org/officeDocument/2006/relationships/hyperlink" Target="https://vanillabonds.com/dossier-data/pdf/fastned/fastned-2025-annual-report.pdf#page=87" TargetMode="External" Id="rId1367"/><Relationship Type="http://schemas.openxmlformats.org/officeDocument/2006/relationships/hyperlink" Target="https://vanillabonds.com/dossier-data/pdf/fastned/fastned-2025-annual-report.pdf#page=102" TargetMode="External" Id="rId1368"/><Relationship Type="http://schemas.openxmlformats.org/officeDocument/2006/relationships/hyperlink" Target="https://vanillabonds.com/dossier-data/pdf/fastned/fastned-2025-annual-report.pdf#page=103" TargetMode="External" Id="rId1369"/><Relationship Type="http://schemas.openxmlformats.org/officeDocument/2006/relationships/hyperlink" Target="https://vanillabonds.com/dossier-data/pdf/fastned/fastned-2025-annual-report.pdf#page=111" TargetMode="External" Id="rId1370"/><Relationship Type="http://schemas.openxmlformats.org/officeDocument/2006/relationships/hyperlink" Target="https://vanillabonds.com/dossier-data/pdf/fastned/fastned-2025-annual-report.pdf#page=112" TargetMode="External" Id="rId1371"/><Relationship Type="http://schemas.openxmlformats.org/officeDocument/2006/relationships/hyperlink" Target="https://vanillabonds.com/dossier-data/pdf/fastned/fastned-2025-annual-report.pdf#page=112" TargetMode="External" Id="rId1372"/><Relationship Type="http://schemas.openxmlformats.org/officeDocument/2006/relationships/hyperlink" Target="https://vanillabonds.com/dossier-data/pdf/fastned/fastned-2025-annual-report.pdf#page=113" TargetMode="External" Id="rId1373"/><Relationship Type="http://schemas.openxmlformats.org/officeDocument/2006/relationships/hyperlink" Target="https://vanillabonds.com/dossier-data/pdf/fastned/fastned-2025-annual-report.pdf#page=113" TargetMode="External" Id="rId1374"/><Relationship Type="http://schemas.openxmlformats.org/officeDocument/2006/relationships/hyperlink" Target="https://vanillabonds.com/dossier-data/pdf/fastned/fastned-2025-annual-report.pdf#page=122" TargetMode="External" Id="rId1375"/><Relationship Type="http://schemas.openxmlformats.org/officeDocument/2006/relationships/hyperlink" Target="https://vanillabonds.com/dossier-data/pdf/fastned/fastned-2025-annual-report.pdf#page=143" TargetMode="External" Id="rId1376"/><Relationship Type="http://schemas.openxmlformats.org/officeDocument/2006/relationships/hyperlink" Target="https://vanillabonds.com/dossier-data/pdf/fastned/fastned-2025-annual-report.pdf#page=146" TargetMode="External" Id="rId1377"/><Relationship Type="http://schemas.openxmlformats.org/officeDocument/2006/relationships/hyperlink" Target="https://vanillabonds.com/dossier-data/pdf/fastned/fastned-2025-annual-report.pdf#page=151" TargetMode="External" Id="rId1378"/><Relationship Type="http://schemas.openxmlformats.org/officeDocument/2006/relationships/hyperlink" Target="https://vanillabonds.com/dossier-data/pdf/fastned/fastned-2025-annual-report.pdf#page=218" TargetMode="External" Id="rId1379"/><Relationship Type="http://schemas.openxmlformats.org/officeDocument/2006/relationships/hyperlink" Target="https://vanillabonds.com/dossier-data/pdf/fastned/fastned-2025-annual-report.pdf#page=220" TargetMode="External" Id="rId1380"/><Relationship Type="http://schemas.openxmlformats.org/officeDocument/2006/relationships/hyperlink" Target="https://vanillabonds.com/dossier-data/pdf/fastned/fastned-2025-annual-report.pdf#page=222" TargetMode="External" Id="rId1381"/><Relationship Type="http://schemas.openxmlformats.org/officeDocument/2006/relationships/hyperlink" Target="https://vanillabonds.com/dossier-data/pdf/fastned/fastned-2025-annual-report.pdf#page=225" TargetMode="External" Id="rId1382"/><Relationship Type="http://schemas.openxmlformats.org/officeDocument/2006/relationships/hyperlink" Target="https://vanillabonds.com/dossier-data/pdf/fastned/fastned-2025-annual-report.pdf#page=227" TargetMode="External" Id="rId1383"/><Relationship Type="http://schemas.openxmlformats.org/officeDocument/2006/relationships/hyperlink" Target="https://vanillabonds.com/dossier-data/pdf/fastned/fastned-2025-annual-report.pdf#page=235" TargetMode="External" Id="rId1384"/><Relationship Type="http://schemas.openxmlformats.org/officeDocument/2006/relationships/hyperlink" Target="https://vanillabonds.com/dossier-data/pdf/fastned/fastned-2025-annual-report.pdf#page=236" TargetMode="External" Id="rId1385"/><Relationship Type="http://schemas.openxmlformats.org/officeDocument/2006/relationships/hyperlink" Target="https://vanillabonds.com/dossier-data/pdf/fastned/fastned-2025-annual-report.pdf#page=7" TargetMode="External" Id="rId1386"/><Relationship Type="http://schemas.openxmlformats.org/officeDocument/2006/relationships/hyperlink" Target="https://vanillabonds.com/dossier-data/pdf/fastned/fastned-2025-annual-report.pdf#page=13" TargetMode="External" Id="rId1387"/><Relationship Type="http://schemas.openxmlformats.org/officeDocument/2006/relationships/hyperlink" Target="https://vanillabonds.com/dossier-data/pdf/fastned/fastned-2025-annual-report.pdf#page=13" TargetMode="External" Id="rId1388"/><Relationship Type="http://schemas.openxmlformats.org/officeDocument/2006/relationships/hyperlink" Target="https://vanillabonds.com/dossier-data/pdf/fastned/fastned-2025-annual-report.pdf#page=16" TargetMode="External" Id="rId1389"/><Relationship Type="http://schemas.openxmlformats.org/officeDocument/2006/relationships/hyperlink" Target="https://vanillabonds.com/dossier-data/pdf/fastned/fastned-2025-annual-report.pdf#page=20" TargetMode="External" Id="rId1390"/><Relationship Type="http://schemas.openxmlformats.org/officeDocument/2006/relationships/hyperlink" Target="https://vanillabonds.com/dossier-data/pdf/fastned/fastned-2025-annual-report.pdf#page=34" TargetMode="External" Id="rId1391"/><Relationship Type="http://schemas.openxmlformats.org/officeDocument/2006/relationships/hyperlink" Target="https://vanillabonds.com/dossier-data/pdf/fastned/fastned-2025-annual-report.pdf#page=34" TargetMode="External" Id="rId1392"/><Relationship Type="http://schemas.openxmlformats.org/officeDocument/2006/relationships/hyperlink" Target="https://vanillabonds.com/dossier-data/pdf/fastned/fastned-2025-annual-report.pdf#page=34" TargetMode="External" Id="rId1393"/><Relationship Type="http://schemas.openxmlformats.org/officeDocument/2006/relationships/hyperlink" Target="https://vanillabonds.com/dossier-data/pdf/fastned/fastned-2025-annual-report.pdf#page=35" TargetMode="External" Id="rId1394"/><Relationship Type="http://schemas.openxmlformats.org/officeDocument/2006/relationships/hyperlink" Target="https://vanillabonds.com/dossier-data/pdf/fastned/fastned-2025-annual-report.pdf#page=35" TargetMode="External" Id="rId1395"/><Relationship Type="http://schemas.openxmlformats.org/officeDocument/2006/relationships/hyperlink" Target="https://vanillabonds.com/dossier-data/pdf/fastned/fastned-2025-annual-report.pdf#page=35" TargetMode="External" Id="rId1396"/><Relationship Type="http://schemas.openxmlformats.org/officeDocument/2006/relationships/hyperlink" Target="https://vanillabonds.com/dossier-data/pdf/fastned/fastned-2025-annual-report.pdf#page=46" TargetMode="External" Id="rId1397"/><Relationship Type="http://schemas.openxmlformats.org/officeDocument/2006/relationships/hyperlink" Target="https://vanillabonds.com/dossier-data/pdf/fastned/fastned-2025-annual-report.pdf#page=151" TargetMode="External" Id="rId1398"/><Relationship Type="http://schemas.openxmlformats.org/officeDocument/2006/relationships/hyperlink" Target="https://vanillabonds.com/dossier-data/pdf/fastned/fastned-2025-annual-report.pdf#page=166" TargetMode="External" Id="rId1399"/><Relationship Type="http://schemas.openxmlformats.org/officeDocument/2006/relationships/hyperlink" Target="https://vanillabonds.com/dossier-data/pdf/fastned/fastned-2025-annual-report.pdf#page=19" TargetMode="External" Id="rId1400"/><Relationship Type="http://schemas.openxmlformats.org/officeDocument/2006/relationships/hyperlink" Target="https://vanillabonds.com/dossier-data/pdf/fastned/fastned-2025-annual-report.pdf#page=23" TargetMode="External" Id="rId1401"/><Relationship Type="http://schemas.openxmlformats.org/officeDocument/2006/relationships/hyperlink" Target="https://vanillabonds.com/dossier-data/pdf/fastned/fastned-2025-annual-report.pdf#page=24" TargetMode="External" Id="rId1402"/><Relationship Type="http://schemas.openxmlformats.org/officeDocument/2006/relationships/hyperlink" Target="https://vanillabonds.com/dossier-data/pdf/fastned/fastned-2025-annual-report.pdf#page=25" TargetMode="External" Id="rId1403"/><Relationship Type="http://schemas.openxmlformats.org/officeDocument/2006/relationships/hyperlink" Target="https://vanillabonds.com/dossier-data/pdf/fastned/fastned-2025-annual-report.pdf#page=26" TargetMode="External" Id="rId1404"/><Relationship Type="http://schemas.openxmlformats.org/officeDocument/2006/relationships/hyperlink" Target="https://vanillabonds.com/dossier-data/pdf/fastned/fastned-2025-annual-report.pdf#page=27" TargetMode="External" Id="rId1405"/><Relationship Type="http://schemas.openxmlformats.org/officeDocument/2006/relationships/hyperlink" Target="https://vanillabonds.com/dossier-data/pdf/fastned/fastned-2025-annual-report.pdf#page=28" TargetMode="External" Id="rId1406"/><Relationship Type="http://schemas.openxmlformats.org/officeDocument/2006/relationships/hyperlink" Target="https://vanillabonds.com/dossier-data/pdf/fastned/fastned-2025-annual-report.pdf#page=29" TargetMode="External" Id="rId1407"/><Relationship Type="http://schemas.openxmlformats.org/officeDocument/2006/relationships/hyperlink" Target="https://vanillabonds.com/dossier-data/pdf/fastned/fastned-2025-annual-report.pdf#page=30" TargetMode="External" Id="rId1408"/><Relationship Type="http://schemas.openxmlformats.org/officeDocument/2006/relationships/hyperlink" Target="https://vanillabonds.com/dossier-data/pdf/fastned/fastned-2025-annual-report.pdf#page=31" TargetMode="External" Id="rId1409"/><Relationship Type="http://schemas.openxmlformats.org/officeDocument/2006/relationships/hyperlink" Target="https://vanillabonds.com/dossier-data/pdf/fastned/fastned-2025-annual-report.pdf#page=83" TargetMode="External" Id="rId1410"/><Relationship Type="http://schemas.openxmlformats.org/officeDocument/2006/relationships/hyperlink" Target="https://vanillabonds.com/dossier-data/pdf/fastned/fastned-2025-annual-report.pdf#page=154" TargetMode="External" Id="rId1411"/><Relationship Type="http://schemas.openxmlformats.org/officeDocument/2006/relationships/hyperlink" Target="https://vanillabonds.com/dossier-data/pdf/fastned/fastned-2025-annual-report.pdf#page=154" TargetMode="External" Id="rId1412"/><Relationship Type="http://schemas.openxmlformats.org/officeDocument/2006/relationships/hyperlink" Target="https://vanillabonds.com/dossier-data/pdf/fastned/fastned-2025-annual-report.pdf#page=178" TargetMode="External" Id="rId1413"/><Relationship Type="http://schemas.openxmlformats.org/officeDocument/2006/relationships/hyperlink" Target="https://vanillabonds.com/dossier-data/pdf/fastned/fastned-2025-annual-report.pdf#page=237" TargetMode="External" Id="rId1414"/><Relationship Type="http://schemas.openxmlformats.org/officeDocument/2006/relationships/hyperlink" Target="https://vanillabonds.com/dossier-data/pdf/fastned/fastned-2025-annual-report.pdf#page=9" TargetMode="External" Id="rId1415"/><Relationship Type="http://schemas.openxmlformats.org/officeDocument/2006/relationships/hyperlink" Target="https://vanillabonds.com/dossier-data/pdf/fastned/fastned-2025-annual-report.pdf#page=16" TargetMode="External" Id="rId1416"/><Relationship Type="http://schemas.openxmlformats.org/officeDocument/2006/relationships/hyperlink" Target="https://vanillabonds.com/dossier-data/pdf/fastned/fastned-2025-annual-report.pdf#page=32" TargetMode="External" Id="rId1417"/><Relationship Type="http://schemas.openxmlformats.org/officeDocument/2006/relationships/hyperlink" Target="https://vanillabonds.com/dossier-data/pdf/fastned/fastned-2025-annual-report.pdf#page=57" TargetMode="External" Id="rId1418"/><Relationship Type="http://schemas.openxmlformats.org/officeDocument/2006/relationships/hyperlink" Target="https://vanillabonds.com/dossier-data/pdf/fastned/fastned-2025-annual-report.pdf#page=65" TargetMode="External" Id="rId1419"/><Relationship Type="http://schemas.openxmlformats.org/officeDocument/2006/relationships/hyperlink" Target="https://vanillabonds.com/dossier-data/pdf/fastned/fastned-2025-annual-report.pdf#page=76" TargetMode="External" Id="rId1420"/><Relationship Type="http://schemas.openxmlformats.org/officeDocument/2006/relationships/hyperlink" Target="https://vanillabonds.com/dossier-data/pdf/fastned/fastned-2025-annual-report.pdf#page=79" TargetMode="External" Id="rId1421"/><Relationship Type="http://schemas.openxmlformats.org/officeDocument/2006/relationships/hyperlink" Target="https://vanillabonds.com/dossier-data/pdf/fastned/fastned-2025-annual-report.pdf#page=84" TargetMode="External" Id="rId1422"/><Relationship Type="http://schemas.openxmlformats.org/officeDocument/2006/relationships/hyperlink" Target="https://vanillabonds.com/dossier-data/pdf/fastned/fastned-2025-annual-report.pdf#page=100" TargetMode="External" Id="rId1423"/><Relationship Type="http://schemas.openxmlformats.org/officeDocument/2006/relationships/hyperlink" Target="https://vanillabonds.com/dossier-data/pdf/fastned/fastned-2025-annual-report.pdf#page=148" TargetMode="External" Id="rId1424"/><Relationship Type="http://schemas.openxmlformats.org/officeDocument/2006/relationships/hyperlink" Target="https://vanillabonds.com/dossier-data/pdf/fastned/fastned-2025-annual-report.pdf#page=178" TargetMode="External" Id="rId1425"/><Relationship Type="http://schemas.openxmlformats.org/officeDocument/2006/relationships/hyperlink" Target="https://vanillabonds.com/dossier-data/pdf/fastned/fastned-2025-annual-report.pdf#page=190" TargetMode="External" Id="rId1426"/><Relationship Type="http://schemas.openxmlformats.org/officeDocument/2006/relationships/hyperlink" Target="https://vanillabonds.com/dossier-data/pdf/fastned/fastned-2025-annual-report.pdf#page=195" TargetMode="External" Id="rId1427"/><Relationship Type="http://schemas.openxmlformats.org/officeDocument/2006/relationships/hyperlink" Target="https://vanillabonds.com/dossier-data/pdf/fastned/fastned-2025-annual-report.pdf#page=90" TargetMode="External" Id="rId1428"/><Relationship Type="http://schemas.openxmlformats.org/officeDocument/2006/relationships/hyperlink" Target="https://vanillabonds.com/dossier-data/pdf/fastned/fastned-2025-annual-report.pdf#page=99" TargetMode="External" Id="rId1429"/><Relationship Type="http://schemas.openxmlformats.org/officeDocument/2006/relationships/hyperlink" Target="https://vanillabonds.com/dossier-data/pdf/fastned/fastned-2025-annual-report.pdf#page=99" TargetMode="External" Id="rId1430"/><Relationship Type="http://schemas.openxmlformats.org/officeDocument/2006/relationships/hyperlink" Target="https://vanillabonds.com/dossier-data/pdf/fastned/fastned-2025-annual-report.pdf#page=195" TargetMode="External" Id="rId1431"/><Relationship Type="http://schemas.openxmlformats.org/officeDocument/2006/relationships/hyperlink" Target="https://vanillabonds.com/dossier-data/pdf/fastned/fastned-2025-annual-report.pdf#page=195" TargetMode="External" Id="rId1432"/><Relationship Type="http://schemas.openxmlformats.org/officeDocument/2006/relationships/hyperlink" Target="https://vanillabonds.com/dossier-data/pdf/fastned/fastned-2025-annual-report.pdf#page=156" TargetMode="External" Id="rId1433"/><Relationship Type="http://schemas.openxmlformats.org/officeDocument/2006/relationships/hyperlink" Target="https://vanillabonds.com/dossier-data/pdf/fastned/fastned-2025-annual-report.pdf#page=181" TargetMode="External" Id="rId1434"/><Relationship Type="http://schemas.openxmlformats.org/officeDocument/2006/relationships/hyperlink" Target="https://vanillabonds.com/dossier-data/pdf/fastned/fastned-2025-annual-report.pdf#page=172" TargetMode="External" Id="rId1435"/><Relationship Type="http://schemas.openxmlformats.org/officeDocument/2006/relationships/hyperlink" Target="https://vanillabonds.com/dossier-data/pdf/fastned/fastned-2025-annual-report.pdf#page=81" TargetMode="External" Id="rId1436"/><Relationship Type="http://schemas.openxmlformats.org/officeDocument/2006/relationships/hyperlink" Target="https://vanillabonds.com/dossier-data/pdf/fastned/fastned-2025-annual-report.pdf#page=122" TargetMode="External" Id="rId1437"/><Relationship Type="http://schemas.openxmlformats.org/officeDocument/2006/relationships/hyperlink" Target="https://vanillabonds.com/dossier-data/pdf/fastned/fastned-2025-annual-report.pdf#page=173" TargetMode="External" Id="rId1438"/><Relationship Type="http://schemas.openxmlformats.org/officeDocument/2006/relationships/hyperlink" Target="https://vanillabonds.com/dossier-data/pdf/fastned/fastned-2025-annual-report.pdf#page=183" TargetMode="External" Id="rId1439"/><Relationship Type="http://schemas.openxmlformats.org/officeDocument/2006/relationships/hyperlink" Target="https://vanillabonds.com/dossier-data/pdf/fastned/fastned-2025-annual-report.pdf#page=195" TargetMode="External" Id="rId1440"/><Relationship Type="http://schemas.openxmlformats.org/officeDocument/2006/relationships/hyperlink" Target="https://vanillabonds.com/dossier-data/pdf/fastned/fastned-2025-annual-report.pdf#page=212" TargetMode="External" Id="rId1441"/><Relationship Type="http://schemas.openxmlformats.org/officeDocument/2006/relationships/hyperlink" Target="https://vanillabonds.com/dossier-data/pdf/fastned/fastned-2025-annual-report.pdf#page=73" TargetMode="External" Id="rId1442"/><Relationship Type="http://schemas.openxmlformats.org/officeDocument/2006/relationships/hyperlink" Target="https://vanillabonds.com/dossier-data/pdf/fastned/fastned-2025-annual-report.pdf#page=147" TargetMode="External" Id="rId1443"/><Relationship Type="http://schemas.openxmlformats.org/officeDocument/2006/relationships/hyperlink" Target="https://vanillabonds.com/dossier-data/pdf/fastned/fastned-2025-annual-report.pdf#page=147" TargetMode="External" Id="rId1444"/><Relationship Type="http://schemas.openxmlformats.org/officeDocument/2006/relationships/hyperlink" Target="https://vanillabonds.com/dossier-data/pdf/fastned/fastned-2025-annual-report.pdf#page=147" TargetMode="External" Id="rId1445"/><Relationship Type="http://schemas.openxmlformats.org/officeDocument/2006/relationships/hyperlink" Target="https://vanillabonds.com/dossier-data/pdf/fastned/fastned-2025-annual-report.pdf#page=147" TargetMode="External" Id="rId1446"/><Relationship Type="http://schemas.openxmlformats.org/officeDocument/2006/relationships/hyperlink" Target="https://vanillabonds.com/dossier-data/pdf/fastned/fastned-2025-annual-report.pdf#page=147" TargetMode="External" Id="rId1447"/><Relationship Type="http://schemas.openxmlformats.org/officeDocument/2006/relationships/hyperlink" Target="https://vanillabonds.com/dossier-data/pdf/fastned/fastned-2025-annual-report.pdf#page=147" TargetMode="External" Id="rId1448"/><Relationship Type="http://schemas.openxmlformats.org/officeDocument/2006/relationships/hyperlink" Target="https://vanillabonds.com/dossier-data/pdf/fastned/fastned-2025-annual-report.pdf#page=147" TargetMode="External" Id="rId1449"/><Relationship Type="http://schemas.openxmlformats.org/officeDocument/2006/relationships/hyperlink" Target="https://vanillabonds.com/dossier-data/pdf/fastned/fastned-2025-annual-report.pdf#page=147" TargetMode="External" Id="rId1450"/><Relationship Type="http://schemas.openxmlformats.org/officeDocument/2006/relationships/hyperlink" Target="https://vanillabonds.com/dossier-data/pdf/fastned/fastned-2025-annual-report.pdf#page=147" TargetMode="External" Id="rId1451"/><Relationship Type="http://schemas.openxmlformats.org/officeDocument/2006/relationships/hyperlink" Target="https://vanillabonds.com/dossier-data/pdf/fastned/fastned-2025-annual-report.pdf#page=147" TargetMode="External" Id="rId1452"/><Relationship Type="http://schemas.openxmlformats.org/officeDocument/2006/relationships/hyperlink" Target="https://vanillabonds.com/dossier-data/pdf/fastned/fastned-2025-annual-report.pdf#page=147" TargetMode="External" Id="rId1453"/><Relationship Type="http://schemas.openxmlformats.org/officeDocument/2006/relationships/hyperlink" Target="https://vanillabonds.com/dossier-data/pdf/fastned/fastned-2025-annual-report.pdf#page=147" TargetMode="External" Id="rId1454"/><Relationship Type="http://schemas.openxmlformats.org/officeDocument/2006/relationships/hyperlink" Target="https://vanillabonds.com/dossier-data/pdf/fastned/fastned-2025-annual-report.pdf#page=147" TargetMode="External" Id="rId1455"/><Relationship Type="http://schemas.openxmlformats.org/officeDocument/2006/relationships/hyperlink" Target="https://vanillabonds.com/dossier-data/pdf/fastned/fastned-2025-annual-report.pdf#page=147" TargetMode="External" Id="rId1456"/><Relationship Type="http://schemas.openxmlformats.org/officeDocument/2006/relationships/hyperlink" Target="https://vanillabonds.com/dossier-data/pdf/fastned/fastned-2025-annual-report.pdf#page=147" TargetMode="External" Id="rId1457"/><Relationship Type="http://schemas.openxmlformats.org/officeDocument/2006/relationships/hyperlink" Target="https://vanillabonds.com/dossier-data/pdf/fastned/fastned-2025-annual-report.pdf#page=147" TargetMode="External" Id="rId1458"/><Relationship Type="http://schemas.openxmlformats.org/officeDocument/2006/relationships/hyperlink" Target="https://vanillabonds.com/dossier-data/pdf/fastned/fastned-2025-annual-report.pdf#page=170" TargetMode="External" Id="rId1459"/><Relationship Type="http://schemas.openxmlformats.org/officeDocument/2006/relationships/hyperlink" Target="https://vanillabonds.com/dossier-data/pdf/fastned/fastned-2025-annual-report.pdf#page=198" TargetMode="External" Id="rId1460"/><Relationship Type="http://schemas.openxmlformats.org/officeDocument/2006/relationships/hyperlink" Target="https://vanillabonds.com/dossier-data/pdf/fastned/fastned-2025-annual-report.pdf#page=208" TargetMode="External" Id="rId1461"/><Relationship Type="http://schemas.openxmlformats.org/officeDocument/2006/relationships/hyperlink" Target="https://vanillabonds.com/dossier-data/pdf/fastned/fastned-2025-annual-report.pdf#page=208" TargetMode="External" Id="rId1462"/><Relationship Type="http://schemas.openxmlformats.org/officeDocument/2006/relationships/hyperlink" Target="https://vanillabonds.com/dossier-data/pdf/fastned/fastned-2025-annual-report.pdf#page=208" TargetMode="External" Id="rId1463"/><Relationship Type="http://schemas.openxmlformats.org/officeDocument/2006/relationships/hyperlink" Target="https://vanillabonds.com/dossier-data/pdf/fastned/fastned-2025-annual-report.pdf#page=208" TargetMode="External" Id="rId1464"/><Relationship Type="http://schemas.openxmlformats.org/officeDocument/2006/relationships/hyperlink" Target="https://vanillabonds.com/dossier-data/pdf/fastned/fastned-2025-annual-report.pdf#page=208" TargetMode="External" Id="rId1465"/><Relationship Type="http://schemas.openxmlformats.org/officeDocument/2006/relationships/hyperlink" Target="https://vanillabonds.com/dossier-data/pdf/fastned/fastned-2025-annual-report.pdf#page=208" TargetMode="External" Id="rId1466"/><Relationship Type="http://schemas.openxmlformats.org/officeDocument/2006/relationships/hyperlink" Target="https://vanillabonds.com/dossier-data/pdf/fastned/fastned-2025-annual-report.pdf#page=208" TargetMode="External" Id="rId1467"/><Relationship Type="http://schemas.openxmlformats.org/officeDocument/2006/relationships/hyperlink" Target="https://vanillabonds.com/dossier-data/pdf/fastned/fastned-2025-annual-report.pdf#page=208" TargetMode="External" Id="rId1468"/><Relationship Type="http://schemas.openxmlformats.org/officeDocument/2006/relationships/hyperlink" Target="https://vanillabonds.com/dossier-data/pdf/fastned/fastned-2025-annual-report.pdf#page=208" TargetMode="External" Id="rId1469"/><Relationship Type="http://schemas.openxmlformats.org/officeDocument/2006/relationships/hyperlink" Target="https://vanillabonds.com/dossier-data/pdf/fastned/fastned-2025-annual-report.pdf#page=208" TargetMode="External" Id="rId1470"/><Relationship Type="http://schemas.openxmlformats.org/officeDocument/2006/relationships/hyperlink" Target="https://vanillabonds.com/dossier-data/pdf/fastned/fastned-2025-annual-report.pdf#page=208" TargetMode="External" Id="rId1471"/><Relationship Type="http://schemas.openxmlformats.org/officeDocument/2006/relationships/hyperlink" Target="https://vanillabonds.com/dossier-data/pdf/fastned/fastned-2025-annual-report.pdf#page=208" TargetMode="External" Id="rId1472"/><Relationship Type="http://schemas.openxmlformats.org/officeDocument/2006/relationships/hyperlink" Target="https://vanillabonds.com/dossier-data/pdf/fastned/fastned-2025-annual-report.pdf#page=208" TargetMode="External" Id="rId1473"/><Relationship Type="http://schemas.openxmlformats.org/officeDocument/2006/relationships/hyperlink" Target="https://vanillabonds.com/dossier-data/pdf/fastned/fastned-2025-annual-report.pdf#page=208" TargetMode="External" Id="rId1474"/><Relationship Type="http://schemas.openxmlformats.org/officeDocument/2006/relationships/hyperlink" Target="https://vanillabonds.com/dossier-data/pdf/fastned/fastned-2025-annual-report.pdf#page=208" TargetMode="External" Id="rId1475"/><Relationship Type="http://schemas.openxmlformats.org/officeDocument/2006/relationships/hyperlink" Target="https://vanillabonds.com/dossier-data/pdf/fastned/fastned-2025-annual-report.pdf#page=208" TargetMode="External" Id="rId1476"/><Relationship Type="http://schemas.openxmlformats.org/officeDocument/2006/relationships/hyperlink" Target="https://vanillabonds.com/dossier-data/pdf/fastned/fastned-2025-annual-report.pdf#page=208" TargetMode="External" Id="rId1477"/><Relationship Type="http://schemas.openxmlformats.org/officeDocument/2006/relationships/hyperlink" Target="https://vanillabonds.com/dossier-data/pdf/fastned/fastned-2025-annual-report.pdf#page=208" TargetMode="External" Id="rId1478"/><Relationship Type="http://schemas.openxmlformats.org/officeDocument/2006/relationships/hyperlink" Target="https://vanillabonds.com/dossier-data/pdf/fastned/fastned-2025-annual-report.pdf#page=7" TargetMode="External" Id="rId1479"/><Relationship Type="http://schemas.openxmlformats.org/officeDocument/2006/relationships/hyperlink" Target="https://vanillabonds.com/dossier-data/pdf/fastned/fastned-2025-annual-report.pdf#page=91" TargetMode="External" Id="rId1480"/><Relationship Type="http://schemas.openxmlformats.org/officeDocument/2006/relationships/hyperlink" Target="https://vanillabonds.com/dossier-data/pdf/fastned/fastned-2025-annual-report.pdf#page=96" TargetMode="External" Id="rId1481"/><Relationship Type="http://schemas.openxmlformats.org/officeDocument/2006/relationships/hyperlink" Target="https://vanillabonds.com/dossier-data/pdf/fastned/fastned-2025-annual-report.pdf#page=96" TargetMode="External" Id="rId1482"/><Relationship Type="http://schemas.openxmlformats.org/officeDocument/2006/relationships/hyperlink" Target="https://vanillabonds.com/dossier-data/pdf/fastned/fastned-2025-annual-report.pdf#page=98" TargetMode="External" Id="rId1483"/><Relationship Type="http://schemas.openxmlformats.org/officeDocument/2006/relationships/hyperlink" Target="https://vanillabonds.com/dossier-data/pdf/fastned/fastned-2025-annual-report.pdf#page=98" TargetMode="External" Id="rId1484"/><Relationship Type="http://schemas.openxmlformats.org/officeDocument/2006/relationships/hyperlink" Target="https://vanillabonds.com/dossier-data/pdf/fastned/fastned-2025-annual-report.pdf#page=98" TargetMode="External" Id="rId1485"/><Relationship Type="http://schemas.openxmlformats.org/officeDocument/2006/relationships/hyperlink" Target="https://vanillabonds.com/dossier-data/pdf/fastned/fastned-2025-annual-report.pdf#page=98" TargetMode="External" Id="rId1486"/><Relationship Type="http://schemas.openxmlformats.org/officeDocument/2006/relationships/hyperlink" Target="https://vanillabonds.com/dossier-data/pdf/fastned/fastned-2025-annual-report.pdf#page=98" TargetMode="External" Id="rId1487"/><Relationship Type="http://schemas.openxmlformats.org/officeDocument/2006/relationships/hyperlink" Target="https://vanillabonds.com/dossier-data/pdf/fastned/fastned-2025-annual-report.pdf#page=98" TargetMode="External" Id="rId1488"/><Relationship Type="http://schemas.openxmlformats.org/officeDocument/2006/relationships/hyperlink" Target="https://vanillabonds.com/dossier-data/pdf/fastned/fastned-2025-annual-report.pdf#page=98" TargetMode="External" Id="rId1489"/><Relationship Type="http://schemas.openxmlformats.org/officeDocument/2006/relationships/hyperlink" Target="https://vanillabonds.com/dossier-data/pdf/fastned/fastned-2025-annual-report.pdf#page=105" TargetMode="External" Id="rId1490"/><Relationship Type="http://schemas.openxmlformats.org/officeDocument/2006/relationships/hyperlink" Target="https://vanillabonds.com/dossier-data/pdf/fastned/fastned-2025-annual-report.pdf#page=105" TargetMode="External" Id="rId1491"/><Relationship Type="http://schemas.openxmlformats.org/officeDocument/2006/relationships/hyperlink" Target="https://vanillabonds.com/dossier-data/pdf/fastned/fastned-2025-annual-report.pdf#page=105" TargetMode="External" Id="rId1492"/><Relationship Type="http://schemas.openxmlformats.org/officeDocument/2006/relationships/hyperlink" Target="https://vanillabonds.com/dossier-data/pdf/fastned/fastned-2025-annual-report.pdf#page=105" TargetMode="External" Id="rId1493"/><Relationship Type="http://schemas.openxmlformats.org/officeDocument/2006/relationships/hyperlink" Target="https://vanillabonds.com/dossier-data/pdf/fastned/fastned-2025-annual-report.pdf#page=109" TargetMode="External" Id="rId1494"/><Relationship Type="http://schemas.openxmlformats.org/officeDocument/2006/relationships/hyperlink" Target="https://vanillabonds.com/dossier-data/pdf/fastned/fastned-2025-annual-report.pdf#page=109" TargetMode="External" Id="rId1495"/><Relationship Type="http://schemas.openxmlformats.org/officeDocument/2006/relationships/hyperlink" Target="https://vanillabonds.com/dossier-data/pdf/fastned/fastned-2025-annual-report.pdf#page=109" TargetMode="External" Id="rId1496"/><Relationship Type="http://schemas.openxmlformats.org/officeDocument/2006/relationships/hyperlink" Target="https://vanillabonds.com/dossier-data/pdf/fastned/fastned-2025-annual-report.pdf#page=215" TargetMode="External" Id="rId1497"/><Relationship Type="http://schemas.openxmlformats.org/officeDocument/2006/relationships/hyperlink" Target="https://vanillabonds.com/dossier-data/pdf/fastned/fastned-2025-annual-report.pdf#page=215" TargetMode="External" Id="rId1498"/><Relationship Type="http://schemas.openxmlformats.org/officeDocument/2006/relationships/hyperlink" Target="https://vanillabonds.com/dossier-data/pdf/fastned/fastned-2025-annual-report.pdf#page=215" TargetMode="External" Id="rId1499"/><Relationship Type="http://schemas.openxmlformats.org/officeDocument/2006/relationships/hyperlink" Target="https://vanillabonds.com/dossier-data/pdf/fastned/fastned-2025-annual-report.pdf#page=215" TargetMode="External" Id="rId1500"/><Relationship Type="http://schemas.openxmlformats.org/officeDocument/2006/relationships/hyperlink" Target="https://vanillabonds.com/dossier-data/pdf/fastned/fastned-2025-annual-report.pdf#page=215" TargetMode="External" Id="rId1501"/><Relationship Type="http://schemas.openxmlformats.org/officeDocument/2006/relationships/hyperlink" Target="https://vanillabonds.com/dossier-data/pdf/fastned/fastned-2025-annual-report.pdf#page=215" TargetMode="External" Id="rId1502"/><Relationship Type="http://schemas.openxmlformats.org/officeDocument/2006/relationships/hyperlink" Target="https://vanillabonds.com/dossier-data/pdf/fastned/fastned-2025-annual-report.pdf#page=215" TargetMode="External" Id="rId1503"/><Relationship Type="http://schemas.openxmlformats.org/officeDocument/2006/relationships/hyperlink" Target="https://vanillabonds.com/dossier-data/pdf/fastned/fastned-2025-annual-report.pdf#page=98" TargetMode="External" Id="rId1504"/><Relationship Type="http://schemas.openxmlformats.org/officeDocument/2006/relationships/hyperlink" Target="https://vanillabonds.com/dossier-data/pdf/fastned/fastned-2025-annual-report.pdf#page=98" TargetMode="External" Id="rId1505"/><Relationship Type="http://schemas.openxmlformats.org/officeDocument/2006/relationships/hyperlink" Target="https://vanillabonds.com/dossier-data/pdf/fastned/fastned-2025-annual-report.pdf#page=193" TargetMode="External" Id="rId1506"/><Relationship Type="http://schemas.openxmlformats.org/officeDocument/2006/relationships/hyperlink" Target="https://vanillabonds.com/dossier-data/pdf/fastned/fastned-2025-annual-report.pdf#page=194" TargetMode="External" Id="rId1507"/><Relationship Type="http://schemas.openxmlformats.org/officeDocument/2006/relationships/hyperlink" Target="https://vanillabonds.com/dossier-data/pdf/fastned/fastned-2025-annual-report.pdf#page=149" TargetMode="External" Id="rId1508"/><Relationship Type="http://schemas.openxmlformats.org/officeDocument/2006/relationships/hyperlink" Target="https://vanillabonds.com/dossier-data/pdf/fastned/fastned-2025-annual-report.pdf#page=149" TargetMode="External" Id="rId1509"/><Relationship Type="http://schemas.openxmlformats.org/officeDocument/2006/relationships/hyperlink" Target="https://vanillabonds.com/dossier-data/pdf/fastned/fastned-2025-annual-report.pdf#page=149" TargetMode="External" Id="rId1510"/><Relationship Type="http://schemas.openxmlformats.org/officeDocument/2006/relationships/hyperlink" Target="https://vanillabonds.com/dossier-data/pdf/fastned/fastned-2025-annual-report.pdf#page=34" TargetMode="External" Id="rId1511"/><Relationship Type="http://schemas.openxmlformats.org/officeDocument/2006/relationships/hyperlink" Target="https://vanillabonds.com/dossier-data/pdf/fastned/fastned-2025-annual-report.pdf#page=34" TargetMode="External" Id="rId1512"/><Relationship Type="http://schemas.openxmlformats.org/officeDocument/2006/relationships/hyperlink" Target="https://vanillabonds.com/dossier-data/pdf/fastned/fastned-2025-annual-report.pdf#page=34" TargetMode="External" Id="rId1513"/><Relationship Type="http://schemas.openxmlformats.org/officeDocument/2006/relationships/hyperlink" Target="https://vanillabonds.com/dossier-data/pdf/fastned/fastned-2025-annual-report.pdf#page=34" TargetMode="External" Id="rId1514"/><Relationship Type="http://schemas.openxmlformats.org/officeDocument/2006/relationships/hyperlink" Target="https://vanillabonds.com/dossier-data/pdf/fastned/fastned-2025-annual-report.pdf#page=34" TargetMode="External" Id="rId1515"/><Relationship Type="http://schemas.openxmlformats.org/officeDocument/2006/relationships/hyperlink" Target="https://vanillabonds.com/dossier-data/pdf/fastned/fastned-2025-annual-report.pdf#page=34" TargetMode="External" Id="rId1516"/><Relationship Type="http://schemas.openxmlformats.org/officeDocument/2006/relationships/hyperlink" Target="https://vanillabonds.com/dossier-data/pdf/fastned/fastned-2025-annual-report.pdf#page=34" TargetMode="External" Id="rId1517"/><Relationship Type="http://schemas.openxmlformats.org/officeDocument/2006/relationships/hyperlink" Target="https://vanillabonds.com/dossier-data/pdf/fastned/fastned-2025-annual-report.pdf#page=34" TargetMode="External" Id="rId1518"/><Relationship Type="http://schemas.openxmlformats.org/officeDocument/2006/relationships/hyperlink" Target="https://vanillabonds.com/dossier-data/pdf/fastned/fastned-2025-annual-report.pdf#page=34" TargetMode="External" Id="rId1519"/><Relationship Type="http://schemas.openxmlformats.org/officeDocument/2006/relationships/hyperlink" Target="https://vanillabonds.com/dossier-data/pdf/fastned/fastned-2025-annual-report.pdf#page=34" TargetMode="External" Id="rId1520"/><Relationship Type="http://schemas.openxmlformats.org/officeDocument/2006/relationships/hyperlink" Target="https://vanillabonds.com/dossier-data/pdf/fastned/fastned-2025-annual-report.pdf#page=34" TargetMode="External" Id="rId1521"/><Relationship Type="http://schemas.openxmlformats.org/officeDocument/2006/relationships/hyperlink" Target="https://vanillabonds.com/dossier-data/pdf/fastned/fastned-2025-annual-report.pdf#page=34" TargetMode="External" Id="rId1522"/><Relationship Type="http://schemas.openxmlformats.org/officeDocument/2006/relationships/hyperlink" Target="https://vanillabonds.com/dossier-data/pdf/fastned/fastned-2025-annual-report.pdf#page=34" TargetMode="External" Id="rId1523"/><Relationship Type="http://schemas.openxmlformats.org/officeDocument/2006/relationships/hyperlink" Target="https://vanillabonds.com/dossier-data/pdf/fastned/fastned-2025-annual-report.pdf#page=34" TargetMode="External" Id="rId1524"/><Relationship Type="http://schemas.openxmlformats.org/officeDocument/2006/relationships/hyperlink" Target="https://vanillabonds.com/dossier-data/pdf/fastned/fastned-2025-annual-report.pdf#page=34" TargetMode="External" Id="rId1525"/><Relationship Type="http://schemas.openxmlformats.org/officeDocument/2006/relationships/hyperlink" Target="https://vanillabonds.com/dossier-data/pdf/fastned/fastned-2025-annual-report.pdf#page=34" TargetMode="External" Id="rId1526"/><Relationship Type="http://schemas.openxmlformats.org/officeDocument/2006/relationships/hyperlink" Target="https://vanillabonds.com/dossier-data/pdf/fastned/fastned-2025-annual-report.pdf#page=34" TargetMode="External" Id="rId1527"/><Relationship Type="http://schemas.openxmlformats.org/officeDocument/2006/relationships/hyperlink" Target="https://vanillabonds.com/dossier-data/pdf/fastned/fastned-2025-annual-report.pdf#page=34" TargetMode="External" Id="rId1528"/><Relationship Type="http://schemas.openxmlformats.org/officeDocument/2006/relationships/hyperlink" Target="https://vanillabonds.com/dossier-data/pdf/fastned/fastned-2025-annual-report.pdf#page=34" TargetMode="External" Id="rId1529"/><Relationship Type="http://schemas.openxmlformats.org/officeDocument/2006/relationships/hyperlink" Target="https://vanillabonds.com/dossier-data/pdf/fastned/fastned-2025-annual-report.pdf#page=34" TargetMode="External" Id="rId1530"/><Relationship Type="http://schemas.openxmlformats.org/officeDocument/2006/relationships/hyperlink" Target="https://vanillabonds.com/dossier-data/pdf/fastned/fastned-2025-annual-report.pdf#page=35" TargetMode="External" Id="rId1531"/><Relationship Type="http://schemas.openxmlformats.org/officeDocument/2006/relationships/hyperlink" Target="https://vanillabonds.com/dossier-data/pdf/fastned/fastned-2025-annual-report.pdf#page=35" TargetMode="External" Id="rId1532"/><Relationship Type="http://schemas.openxmlformats.org/officeDocument/2006/relationships/hyperlink" Target="https://vanillabonds.com/dossier-data/pdf/fastned/fastned-2025-annual-report.pdf#page=40" TargetMode="External" Id="rId1533"/><Relationship Type="http://schemas.openxmlformats.org/officeDocument/2006/relationships/hyperlink" Target="https://vanillabonds.com/dossier-data/pdf/fastned/fastned-2025-annual-report.pdf#page=56" TargetMode="External" Id="rId1534"/><Relationship Type="http://schemas.openxmlformats.org/officeDocument/2006/relationships/hyperlink" Target="https://vanillabonds.com/dossier-data/pdf/fastned/fastned-2025-annual-report.pdf#page=67" TargetMode="External" Id="rId1535"/><Relationship Type="http://schemas.openxmlformats.org/officeDocument/2006/relationships/hyperlink" Target="https://vanillabonds.com/dossier-data/pdf/fastned/fastned-2025-annual-report.pdf#page=70" TargetMode="External" Id="rId1536"/><Relationship Type="http://schemas.openxmlformats.org/officeDocument/2006/relationships/hyperlink" Target="https://vanillabonds.com/dossier-data/pdf/fastned/fastned-2025-annual-report.pdf#page=71" TargetMode="External" Id="rId1537"/><Relationship Type="http://schemas.openxmlformats.org/officeDocument/2006/relationships/hyperlink" Target="https://vanillabonds.com/dossier-data/pdf/fastned/fastned-2025-annual-report.pdf#page=76" TargetMode="External" Id="rId1538"/><Relationship Type="http://schemas.openxmlformats.org/officeDocument/2006/relationships/hyperlink" Target="https://vanillabonds.com/dossier-data/pdf/fastned/fastned-2025-annual-report.pdf#page=82" TargetMode="External" Id="rId1539"/><Relationship Type="http://schemas.openxmlformats.org/officeDocument/2006/relationships/hyperlink" Target="https://vanillabonds.com/dossier-data/pdf/fastned/fastned-2025-annual-report.pdf#page=91" TargetMode="External" Id="rId1540"/><Relationship Type="http://schemas.openxmlformats.org/officeDocument/2006/relationships/hyperlink" Target="https://vanillabonds.com/dossier-data/pdf/fastned/fastned-2025-annual-report.pdf#page=92" TargetMode="External" Id="rId1541"/><Relationship Type="http://schemas.openxmlformats.org/officeDocument/2006/relationships/hyperlink" Target="https://vanillabonds.com/dossier-data/pdf/fastned/fastned-2025-annual-report.pdf#page=143" TargetMode="External" Id="rId1542"/><Relationship Type="http://schemas.openxmlformats.org/officeDocument/2006/relationships/hyperlink" Target="https://vanillabonds.com/dossier-data/pdf/fastned/fastned-2025-annual-report.pdf#page=165" TargetMode="External" Id="rId1543"/><Relationship Type="http://schemas.openxmlformats.org/officeDocument/2006/relationships/hyperlink" Target="https://vanillabonds.com/dossier-data/pdf/fastned/fastned-2025-annual-report.pdf#page=232" TargetMode="External" Id="rId1544"/><Relationship Type="http://schemas.openxmlformats.org/officeDocument/2006/relationships/hyperlink" Target="https://vanillabonds.com/dossier-data/pdf/fastned/fastned-2025-annual-report.pdf#page=235" TargetMode="External" Id="rId1545"/><Relationship Type="http://schemas.openxmlformats.org/officeDocument/2006/relationships/hyperlink" Target="https://vanillabonds.com/dossier-data/pdf/fastned/fastned-2025-annual-report.pdf#page=239" TargetMode="External" Id="rId1546"/><Relationship Type="http://schemas.openxmlformats.org/officeDocument/2006/relationships/hyperlink" Target="https://vanillabonds.com/dossier-data/pdf/fastned/fastned-2025-annual-report.pdf#page=14" TargetMode="External" Id="rId1547"/><Relationship Type="http://schemas.openxmlformats.org/officeDocument/2006/relationships/hyperlink" Target="https://vanillabonds.com/dossier-data/pdf/fastned/fastned-2025-annual-report.pdf#page=46" TargetMode="External" Id="rId1548"/><Relationship Type="http://schemas.openxmlformats.org/officeDocument/2006/relationships/hyperlink" Target="https://vanillabonds.com/dossier-data/pdf/fastned/fastned-2025-annual-report.pdf#page=65" TargetMode="External" Id="rId1549"/><Relationship Type="http://schemas.openxmlformats.org/officeDocument/2006/relationships/hyperlink" Target="https://vanillabonds.com/dossier-data/pdf/fastned/fastned-2025-annual-report.pdf#page=69" TargetMode="External" Id="rId1550"/><Relationship Type="http://schemas.openxmlformats.org/officeDocument/2006/relationships/hyperlink" Target="https://vanillabonds.com/dossier-data/pdf/fastned/fastned-2025-annual-report.pdf#page=73" TargetMode="External" Id="rId1551"/><Relationship Type="http://schemas.openxmlformats.org/officeDocument/2006/relationships/hyperlink" Target="https://vanillabonds.com/dossier-data/pdf/fastned/fastned-2025-annual-report.pdf#page=155" TargetMode="External" Id="rId1552"/><Relationship Type="http://schemas.openxmlformats.org/officeDocument/2006/relationships/hyperlink" Target="https://vanillabonds.com/dossier-data/pdf/fastned/fastned-2025-annual-report.pdf#page=224" TargetMode="External" Id="rId1553"/><Relationship Type="http://schemas.openxmlformats.org/officeDocument/2006/relationships/hyperlink" Target="https://vanillabonds.com/dossier-data/pdf/fastned/fastned-2025-annual-report.pdf#page=46" TargetMode="External" Id="rId1554"/><Relationship Type="http://schemas.openxmlformats.org/officeDocument/2006/relationships/hyperlink" Target="https://vanillabonds.com/dossier-data/pdf/fastned/fastned-2025-annual-report.pdf#page=46" TargetMode="External" Id="rId1555"/><Relationship Type="http://schemas.openxmlformats.org/officeDocument/2006/relationships/hyperlink" Target="https://vanillabonds.com/dossier-data/pdf/fastned/fastned-2025-annual-report.pdf#page=46" TargetMode="External" Id="rId1556"/><Relationship Type="http://schemas.openxmlformats.org/officeDocument/2006/relationships/hyperlink" Target="https://vanillabonds.com/dossier-data/pdf/fastned/fastned-2025-annual-report.pdf#page=156" TargetMode="External" Id="rId1557"/><Relationship Type="http://schemas.openxmlformats.org/officeDocument/2006/relationships/hyperlink" Target="https://vanillabonds.com/dossier-data/pdf/fastned/fastned-2025-annual-report.pdf#page=156" TargetMode="External" Id="rId1558"/><Relationship Type="http://schemas.openxmlformats.org/officeDocument/2006/relationships/hyperlink" Target="https://vanillabonds.com/dossier-data/pdf/fastned/fastned-2025-annual-report.pdf#page=157" TargetMode="External" Id="rId1559"/><Relationship Type="http://schemas.openxmlformats.org/officeDocument/2006/relationships/hyperlink" Target="https://vanillabonds.com/dossier-data/pdf/fastned/fastned-2025-annual-report.pdf#page=157" TargetMode="External" Id="rId1560"/><Relationship Type="http://schemas.openxmlformats.org/officeDocument/2006/relationships/hyperlink" Target="https://vanillabonds.com/dossier-data/pdf/fastned/fastned-2025-annual-report.pdf#page=57" TargetMode="External" Id="rId1561"/><Relationship Type="http://schemas.openxmlformats.org/officeDocument/2006/relationships/hyperlink" Target="https://vanillabonds.com/dossier-data/pdf/fastned/fastned-2025-annual-report.pdf#page=64" TargetMode="External" Id="rId1562"/><Relationship Type="http://schemas.openxmlformats.org/officeDocument/2006/relationships/hyperlink" Target="https://vanillabonds.com/dossier-data/pdf/fastned/fastned-2025-annual-report.pdf#page=73" TargetMode="External" Id="rId1563"/><Relationship Type="http://schemas.openxmlformats.org/officeDocument/2006/relationships/hyperlink" Target="https://vanillabonds.com/dossier-data/pdf/fastned/fastned-2025-annual-report.pdf#page=142" TargetMode="External" Id="rId1564"/><Relationship Type="http://schemas.openxmlformats.org/officeDocument/2006/relationships/hyperlink" Target="https://vanillabonds.com/dossier-data/pdf/fastned/fastned-2025-annual-report.pdf#page=225" TargetMode="External" Id="rId1565"/><Relationship Type="http://schemas.openxmlformats.org/officeDocument/2006/relationships/hyperlink" Target="https://vanillabonds.com/dossier-data/pdf/fastned/fastned-2025-annual-report.pdf#page=237" TargetMode="External" Id="rId1566"/><Relationship Type="http://schemas.openxmlformats.org/officeDocument/2006/relationships/hyperlink" Target="https://vanillabonds.com/dossier-data/pdf/fastned/fastned-2025-annual-report.pdf#page=46" TargetMode="External" Id="rId1567"/><Relationship Type="http://schemas.openxmlformats.org/officeDocument/2006/relationships/hyperlink" Target="https://vanillabonds.com/dossier-data/pdf/fastned/fastned-2025-annual-report.pdf#page=46" TargetMode="External" Id="rId1568"/><Relationship Type="http://schemas.openxmlformats.org/officeDocument/2006/relationships/hyperlink" Target="https://vanillabonds.com/dossier-data/pdf/fastned/fastned-2025-annual-report.pdf#page=45" TargetMode="External" Id="rId1569"/><Relationship Type="http://schemas.openxmlformats.org/officeDocument/2006/relationships/hyperlink" Target="https://vanillabonds.com/dossier-data/pdf/fastned/fastned-2025-annual-report.pdf#page=45" TargetMode="External" Id="rId1570"/><Relationship Type="http://schemas.openxmlformats.org/officeDocument/2006/relationships/hyperlink" Target="https://vanillabonds.com/dossier-data/pdf/fastned/fastned-2025-annual-report.pdf#page=114" TargetMode="External" Id="rId1571"/><Relationship Type="http://schemas.openxmlformats.org/officeDocument/2006/relationships/hyperlink" Target="https://vanillabonds.com/dossier-data/pdf/fastned/fastned-2025-annual-report.pdf#page=157" TargetMode="External" Id="rId1572"/><Relationship Type="http://schemas.openxmlformats.org/officeDocument/2006/relationships/hyperlink" Target="https://vanillabonds.com/dossier-data/pdf/fastned/fastned-2025-annual-report.pdf#page=205" TargetMode="External" Id="rId1573"/><Relationship Type="http://schemas.openxmlformats.org/officeDocument/2006/relationships/hyperlink" Target="https://vanillabonds.com/dossier-data/pdf/fastned/fastned-2025-annual-report.pdf#page=46" TargetMode="External" Id="rId1574"/><Relationship Type="http://schemas.openxmlformats.org/officeDocument/2006/relationships/hyperlink" Target="https://vanillabonds.com/dossier-data/pdf/fastned/fastned-2025-annual-report.pdf#page=46" TargetMode="External" Id="rId1575"/><Relationship Type="http://schemas.openxmlformats.org/officeDocument/2006/relationships/hyperlink" Target="https://vanillabonds.com/dossier-data/pdf/fastned/fastned-2025-annual-report.pdf#page=114" TargetMode="External" Id="rId1576"/><Relationship Type="http://schemas.openxmlformats.org/officeDocument/2006/relationships/hyperlink" Target="https://vanillabonds.com/dossier-data/pdf/fastned/fastned-2025-annual-report.pdf#page=157" TargetMode="External" Id="rId1577"/><Relationship Type="http://schemas.openxmlformats.org/officeDocument/2006/relationships/hyperlink" Target="https://vanillabonds.com/dossier-data/pdf/fastned/fastned-2025-annual-report.pdf#page=183" TargetMode="External" Id="rId1578"/><Relationship Type="http://schemas.openxmlformats.org/officeDocument/2006/relationships/hyperlink" Target="https://vanillabonds.com/dossier-data/pdf/fastned/fastned-2025-annual-report.pdf#page=212" TargetMode="External" Id="rId1579"/><Relationship Type="http://schemas.openxmlformats.org/officeDocument/2006/relationships/hyperlink" Target="https://vanillabonds.com/dossier-data/pdf/fastned/fastned-2025-annual-report.pdf#page=157" TargetMode="External" Id="rId1580"/><Relationship Type="http://schemas.openxmlformats.org/officeDocument/2006/relationships/hyperlink" Target="https://vanillabonds.com/dossier-data/pdf/fastned/fastned-2025-annual-report.pdf#page=169" TargetMode="External" Id="rId1581"/><Relationship Type="http://schemas.openxmlformats.org/officeDocument/2006/relationships/hyperlink" Target="https://vanillabonds.com/dossier-data/pdf/fastned/fastned-2025-annual-report.pdf#page=183" TargetMode="External" Id="rId1582"/><Relationship Type="http://schemas.openxmlformats.org/officeDocument/2006/relationships/hyperlink" Target="https://vanillabonds.com/dossier-data/pdf/fastned/fastned-2025-annual-report.pdf#page=190" TargetMode="External" Id="rId1583"/><Relationship Type="http://schemas.openxmlformats.org/officeDocument/2006/relationships/hyperlink" Target="https://vanillabonds.com/dossier-data/pdf/fastned/fastned-2025-annual-report.pdf#page=212" TargetMode="External" Id="rId1584"/><Relationship Type="http://schemas.openxmlformats.org/officeDocument/2006/relationships/hyperlink" Target="https://vanillabonds.com/dossier-data/pdf/fastned/fastned-2025-annual-report.pdf#page=139" TargetMode="External" Id="rId1585"/><Relationship Type="http://schemas.openxmlformats.org/officeDocument/2006/relationships/hyperlink" Target="https://vanillabonds.com/dossier-data/pdf/fastned/fastned-2025-annual-report.pdf#page=200" TargetMode="External" Id="rId1586"/><Relationship Type="http://schemas.openxmlformats.org/officeDocument/2006/relationships/hyperlink" Target="https://vanillabonds.com/dossier-data/pdf/fastned/fastned-2025-annual-report.pdf#page=223" TargetMode="External" Id="rId1587"/><Relationship Type="http://schemas.openxmlformats.org/officeDocument/2006/relationships/hyperlink" Target="https://vanillabonds.com/dossier-data/pdf/fastned/fastned-2025-annual-report.pdf#page=1" TargetMode="External" Id="rId1588"/><Relationship Type="http://schemas.openxmlformats.org/officeDocument/2006/relationships/hyperlink" Target="https://vanillabonds.com/dossier-data/pdf/fastned/fastned-2025-annual-report.pdf#page=228" TargetMode="External" Id="rId1589"/><Relationship Type="http://schemas.openxmlformats.org/officeDocument/2006/relationships/hyperlink" Target="https://vanillabonds.com/dossier-data/pdf/fastned/fastned-2025-annual-report.pdf#page=45" TargetMode="External" Id="rId1590"/><Relationship Type="http://schemas.openxmlformats.org/officeDocument/2006/relationships/hyperlink" Target="https://vanillabonds.com/dossier-data/pdf/fastned/fastned-2025-annual-report.pdf#page=142" TargetMode="External" Id="rId1591"/><Relationship Type="http://schemas.openxmlformats.org/officeDocument/2006/relationships/hyperlink" Target="https://vanillabonds.com/dossier-data/pdf/fastned/fastned-2025-annual-report.pdf#page=142" TargetMode="External" Id="rId1592"/><Relationship Type="http://schemas.openxmlformats.org/officeDocument/2006/relationships/hyperlink" Target="https://vanillabonds.com/dossier-data/pdf/fastned/fastned-2025-annual-report.pdf#page=158" TargetMode="External" Id="rId1593"/><Relationship Type="http://schemas.openxmlformats.org/officeDocument/2006/relationships/hyperlink" Target="https://vanillabonds.com/dossier-data/pdf/fastned/fastned-2025-annual-report.pdf#page=159" TargetMode="External" Id="rId1594"/><Relationship Type="http://schemas.openxmlformats.org/officeDocument/2006/relationships/hyperlink" Target="https://vanillabonds.com/dossier-data/pdf/fastned/fastned-2025-annual-report.pdf#page=159" TargetMode="External" Id="rId1595"/><Relationship Type="http://schemas.openxmlformats.org/officeDocument/2006/relationships/hyperlink" Target="https://vanillabonds.com/dossier-data/pdf/fastned/fastned-2025-annual-report.pdf#page=159" TargetMode="External" Id="rId1596"/><Relationship Type="http://schemas.openxmlformats.org/officeDocument/2006/relationships/hyperlink" Target="https://vanillabonds.com/dossier-data/pdf/fastned/fastned-2025-annual-report.pdf#page=160" TargetMode="External" Id="rId1597"/><Relationship Type="http://schemas.openxmlformats.org/officeDocument/2006/relationships/hyperlink" Target="https://vanillabonds.com/dossier-data/pdf/fastned/fastned-2025-annual-report.pdf#page=161" TargetMode="External" Id="rId1598"/><Relationship Type="http://schemas.openxmlformats.org/officeDocument/2006/relationships/hyperlink" Target="https://vanillabonds.com/dossier-data/pdf/fastned/fastned-2025-annual-report.pdf#page=199" TargetMode="External" Id="rId1599"/><Relationship Type="http://schemas.openxmlformats.org/officeDocument/2006/relationships/hyperlink" Target="https://vanillabonds.com/dossier-data/pdf/fastned/fastned-2025-annual-report.pdf#page=45" TargetMode="External" Id="rId1600"/><Relationship Type="http://schemas.openxmlformats.org/officeDocument/2006/relationships/hyperlink" Target="https://vanillabonds.com/dossier-data/pdf/fastned/fastned-2025-annual-report.pdf#page=45" TargetMode="External" Id="rId1601"/><Relationship Type="http://schemas.openxmlformats.org/officeDocument/2006/relationships/hyperlink" Target="https://vanillabonds.com/dossier-data/pdf/fastned/fastned-2025-annual-report.pdf#page=45" TargetMode="External" Id="rId1602"/><Relationship Type="http://schemas.openxmlformats.org/officeDocument/2006/relationships/hyperlink" Target="https://vanillabonds.com/dossier-data/pdf/fastned/fastned-2025-annual-report.pdf#page=153" TargetMode="External" Id="rId1603"/><Relationship Type="http://schemas.openxmlformats.org/officeDocument/2006/relationships/hyperlink" Target="https://vanillabonds.com/dossier-data/pdf/fastned/fastned-2025-annual-report.pdf#page=153" TargetMode="External" Id="rId1604"/><Relationship Type="http://schemas.openxmlformats.org/officeDocument/2006/relationships/hyperlink" Target="https://vanillabonds.com/dossier-data/pdf/fastned/fastned-2025-annual-report.pdf#page=153" TargetMode="External" Id="rId1605"/><Relationship Type="http://schemas.openxmlformats.org/officeDocument/2006/relationships/hyperlink" Target="https://vanillabonds.com/dossier-data/pdf/fastned/fastned-2025-annual-report.pdf#page=153" TargetMode="External" Id="rId1606"/><Relationship Type="http://schemas.openxmlformats.org/officeDocument/2006/relationships/hyperlink" Target="https://vanillabonds.com/dossier-data/pdf/fastned/fastned-2025-annual-report.pdf#page=153" TargetMode="External" Id="rId1607"/><Relationship Type="http://schemas.openxmlformats.org/officeDocument/2006/relationships/hyperlink" Target="https://vanillabonds.com/dossier-data/pdf/fastned/fastned-2025-annual-report.pdf#page=153" TargetMode="External" Id="rId1608"/><Relationship Type="http://schemas.openxmlformats.org/officeDocument/2006/relationships/hyperlink" Target="https://vanillabonds.com/dossier-data/pdf/fastned/fastned-2025-annual-report.pdf#page=45" TargetMode="External" Id="rId1609"/><Relationship Type="http://schemas.openxmlformats.org/officeDocument/2006/relationships/hyperlink" Target="https://vanillabonds.com/dossier-data/pdf/fastned/fastned-2025-annual-report.pdf#page=45" TargetMode="External" Id="rId1610"/><Relationship Type="http://schemas.openxmlformats.org/officeDocument/2006/relationships/hyperlink" Target="https://vanillabonds.com/dossier-data/pdf/fastned/fastned-2025-annual-report.pdf#page=152" TargetMode="External" Id="rId1611"/><Relationship Type="http://schemas.openxmlformats.org/officeDocument/2006/relationships/hyperlink" Target="https://vanillabonds.com/dossier-data/pdf/fastned/fastned-2025-annual-report.pdf#page=152" TargetMode="External" Id="rId1612"/><Relationship Type="http://schemas.openxmlformats.org/officeDocument/2006/relationships/hyperlink" Target="https://vanillabonds.com/dossier-data/pdf/fastned/fastned-2025-annual-report.pdf#page=152" TargetMode="External" Id="rId1613"/><Relationship Type="http://schemas.openxmlformats.org/officeDocument/2006/relationships/hyperlink" Target="https://vanillabonds.com/dossier-data/pdf/fastned/fastned-2025-annual-report.pdf#page=152" TargetMode="External" Id="rId1614"/><Relationship Type="http://schemas.openxmlformats.org/officeDocument/2006/relationships/hyperlink" Target="https://vanillabonds.com/dossier-data/pdf/fastned/fastned-2025-annual-report.pdf#page=152" TargetMode="External" Id="rId1615"/><Relationship Type="http://schemas.openxmlformats.org/officeDocument/2006/relationships/hyperlink" Target="https://vanillabonds.com/dossier-data/pdf/fastned/fastned-2025-annual-report.pdf#page=152" TargetMode="External" Id="rId1616"/><Relationship Type="http://schemas.openxmlformats.org/officeDocument/2006/relationships/hyperlink" Target="https://vanillabonds.com/dossier-data/pdf/fastned/fastned-2025-annual-report.pdf#page=120" TargetMode="External" Id="rId1617"/><Relationship Type="http://schemas.openxmlformats.org/officeDocument/2006/relationships/hyperlink" Target="https://vanillabonds.com/dossier-data/pdf/fastned/fastned-2025-annual-report.pdf#page=120" TargetMode="External" Id="rId1618"/><Relationship Type="http://schemas.openxmlformats.org/officeDocument/2006/relationships/hyperlink" Target="https://vanillabonds.com/dossier-data/pdf/fastned/fastned-2025-annual-report.pdf#page=144" TargetMode="External" Id="rId1619"/><Relationship Type="http://schemas.openxmlformats.org/officeDocument/2006/relationships/hyperlink" Target="https://vanillabonds.com/dossier-data/pdf/fastned/fastned-2025-annual-report.pdf#page=180" TargetMode="External" Id="rId1620"/><Relationship Type="http://schemas.openxmlformats.org/officeDocument/2006/relationships/hyperlink" Target="https://vanillabonds.com/dossier-data/pdf/fastned/fastned-2025-annual-report.pdf#page=195" TargetMode="External" Id="rId1621"/><Relationship Type="http://schemas.openxmlformats.org/officeDocument/2006/relationships/hyperlink" Target="https://vanillabonds.com/dossier-data/pdf/fastned/fastned-2025-annual-report.pdf#page=177" TargetMode="External" Id="rId1622"/><Relationship Type="http://schemas.openxmlformats.org/officeDocument/2006/relationships/hyperlink" Target="https://vanillabonds.com/dossier-data/pdf/fastned/fastned-2025-annual-report.pdf#page=174" TargetMode="External" Id="rId1623"/><Relationship Type="http://schemas.openxmlformats.org/officeDocument/2006/relationships/hyperlink" Target="https://vanillabonds.com/dossier-data/pdf/fastned/fastned-2025-annual-report.pdf#page=174" TargetMode="External" Id="rId1624"/><Relationship Type="http://schemas.openxmlformats.org/officeDocument/2006/relationships/hyperlink" Target="https://vanillabonds.com/dossier-data/pdf/fastned/fastned-2025-annual-report.pdf#page=174" TargetMode="External" Id="rId1625"/><Relationship Type="http://schemas.openxmlformats.org/officeDocument/2006/relationships/hyperlink" Target="https://vanillabonds.com/dossier-data/pdf/fastned/fastned-2025-annual-report.pdf#page=174" TargetMode="External" Id="rId1626"/><Relationship Type="http://schemas.openxmlformats.org/officeDocument/2006/relationships/hyperlink" Target="https://vanillabonds.com/dossier-data/pdf/fastned/fastned-2025-annual-report.pdf#page=175" TargetMode="External" Id="rId1627"/><Relationship Type="http://schemas.openxmlformats.org/officeDocument/2006/relationships/hyperlink" Target="https://vanillabonds.com/dossier-data/pdf/fastned/fastned-2025-annual-report.pdf#page=175" TargetMode="External" Id="rId1628"/><Relationship Type="http://schemas.openxmlformats.org/officeDocument/2006/relationships/hyperlink" Target="https://vanillabonds.com/dossier-data/pdf/fastned/fastned-2025-annual-report.pdf#page=195" TargetMode="External" Id="rId1629"/><Relationship Type="http://schemas.openxmlformats.org/officeDocument/2006/relationships/hyperlink" Target="https://vanillabonds.com/dossier-data/pdf/fastned/fastned-2025-annual-report.pdf#page=9" TargetMode="External" Id="rId1630"/><Relationship Type="http://schemas.openxmlformats.org/officeDocument/2006/relationships/hyperlink" Target="https://vanillabonds.com/dossier-data/pdf/fastned/fastned-2025-annual-report.pdf#page=13" TargetMode="External" Id="rId1631"/><Relationship Type="http://schemas.openxmlformats.org/officeDocument/2006/relationships/hyperlink" Target="https://vanillabonds.com/dossier-data/pdf/fastned/fastned-2025-annual-report.pdf#page=13" TargetMode="External" Id="rId1632"/><Relationship Type="http://schemas.openxmlformats.org/officeDocument/2006/relationships/hyperlink" Target="https://vanillabonds.com/dossier-data/pdf/fastned/fastned-2025-annual-report.pdf#page=14" TargetMode="External" Id="rId1633"/><Relationship Type="http://schemas.openxmlformats.org/officeDocument/2006/relationships/hyperlink" Target="https://vanillabonds.com/dossier-data/pdf/fastned/fastned-2025-annual-report.pdf#page=14" TargetMode="External" Id="rId1634"/><Relationship Type="http://schemas.openxmlformats.org/officeDocument/2006/relationships/hyperlink" Target="https://vanillabonds.com/dossier-data/pdf/fastned/fastned-2025-annual-report.pdf#page=17" TargetMode="External" Id="rId1635"/><Relationship Type="http://schemas.openxmlformats.org/officeDocument/2006/relationships/hyperlink" Target="https://vanillabonds.com/dossier-data/pdf/fastned/fastned-2025-annual-report.pdf#page=20" TargetMode="External" Id="rId1636"/><Relationship Type="http://schemas.openxmlformats.org/officeDocument/2006/relationships/hyperlink" Target="https://vanillabonds.com/dossier-data/pdf/fastned/fastned-2025-annual-report.pdf#page=101" TargetMode="External" Id="rId1637"/><Relationship Type="http://schemas.openxmlformats.org/officeDocument/2006/relationships/hyperlink" Target="https://vanillabonds.com/dossier-data/pdf/fastned/fastned-2025-annual-report.pdf#page=218" TargetMode="External" Id="rId1638"/><Relationship Type="http://schemas.openxmlformats.org/officeDocument/2006/relationships/hyperlink" Target="https://vanillabonds.com/dossier-data/pdf/fastned/fastned-2025-annual-report.pdf#page=47" TargetMode="External" Id="rId1639"/><Relationship Type="http://schemas.openxmlformats.org/officeDocument/2006/relationships/hyperlink" Target="https://vanillabonds.com/dossier-data/pdf/fastned/fastned-2025-annual-report.pdf#page=65" TargetMode="External" Id="rId1640"/><Relationship Type="http://schemas.openxmlformats.org/officeDocument/2006/relationships/hyperlink" Target="https://vanillabonds.com/dossier-data/pdf/fastned/fastned-2025-annual-report.pdf#page=77" TargetMode="External" Id="rId1641"/><Relationship Type="http://schemas.openxmlformats.org/officeDocument/2006/relationships/hyperlink" Target="https://vanillabonds.com/dossier-data/pdf/fastned/fastned-2025-annual-report.pdf#page=81" TargetMode="External" Id="rId1642"/><Relationship Type="http://schemas.openxmlformats.org/officeDocument/2006/relationships/hyperlink" Target="https://vanillabonds.com/dossier-data/pdf/fastned/fastned-2025-annual-report.pdf#page=122" TargetMode="External" Id="rId1643"/><Relationship Type="http://schemas.openxmlformats.org/officeDocument/2006/relationships/hyperlink" Target="https://vanillabonds.com/dossier-data/pdf/fastned/fastned-2025-annual-report.pdf#page=146" TargetMode="External" Id="rId1644"/><Relationship Type="http://schemas.openxmlformats.org/officeDocument/2006/relationships/hyperlink" Target="https://vanillabonds.com/dossier-data/pdf/fastned/fastned-2025-annual-report.pdf#page=146" TargetMode="External" Id="rId1645"/><Relationship Type="http://schemas.openxmlformats.org/officeDocument/2006/relationships/hyperlink" Target="https://vanillabonds.com/dossier-data/pdf/fastned/fastned-2025-annual-report.pdf#page=146" TargetMode="External" Id="rId1646"/><Relationship Type="http://schemas.openxmlformats.org/officeDocument/2006/relationships/hyperlink" Target="https://vanillabonds.com/dossier-data/pdf/fastned/fastned-2025-annual-report.pdf#page=177" TargetMode="External" Id="rId1647"/><Relationship Type="http://schemas.openxmlformats.org/officeDocument/2006/relationships/hyperlink" Target="https://vanillabonds.com/dossier-data/pdf/fastned/fastned-2025-annual-report.pdf#page=179" TargetMode="External" Id="rId1648"/><Relationship Type="http://schemas.openxmlformats.org/officeDocument/2006/relationships/hyperlink" Target="https://vanillabonds.com/dossier-data/pdf/fastned/fastned-2025-annual-report.pdf#page=195" TargetMode="External" Id="rId1649"/><Relationship Type="http://schemas.openxmlformats.org/officeDocument/2006/relationships/hyperlink" Target="https://vanillabonds.com/dossier-data/pdf/fastned/fastned-2025-annual-report.pdf#page=216" TargetMode="External" Id="rId1650"/><Relationship Type="http://schemas.openxmlformats.org/officeDocument/2006/relationships/hyperlink" Target="https://vanillabonds.com/dossier-data/pdf/fastned/fastned-2025-annual-report.pdf#page=84" TargetMode="External" Id="rId1651"/><Relationship Type="http://schemas.openxmlformats.org/officeDocument/2006/relationships/hyperlink" Target="https://vanillabonds.com/dossier-data/pdf/fastned/fastned-2025-annual-report.pdf#page=96" TargetMode="External" Id="rId1652"/><Relationship Type="http://schemas.openxmlformats.org/officeDocument/2006/relationships/hyperlink" Target="https://vanillabonds.com/dossier-data/pdf/fastned/fastned-2025-annual-report.pdf#page=100" TargetMode="External" Id="rId1653"/><Relationship Type="http://schemas.openxmlformats.org/officeDocument/2006/relationships/hyperlink" Target="https://vanillabonds.com/dossier-data/pdf/fastned/fastned-2025-annual-report.pdf#page=192" TargetMode="External" Id="rId1654"/><Relationship Type="http://schemas.openxmlformats.org/officeDocument/2006/relationships/hyperlink" Target="https://vanillabonds.com/dossier-data/pdf/fastned/fastned-2025-annual-report.pdf#page=193" TargetMode="External" Id="rId1655"/><Relationship Type="http://schemas.openxmlformats.org/officeDocument/2006/relationships/hyperlink" Target="https://vanillabonds.com/dossier-data/pdf/fastned/fastned-2025-annual-report.pdf#page=95" TargetMode="External" Id="rId1656"/><Relationship Type="http://schemas.openxmlformats.org/officeDocument/2006/relationships/hyperlink" Target="https://vanillabonds.com/dossier-data/pdf/fastned/fastned-2025-annual-report.pdf#page=96" TargetMode="External" Id="rId1657"/><Relationship Type="http://schemas.openxmlformats.org/officeDocument/2006/relationships/hyperlink" Target="https://vanillabonds.com/dossier-data/pdf/fastned/fastned-2025-annual-report.pdf#page=96" TargetMode="External" Id="rId1658"/><Relationship Type="http://schemas.openxmlformats.org/officeDocument/2006/relationships/hyperlink" Target="https://vanillabonds.com/dossier-data/pdf/fastned/fastned-2025-annual-report.pdf#page=96" TargetMode="External" Id="rId1659"/><Relationship Type="http://schemas.openxmlformats.org/officeDocument/2006/relationships/hyperlink" Target="https://vanillabonds.com/dossier-data/pdf/fastned/fastned-2025-annual-report.pdf#page=96" TargetMode="External" Id="rId1660"/><Relationship Type="http://schemas.openxmlformats.org/officeDocument/2006/relationships/hyperlink" Target="https://vanillabonds.com/dossier-data/pdf/fastned/fastned-2025-annual-report.pdf#page=96" TargetMode="External" Id="rId1661"/><Relationship Type="http://schemas.openxmlformats.org/officeDocument/2006/relationships/hyperlink" Target="https://vanillabonds.com/dossier-data/pdf/fastned/fastned-2025-annual-report.pdf#page=96" TargetMode="External" Id="rId1662"/><Relationship Type="http://schemas.openxmlformats.org/officeDocument/2006/relationships/hyperlink" Target="https://vanillabonds.com/dossier-data/pdf/fastned/fastned-2025-annual-report.pdf#page=96" TargetMode="External" Id="rId1663"/><Relationship Type="http://schemas.openxmlformats.org/officeDocument/2006/relationships/hyperlink" Target="https://vanillabonds.com/dossier-data/pdf/fastned/fastned-2025-annual-report.pdf#page=97" TargetMode="External" Id="rId1664"/><Relationship Type="http://schemas.openxmlformats.org/officeDocument/2006/relationships/hyperlink" Target="https://vanillabonds.com/dossier-data/pdf/fastned/fastned-2025-annual-report.pdf#page=98" TargetMode="External" Id="rId1665"/><Relationship Type="http://schemas.openxmlformats.org/officeDocument/2006/relationships/hyperlink" Target="https://vanillabonds.com/dossier-data/pdf/fastned/fastned-2025-annual-report.pdf#page=98" TargetMode="External" Id="rId1666"/><Relationship Type="http://schemas.openxmlformats.org/officeDocument/2006/relationships/hyperlink" Target="https://vanillabonds.com/dossier-data/pdf/fastned/fastned-2025-annual-report.pdf#page=98" TargetMode="External" Id="rId1667"/><Relationship Type="http://schemas.openxmlformats.org/officeDocument/2006/relationships/hyperlink" Target="https://vanillabonds.com/dossier-data/pdf/fastned/fastned-2025-annual-report.pdf#page=98" TargetMode="External" Id="rId1668"/><Relationship Type="http://schemas.openxmlformats.org/officeDocument/2006/relationships/hyperlink" Target="https://vanillabonds.com/dossier-data/pdf/fastned/fastned-2025-annual-report.pdf#page=98" TargetMode="External" Id="rId1669"/><Relationship Type="http://schemas.openxmlformats.org/officeDocument/2006/relationships/hyperlink" Target="https://vanillabonds.com/dossier-data/pdf/fastned/fastned-2025-annual-report.pdf#page=98" TargetMode="External" Id="rId1670"/><Relationship Type="http://schemas.openxmlformats.org/officeDocument/2006/relationships/hyperlink" Target="https://vanillabonds.com/dossier-data/pdf/fastned/fastned-2025-annual-report.pdf#page=98" TargetMode="External" Id="rId1671"/><Relationship Type="http://schemas.openxmlformats.org/officeDocument/2006/relationships/hyperlink" Target="https://vanillabonds.com/dossier-data/pdf/fastned/fastned-2025-annual-report.pdf#page=98" TargetMode="External" Id="rId1672"/><Relationship Type="http://schemas.openxmlformats.org/officeDocument/2006/relationships/hyperlink" Target="https://vanillabonds.com/dossier-data/pdf/fastned/fastned-2025-annual-report.pdf#page=98" TargetMode="External" Id="rId1673"/><Relationship Type="http://schemas.openxmlformats.org/officeDocument/2006/relationships/hyperlink" Target="https://vanillabonds.com/dossier-data/pdf/fastned/fastned-2025-annual-report.pdf#page=188" TargetMode="External" Id="rId1674"/><Relationship Type="http://schemas.openxmlformats.org/officeDocument/2006/relationships/hyperlink" Target="https://vanillabonds.com/dossier-data/pdf/fastned/fastned-2025-annual-report.pdf#page=192" TargetMode="External" Id="rId1675"/><Relationship Type="http://schemas.openxmlformats.org/officeDocument/2006/relationships/hyperlink" Target="https://vanillabonds.com/dossier-data/pdf/fastned/fastned-2025-annual-report.pdf#page=192" TargetMode="External" Id="rId1676"/><Relationship Type="http://schemas.openxmlformats.org/officeDocument/2006/relationships/hyperlink" Target="https://vanillabonds.com/dossier-data/pdf/fastned/fastned-2025-annual-report.pdf#page=192" TargetMode="External" Id="rId1677"/><Relationship Type="http://schemas.openxmlformats.org/officeDocument/2006/relationships/hyperlink" Target="https://vanillabonds.com/dossier-data/pdf/fastned/fastned-2025-annual-report.pdf#page=192" TargetMode="External" Id="rId1678"/><Relationship Type="http://schemas.openxmlformats.org/officeDocument/2006/relationships/hyperlink" Target="https://vanillabonds.com/dossier-data/pdf/fastned/fastned-2025-annual-report.pdf#page=192" TargetMode="External" Id="rId1679"/><Relationship Type="http://schemas.openxmlformats.org/officeDocument/2006/relationships/hyperlink" Target="https://vanillabonds.com/dossier-data/pdf/fastned/fastned-2025-annual-report.pdf#page=192" TargetMode="External" Id="rId1680"/><Relationship Type="http://schemas.openxmlformats.org/officeDocument/2006/relationships/hyperlink" Target="https://vanillabonds.com/dossier-data/pdf/fastned/fastned-2025-annual-report.pdf#page=192" TargetMode="External" Id="rId1681"/><Relationship Type="http://schemas.openxmlformats.org/officeDocument/2006/relationships/hyperlink" Target="https://vanillabonds.com/dossier-data/pdf/fastned/fastned-2025-annual-report.pdf#page=193" TargetMode="External" Id="rId1682"/><Relationship Type="http://schemas.openxmlformats.org/officeDocument/2006/relationships/hyperlink" Target="https://vanillabonds.com/dossier-data/pdf/fastned/fastned-2025-annual-report.pdf#page=194" TargetMode="External" Id="rId1683"/><Relationship Type="http://schemas.openxmlformats.org/officeDocument/2006/relationships/hyperlink" Target="https://vanillabonds.com/dossier-data/pdf/fastned/fastned-2025-annual-report.pdf#page=194" TargetMode="External" Id="rId1684"/><Relationship Type="http://schemas.openxmlformats.org/officeDocument/2006/relationships/hyperlink" Target="https://vanillabonds.com/dossier-data/pdf/fastned/fastned-2025-annual-report.pdf#page=195" TargetMode="External" Id="rId1685"/><Relationship Type="http://schemas.openxmlformats.org/officeDocument/2006/relationships/hyperlink" Target="https://vanillabonds.com/dossier-data/pdf/fastned/fastned-2025-annual-report.pdf#page=184" TargetMode="External" Id="rId1686"/><Relationship Type="http://schemas.openxmlformats.org/officeDocument/2006/relationships/hyperlink" Target="https://vanillabonds.com/dossier-data/pdf/fastned/fastned-2025-annual-report.pdf#page=239" TargetMode="External" Id="rId1687"/><Relationship Type="http://schemas.openxmlformats.org/officeDocument/2006/relationships/hyperlink" Target="https://vanillabonds.com/dossier-data/pdf/fastned/fastned-2025-annual-report.pdf#page=11" TargetMode="External" Id="rId1688"/><Relationship Type="http://schemas.openxmlformats.org/officeDocument/2006/relationships/hyperlink" Target="https://vanillabonds.com/dossier-data/pdf/fastned/fastned-2025-annual-report.pdf#page=37" TargetMode="External" Id="rId1689"/><Relationship Type="http://schemas.openxmlformats.org/officeDocument/2006/relationships/hyperlink" Target="https://vanillabonds.com/dossier-data/pdf/fastned/fastned-2025-annual-report.pdf#page=38" TargetMode="External" Id="rId1690"/><Relationship Type="http://schemas.openxmlformats.org/officeDocument/2006/relationships/hyperlink" Target="https://vanillabonds.com/dossier-data/pdf/fastned/fastned-2025-annual-report.pdf#page=38" TargetMode="External" Id="rId1691"/><Relationship Type="http://schemas.openxmlformats.org/officeDocument/2006/relationships/hyperlink" Target="https://vanillabonds.com/dossier-data/pdf/fastned/fastned-2025-annual-report.pdf#page=38" TargetMode="External" Id="rId1692"/><Relationship Type="http://schemas.openxmlformats.org/officeDocument/2006/relationships/hyperlink" Target="https://vanillabonds.com/dossier-data/pdf/fastned/fastned-2025-annual-report.pdf#page=38" TargetMode="External" Id="rId1693"/><Relationship Type="http://schemas.openxmlformats.org/officeDocument/2006/relationships/hyperlink" Target="https://vanillabonds.com/dossier-data/pdf/fastned/fastned-2025-annual-report.pdf#page=39" TargetMode="External" Id="rId1694"/><Relationship Type="http://schemas.openxmlformats.org/officeDocument/2006/relationships/hyperlink" Target="https://vanillabonds.com/dossier-data/pdf/fastned/fastned-2025-annual-report.pdf#page=39" TargetMode="External" Id="rId1695"/><Relationship Type="http://schemas.openxmlformats.org/officeDocument/2006/relationships/hyperlink" Target="https://vanillabonds.com/dossier-data/pdf/fastned/fastned-2025-annual-report.pdf#page=41" TargetMode="External" Id="rId1696"/><Relationship Type="http://schemas.openxmlformats.org/officeDocument/2006/relationships/hyperlink" Target="https://vanillabonds.com/dossier-data/pdf/fastned/fastned-2025-annual-report.pdf#page=41" TargetMode="External" Id="rId1697"/><Relationship Type="http://schemas.openxmlformats.org/officeDocument/2006/relationships/hyperlink" Target="https://vanillabonds.com/dossier-data/pdf/fastned/fastned-2025-annual-report.pdf#page=50" TargetMode="External" Id="rId1698"/><Relationship Type="http://schemas.openxmlformats.org/officeDocument/2006/relationships/hyperlink" Target="https://vanillabonds.com/dossier-data/pdf/fastned/fastned-2025-annual-report.pdf#page=51" TargetMode="External" Id="rId1699"/><Relationship Type="http://schemas.openxmlformats.org/officeDocument/2006/relationships/hyperlink" Target="https://vanillabonds.com/dossier-data/pdf/fastned/fastned-2025-annual-report.pdf#page=51" TargetMode="External" Id="rId1700"/><Relationship Type="http://schemas.openxmlformats.org/officeDocument/2006/relationships/hyperlink" Target="https://vanillabonds.com/dossier-data/pdf/fastned/fastned-2025-annual-report.pdf#page=51" TargetMode="External" Id="rId1701"/><Relationship Type="http://schemas.openxmlformats.org/officeDocument/2006/relationships/hyperlink" Target="https://vanillabonds.com/dossier-data/pdf/fastned/fastned-2025-annual-report.pdf#page=53" TargetMode="External" Id="rId1702"/><Relationship Type="http://schemas.openxmlformats.org/officeDocument/2006/relationships/hyperlink" Target="https://vanillabonds.com/dossier-data/pdf/fastned/fastned-2025-annual-report.pdf#page=56" TargetMode="External" Id="rId1703"/><Relationship Type="http://schemas.openxmlformats.org/officeDocument/2006/relationships/hyperlink" Target="https://vanillabonds.com/dossier-data/pdf/fastned/fastned-2025-annual-report.pdf#page=56" TargetMode="External" Id="rId1704"/><Relationship Type="http://schemas.openxmlformats.org/officeDocument/2006/relationships/hyperlink" Target="https://vanillabonds.com/dossier-data/pdf/fastned/fastned-2025-annual-report.pdf#page=57" TargetMode="External" Id="rId1705"/><Relationship Type="http://schemas.openxmlformats.org/officeDocument/2006/relationships/hyperlink" Target="https://vanillabonds.com/dossier-data/pdf/fastned/fastned-2025-annual-report.pdf#page=57" TargetMode="External" Id="rId1706"/><Relationship Type="http://schemas.openxmlformats.org/officeDocument/2006/relationships/hyperlink" Target="https://vanillabonds.com/dossier-data/pdf/fastned/fastned-2025-annual-report.pdf#page=58" TargetMode="External" Id="rId1707"/><Relationship Type="http://schemas.openxmlformats.org/officeDocument/2006/relationships/hyperlink" Target="https://vanillabonds.com/dossier-data/pdf/fastned/fastned-2025-annual-report.pdf#page=58" TargetMode="External" Id="rId1708"/><Relationship Type="http://schemas.openxmlformats.org/officeDocument/2006/relationships/hyperlink" Target="https://vanillabonds.com/dossier-data/pdf/fastned/fastned-2025-annual-report.pdf#page=58" TargetMode="External" Id="rId1709"/><Relationship Type="http://schemas.openxmlformats.org/officeDocument/2006/relationships/hyperlink" Target="https://vanillabonds.com/dossier-data/pdf/fastned/fastned-2025-annual-report.pdf#page=59" TargetMode="External" Id="rId1710"/><Relationship Type="http://schemas.openxmlformats.org/officeDocument/2006/relationships/hyperlink" Target="https://vanillabonds.com/dossier-data/pdf/fastned/fastned-2025-annual-report.pdf#page=59" TargetMode="External" Id="rId1711"/><Relationship Type="http://schemas.openxmlformats.org/officeDocument/2006/relationships/hyperlink" Target="https://vanillabonds.com/dossier-data/pdf/fastned/fastned-2025-annual-report.pdf#page=59" TargetMode="External" Id="rId1712"/><Relationship Type="http://schemas.openxmlformats.org/officeDocument/2006/relationships/hyperlink" Target="https://vanillabonds.com/dossier-data/pdf/fastned/fastned-2025-annual-report.pdf#page=60" TargetMode="External" Id="rId1713"/><Relationship Type="http://schemas.openxmlformats.org/officeDocument/2006/relationships/hyperlink" Target="https://vanillabonds.com/dossier-data/pdf/fastned/fastned-2025-annual-report.pdf#page=63" TargetMode="External" Id="rId1714"/><Relationship Type="http://schemas.openxmlformats.org/officeDocument/2006/relationships/hyperlink" Target="https://vanillabonds.com/dossier-data/pdf/fastned/fastned-2025-annual-report.pdf#page=63" TargetMode="External" Id="rId1715"/><Relationship Type="http://schemas.openxmlformats.org/officeDocument/2006/relationships/hyperlink" Target="https://vanillabonds.com/dossier-data/pdf/fastned/fastned-2025-annual-report.pdf#page=63" TargetMode="External" Id="rId1716"/><Relationship Type="http://schemas.openxmlformats.org/officeDocument/2006/relationships/hyperlink" Target="https://vanillabonds.com/dossier-data/pdf/fastned/fastned-2025-annual-report.pdf#page=63" TargetMode="External" Id="rId1717"/><Relationship Type="http://schemas.openxmlformats.org/officeDocument/2006/relationships/hyperlink" Target="https://vanillabonds.com/dossier-data/pdf/fastned/fastned-2025-annual-report.pdf#page=64" TargetMode="External" Id="rId1718"/><Relationship Type="http://schemas.openxmlformats.org/officeDocument/2006/relationships/hyperlink" Target="https://vanillabonds.com/dossier-data/pdf/fastned/fastned-2025-annual-report.pdf#page=64" TargetMode="External" Id="rId1719"/><Relationship Type="http://schemas.openxmlformats.org/officeDocument/2006/relationships/hyperlink" Target="https://vanillabonds.com/dossier-data/pdf/fastned/fastned-2025-annual-report.pdf#page=65" TargetMode="External" Id="rId1720"/><Relationship Type="http://schemas.openxmlformats.org/officeDocument/2006/relationships/hyperlink" Target="https://vanillabonds.com/dossier-data/pdf/fastned/fastned-2025-annual-report.pdf#page=65" TargetMode="External" Id="rId1721"/><Relationship Type="http://schemas.openxmlformats.org/officeDocument/2006/relationships/hyperlink" Target="https://vanillabonds.com/dossier-data/pdf/fastned/fastned-2025-annual-report.pdf#page=71" TargetMode="External" Id="rId1722"/><Relationship Type="http://schemas.openxmlformats.org/officeDocument/2006/relationships/hyperlink" Target="https://vanillabonds.com/dossier-data/pdf/fastned/fastned-2025-annual-report.pdf#page=71" TargetMode="External" Id="rId1723"/><Relationship Type="http://schemas.openxmlformats.org/officeDocument/2006/relationships/hyperlink" Target="https://vanillabonds.com/dossier-data/pdf/fastned/fastned-2025-annual-report.pdf#page=72" TargetMode="External" Id="rId1724"/><Relationship Type="http://schemas.openxmlformats.org/officeDocument/2006/relationships/hyperlink" Target="https://vanillabonds.com/dossier-data/pdf/fastned/fastned-2025-annual-report.pdf#page=88" TargetMode="External" Id="rId1725"/><Relationship Type="http://schemas.openxmlformats.org/officeDocument/2006/relationships/hyperlink" Target="https://vanillabonds.com/dossier-data/pdf/fastned/fastned-2025-annual-report.pdf#page=111" TargetMode="External" Id="rId1726"/><Relationship Type="http://schemas.openxmlformats.org/officeDocument/2006/relationships/hyperlink" Target="https://vanillabonds.com/dossier-data/pdf/fastned/fastned-2025-annual-report.pdf#page=150" TargetMode="External" Id="rId1727"/><Relationship Type="http://schemas.openxmlformats.org/officeDocument/2006/relationships/hyperlink" Target="https://vanillabonds.com/dossier-data/pdf/fastned/fastned-2025-annual-report.pdf#page=180" TargetMode="External" Id="rId1728"/><Relationship Type="http://schemas.openxmlformats.org/officeDocument/2006/relationships/hyperlink" Target="https://vanillabonds.com/dossier-data/pdf/fastned/fastned-2025-annual-report.pdf#page=230" TargetMode="External" Id="rId1729"/><Relationship Type="http://schemas.openxmlformats.org/officeDocument/2006/relationships/hyperlink" Target="https://vanillabonds.com/dossier-data/pdf/fastned/fastned-2025-annual-report.pdf#page=233" TargetMode="External" Id="rId1730"/><Relationship Type="http://schemas.openxmlformats.org/officeDocument/2006/relationships/hyperlink" Target="https://vanillabonds.com/dossier-data/pdf/fastned/fastned-2025-annual-report.pdf#page=237" TargetMode="External" Id="rId1731"/><Relationship Type="http://schemas.openxmlformats.org/officeDocument/2006/relationships/hyperlink" Target="https://vanillabonds.com/dossier-data/pdf/fastned/fastned-2025-annual-report.pdf#page=238" TargetMode="External" Id="rId1732"/><Relationship Type="http://schemas.openxmlformats.org/officeDocument/2006/relationships/hyperlink" Target="https://vanillabonds.com/dossier-data/pdf/fastned/fastned-2025-annual-report.pdf#page=238" TargetMode="External" Id="rId1733"/><Relationship Type="http://schemas.openxmlformats.org/officeDocument/2006/relationships/hyperlink" Target="https://vanillabonds.com/dossier-data/pdf/fastned/fastned-2025-annual-report.pdf#page=239" TargetMode="External" Id="rId1734"/><Relationship Type="http://schemas.openxmlformats.org/officeDocument/2006/relationships/hyperlink" Target="https://vanillabonds.com/dossier-data/pdf/fastned/fastned-2025-annual-report.pdf#page=239" TargetMode="External" Id="rId1735"/><Relationship Type="http://schemas.openxmlformats.org/officeDocument/2006/relationships/hyperlink" Target="https://vanillabonds.com/dossier-data/pdf/fastned/fastned-2025-annual-report.pdf#page=239" TargetMode="External" Id="rId1736"/><Relationship Type="http://schemas.openxmlformats.org/officeDocument/2006/relationships/hyperlink" Target="https://vanillabonds.com/dossier-data/pdf/fastned/fastned-2025-annual-report.pdf#page=240" TargetMode="External" Id="rId1737"/><Relationship Type="http://schemas.openxmlformats.org/officeDocument/2006/relationships/hyperlink" Target="https://vanillabonds.com/dossier-data/pdf/fastned/fastned-2025-annual-report.pdf#page=241" TargetMode="External" Id="rId1738"/><Relationship Type="http://schemas.openxmlformats.org/officeDocument/2006/relationships/hyperlink" Target="https://vanillabonds.com/dossier-data/pdf/fastned/fastned-2025-annual-report.pdf#page=242" TargetMode="External" Id="rId1739"/><Relationship Type="http://schemas.openxmlformats.org/officeDocument/2006/relationships/hyperlink" Target="https://vanillabonds.com/dossier-data/pdf/fastned/fastned-2025-annual-report.pdf#page=173" TargetMode="External" Id="rId1740"/><Relationship Type="http://schemas.openxmlformats.org/officeDocument/2006/relationships/hyperlink" Target="https://vanillabonds.com/dossier-data/pdf/fastned/fastned-2025-annual-report.pdf#page=173" TargetMode="External" Id="rId1741"/><Relationship Type="http://schemas.openxmlformats.org/officeDocument/2006/relationships/hyperlink" Target="https://vanillabonds.com/dossier-data/pdf/fastned/fastned-2025-annual-report.pdf#page=173" TargetMode="External" Id="rId1742"/><Relationship Type="http://schemas.openxmlformats.org/officeDocument/2006/relationships/hyperlink" Target="https://vanillabonds.com/dossier-data/pdf/fastned/fastned-2025-annual-report.pdf#page=173" TargetMode="External" Id="rId1743"/><Relationship Type="http://schemas.openxmlformats.org/officeDocument/2006/relationships/hyperlink" Target="https://vanillabonds.com/dossier-data/pdf/fastned/fastned-2025-annual-report.pdf#page=173" TargetMode="External" Id="rId1744"/><Relationship Type="http://schemas.openxmlformats.org/officeDocument/2006/relationships/hyperlink" Target="https://vanillabonds.com/dossier-data/pdf/fastned/fastned-2025-annual-report.pdf#page=195" TargetMode="External" Id="rId1745"/><Relationship Type="http://schemas.openxmlformats.org/officeDocument/2006/relationships/hyperlink" Target="https://vanillabonds.com/dossier-data/pdf/fastned/fastned-2025-annual-report.pdf#page=235" TargetMode="External" Id="rId1746"/><Relationship Type="http://schemas.openxmlformats.org/officeDocument/2006/relationships/hyperlink" Target="https://vanillabonds.com/dossier-data/pdf/fastned/fastned-h1-2026-interim-report.pdf#page=32" TargetMode="External" Id="rId1747"/><Relationship Type="http://schemas.openxmlformats.org/officeDocument/2006/relationships/hyperlink" Target="https://vanillabonds.com/dossier-data/pdf/fastned/fastned-h1-2026-interim-report.pdf#page=32" TargetMode="External" Id="rId1748"/><Relationship Type="http://schemas.openxmlformats.org/officeDocument/2006/relationships/hyperlink" Target="https://vanillabonds.com/dossier-data/pdf/fastned/fastned-h1-2026-interim-report.pdf#page=32" TargetMode="External" Id="rId1749"/><Relationship Type="http://schemas.openxmlformats.org/officeDocument/2006/relationships/hyperlink" Target="https://vanillabonds.com/dossier-data/pdf/fastned/fastned-h1-2026-interim-report.pdf#page=5" TargetMode="External" Id="rId1750"/><Relationship Type="http://schemas.openxmlformats.org/officeDocument/2006/relationships/hyperlink" Target="https://vanillabonds.com/dossier-data/pdf/fastned/fastned-h1-2026-interim-report.pdf#page=32" TargetMode="External" Id="rId1751"/><Relationship Type="http://schemas.openxmlformats.org/officeDocument/2006/relationships/hyperlink" Target="https://vanillabonds.com/dossier-data/pdf/fastned/fastned-h1-2026-interim-report.pdf#page=32" TargetMode="External" Id="rId1752"/><Relationship Type="http://schemas.openxmlformats.org/officeDocument/2006/relationships/hyperlink" Target="https://vanillabonds.com/dossier-data/pdf/fastned/fastned-h1-2026-interim-report.pdf#page=32" TargetMode="External" Id="rId1753"/><Relationship Type="http://schemas.openxmlformats.org/officeDocument/2006/relationships/hyperlink" Target="https://vanillabonds.com/dossier-data/pdf/fastned/fastned-h1-2026-interim-report.pdf#page=39" TargetMode="External" Id="rId1754"/><Relationship Type="http://schemas.openxmlformats.org/officeDocument/2006/relationships/hyperlink" Target="https://vanillabonds.com/dossier-data/pdf/fastned/fastned-h1-2026-interim-report.pdf#page=39" TargetMode="External" Id="rId1755"/><Relationship Type="http://schemas.openxmlformats.org/officeDocument/2006/relationships/hyperlink" Target="https://vanillabonds.com/dossier-data/pdf/fastned/fastned-h1-2026-interim-report.pdf#page=39" TargetMode="External" Id="rId1756"/><Relationship Type="http://schemas.openxmlformats.org/officeDocument/2006/relationships/hyperlink" Target="https://vanillabonds.com/dossier-data/pdf/fastned/fastned-h1-2026-interim-report.pdf#page=39" TargetMode="External" Id="rId1757"/><Relationship Type="http://schemas.openxmlformats.org/officeDocument/2006/relationships/hyperlink" Target="https://vanillabonds.com/dossier-data/pdf/fastned/fastned-h1-2026-interim-report.pdf#page=32" TargetMode="External" Id="rId1758"/><Relationship Type="http://schemas.openxmlformats.org/officeDocument/2006/relationships/hyperlink" Target="https://vanillabonds.com/dossier-data/pdf/fastned/fastned-h1-2026-interim-report.pdf#page=51" TargetMode="External" Id="rId1759"/><Relationship Type="http://schemas.openxmlformats.org/officeDocument/2006/relationships/hyperlink" Target="https://vanillabonds.com/dossier-data/pdf/fastned/fastned-h1-2026-interim-report.pdf#page=27" TargetMode="External" Id="rId1760"/><Relationship Type="http://schemas.openxmlformats.org/officeDocument/2006/relationships/hyperlink" Target="https://vanillabonds.com/dossier-data/pdf/fastned/fastned-h1-2026-interim-report.pdf#page=32" TargetMode="External" Id="rId1761"/><Relationship Type="http://schemas.openxmlformats.org/officeDocument/2006/relationships/hyperlink" Target="https://vanillabonds.com/dossier-data/pdf/fastned/fastned-h1-2026-interim-report.pdf#page=33" TargetMode="External" Id="rId1762"/><Relationship Type="http://schemas.openxmlformats.org/officeDocument/2006/relationships/hyperlink" Target="https://vanillabonds.com/dossier-data/pdf/fastned/fastned-h1-2026-interim-report.pdf#page=3" TargetMode="External" Id="rId1763"/><Relationship Type="http://schemas.openxmlformats.org/officeDocument/2006/relationships/hyperlink" Target="https://vanillabonds.com/dossier-data/pdf/fastned/fastned-h1-2026-interim-report.pdf#page=4" TargetMode="External" Id="rId1764"/><Relationship Type="http://schemas.openxmlformats.org/officeDocument/2006/relationships/hyperlink" Target="https://vanillabonds.com/dossier-data/pdf/fastned/fastned-h1-2026-interim-report.pdf#page=4" TargetMode="External" Id="rId1765"/><Relationship Type="http://schemas.openxmlformats.org/officeDocument/2006/relationships/hyperlink" Target="https://vanillabonds.com/dossier-data/pdf/fastned/fastned-h1-2026-interim-report.pdf#page=4" TargetMode="External" Id="rId1766"/><Relationship Type="http://schemas.openxmlformats.org/officeDocument/2006/relationships/hyperlink" Target="https://vanillabonds.com/dossier-data/pdf/fastned/fastned-h1-2026-interim-report.pdf#page=6" TargetMode="External" Id="rId1767"/><Relationship Type="http://schemas.openxmlformats.org/officeDocument/2006/relationships/hyperlink" Target="https://vanillabonds.com/dossier-data/pdf/fastned/fastned-h1-2026-interim-report.pdf#page=8" TargetMode="External" Id="rId1768"/><Relationship Type="http://schemas.openxmlformats.org/officeDocument/2006/relationships/hyperlink" Target="https://vanillabonds.com/dossier-data/pdf/fastned/fastned-h1-2026-interim-report.pdf#page=8" TargetMode="External" Id="rId1769"/><Relationship Type="http://schemas.openxmlformats.org/officeDocument/2006/relationships/hyperlink" Target="https://vanillabonds.com/dossier-data/pdf/fastned/fastned-h1-2026-interim-report.pdf#page=8" TargetMode="External" Id="rId1770"/><Relationship Type="http://schemas.openxmlformats.org/officeDocument/2006/relationships/hyperlink" Target="https://vanillabonds.com/dossier-data/pdf/fastned/fastned-h1-2026-interim-report.pdf#page=8" TargetMode="External" Id="rId1771"/><Relationship Type="http://schemas.openxmlformats.org/officeDocument/2006/relationships/hyperlink" Target="https://vanillabonds.com/dossier-data/pdf/fastned/fastned-h1-2026-interim-report.pdf#page=10" TargetMode="External" Id="rId1772"/><Relationship Type="http://schemas.openxmlformats.org/officeDocument/2006/relationships/hyperlink" Target="https://vanillabonds.com/dossier-data/pdf/fastned/fastned-h1-2026-interim-report.pdf#page=10" TargetMode="External" Id="rId1773"/><Relationship Type="http://schemas.openxmlformats.org/officeDocument/2006/relationships/hyperlink" Target="https://vanillabonds.com/dossier-data/pdf/fastned/fastned-h1-2026-interim-report.pdf#page=10" TargetMode="External" Id="rId1774"/><Relationship Type="http://schemas.openxmlformats.org/officeDocument/2006/relationships/hyperlink" Target="https://vanillabonds.com/dossier-data/pdf/fastned/fastned-h1-2026-interim-report.pdf#page=11" TargetMode="External" Id="rId1775"/><Relationship Type="http://schemas.openxmlformats.org/officeDocument/2006/relationships/hyperlink" Target="https://vanillabonds.com/dossier-data/pdf/fastned/fastned-h1-2026-interim-report.pdf#page=12" TargetMode="External" Id="rId1776"/><Relationship Type="http://schemas.openxmlformats.org/officeDocument/2006/relationships/hyperlink" Target="https://vanillabonds.com/dossier-data/pdf/fastned/fastned-h1-2026-interim-report.pdf#page=12" TargetMode="External" Id="rId1777"/><Relationship Type="http://schemas.openxmlformats.org/officeDocument/2006/relationships/hyperlink" Target="https://vanillabonds.com/dossier-data/pdf/fastned/fastned-h1-2026-interim-report.pdf#page=12" TargetMode="External" Id="rId1778"/><Relationship Type="http://schemas.openxmlformats.org/officeDocument/2006/relationships/hyperlink" Target="https://vanillabonds.com/dossier-data/pdf/fastned/fastned-h1-2026-interim-report.pdf#page=12" TargetMode="External" Id="rId1779"/><Relationship Type="http://schemas.openxmlformats.org/officeDocument/2006/relationships/hyperlink" Target="https://vanillabonds.com/dossier-data/pdf/fastned/fastned-h1-2026-interim-report.pdf#page=17" TargetMode="External" Id="rId1780"/><Relationship Type="http://schemas.openxmlformats.org/officeDocument/2006/relationships/hyperlink" Target="https://vanillabonds.com/dossier-data/pdf/fastned/fastned-h1-2026-interim-report.pdf#page=17" TargetMode="External" Id="rId1781"/><Relationship Type="http://schemas.openxmlformats.org/officeDocument/2006/relationships/hyperlink" Target="https://vanillabonds.com/dossier-data/pdf/fastned/fastned-h1-2026-interim-report.pdf#page=17" TargetMode="External" Id="rId1782"/><Relationship Type="http://schemas.openxmlformats.org/officeDocument/2006/relationships/hyperlink" Target="https://vanillabonds.com/dossier-data/pdf/fastned/fastned-h1-2026-interim-report.pdf#page=17" TargetMode="External" Id="rId1783"/><Relationship Type="http://schemas.openxmlformats.org/officeDocument/2006/relationships/hyperlink" Target="https://vanillabonds.com/dossier-data/pdf/fastned/fastned-h1-2026-interim-report.pdf#page=17" TargetMode="External" Id="rId1784"/><Relationship Type="http://schemas.openxmlformats.org/officeDocument/2006/relationships/hyperlink" Target="https://vanillabonds.com/dossier-data/pdf/fastned/fastned-h1-2026-interim-report.pdf#page=17" TargetMode="External" Id="rId1785"/><Relationship Type="http://schemas.openxmlformats.org/officeDocument/2006/relationships/hyperlink" Target="https://vanillabonds.com/dossier-data/pdf/fastned/fastned-h1-2026-interim-report.pdf#page=17" TargetMode="External" Id="rId1786"/><Relationship Type="http://schemas.openxmlformats.org/officeDocument/2006/relationships/hyperlink" Target="https://vanillabonds.com/dossier-data/pdf/fastned/fastned-h1-2026-interim-report.pdf#page=18" TargetMode="External" Id="rId1787"/><Relationship Type="http://schemas.openxmlformats.org/officeDocument/2006/relationships/hyperlink" Target="https://vanillabonds.com/dossier-data/pdf/fastned/fastned-h1-2026-interim-report.pdf#page=18" TargetMode="External" Id="rId1788"/><Relationship Type="http://schemas.openxmlformats.org/officeDocument/2006/relationships/hyperlink" Target="https://vanillabonds.com/dossier-data/pdf/fastned/fastned-h1-2026-interim-report.pdf#page=18" TargetMode="External" Id="rId1789"/><Relationship Type="http://schemas.openxmlformats.org/officeDocument/2006/relationships/hyperlink" Target="https://vanillabonds.com/dossier-data/pdf/fastned/fastned-h1-2026-interim-report.pdf#page=18" TargetMode="External" Id="rId1790"/><Relationship Type="http://schemas.openxmlformats.org/officeDocument/2006/relationships/hyperlink" Target="https://vanillabonds.com/dossier-data/pdf/fastned/fastned-h1-2026-interim-report.pdf#page=22" TargetMode="External" Id="rId1791"/><Relationship Type="http://schemas.openxmlformats.org/officeDocument/2006/relationships/hyperlink" Target="https://vanillabonds.com/dossier-data/pdf/fastned/fastned-h1-2026-interim-report.pdf#page=25" TargetMode="External" Id="rId1792"/><Relationship Type="http://schemas.openxmlformats.org/officeDocument/2006/relationships/hyperlink" Target="https://vanillabonds.com/dossier-data/pdf/fastned/fastned-h1-2026-interim-report.pdf#page=27" TargetMode="External" Id="rId1793"/><Relationship Type="http://schemas.openxmlformats.org/officeDocument/2006/relationships/hyperlink" Target="https://vanillabonds.com/dossier-data/pdf/fastned/fastned-h1-2026-interim-report.pdf#page=29" TargetMode="External" Id="rId1794"/><Relationship Type="http://schemas.openxmlformats.org/officeDocument/2006/relationships/hyperlink" Target="https://vanillabonds.com/dossier-data/pdf/fastned/fastned-h1-2026-interim-report.pdf#page=30" TargetMode="External" Id="rId1795"/><Relationship Type="http://schemas.openxmlformats.org/officeDocument/2006/relationships/hyperlink" Target="https://vanillabonds.com/dossier-data/pdf/fastned/fastned-h1-2026-interim-report.pdf#page=30" TargetMode="External" Id="rId1796"/><Relationship Type="http://schemas.openxmlformats.org/officeDocument/2006/relationships/hyperlink" Target="https://vanillabonds.com/dossier-data/pdf/fastned/fastned-h1-2026-interim-report.pdf#page=30" TargetMode="External" Id="rId1797"/><Relationship Type="http://schemas.openxmlformats.org/officeDocument/2006/relationships/hyperlink" Target="https://vanillabonds.com/dossier-data/pdf/fastned/fastned-h1-2026-interim-report.pdf#page=32" TargetMode="External" Id="rId1798"/><Relationship Type="http://schemas.openxmlformats.org/officeDocument/2006/relationships/hyperlink" Target="https://vanillabonds.com/dossier-data/pdf/fastned/fastned-h1-2026-interim-report.pdf#page=35" TargetMode="External" Id="rId1799"/><Relationship Type="http://schemas.openxmlformats.org/officeDocument/2006/relationships/hyperlink" Target="https://vanillabonds.com/dossier-data/pdf/fastned/fastned-h1-2026-interim-report.pdf#page=39" TargetMode="External" Id="rId1800"/><Relationship Type="http://schemas.openxmlformats.org/officeDocument/2006/relationships/hyperlink" Target="https://vanillabonds.com/dossier-data/pdf/fastned/fastned-h1-2026-interim-report.pdf#page=40" TargetMode="External" Id="rId1801"/><Relationship Type="http://schemas.openxmlformats.org/officeDocument/2006/relationships/hyperlink" Target="https://vanillabonds.com/dossier-data/pdf/fastned/fastned-h1-2026-interim-report.pdf#page=42" TargetMode="External" Id="rId1802"/><Relationship Type="http://schemas.openxmlformats.org/officeDocument/2006/relationships/hyperlink" Target="https://vanillabonds.com/dossier-data/pdf/fastned/fastned-h1-2026-interim-report.pdf#page=45" TargetMode="External" Id="rId1803"/><Relationship Type="http://schemas.openxmlformats.org/officeDocument/2006/relationships/hyperlink" Target="https://vanillabonds.com/dossier-data/pdf/fastned/fastned-h1-2026-interim-report.pdf#page=46" TargetMode="External" Id="rId1804"/><Relationship Type="http://schemas.openxmlformats.org/officeDocument/2006/relationships/hyperlink" Target="https://vanillabonds.com/dossier-data/pdf/fastned/fastned-h1-2026-interim-report.pdf#page=46" TargetMode="External" Id="rId1805"/><Relationship Type="http://schemas.openxmlformats.org/officeDocument/2006/relationships/hyperlink" Target="https://vanillabonds.com/dossier-data/pdf/fastned/fastned-h1-2026-interim-report.pdf#page=47" TargetMode="External" Id="rId1806"/><Relationship Type="http://schemas.openxmlformats.org/officeDocument/2006/relationships/hyperlink" Target="https://vanillabonds.com/dossier-data/pdf/fastned/fastned-h1-2026-interim-report.pdf#page=47" TargetMode="External" Id="rId1807"/><Relationship Type="http://schemas.openxmlformats.org/officeDocument/2006/relationships/hyperlink" Target="https://vanillabonds.com/dossier-data/pdf/fastned/fastned-h1-2026-interim-report.pdf#page=47" TargetMode="External" Id="rId1808"/><Relationship Type="http://schemas.openxmlformats.org/officeDocument/2006/relationships/hyperlink" Target="https://vanillabonds.com/dossier-data/pdf/fastned/fastned-h1-2026-interim-report.pdf#page=49" TargetMode="External" Id="rId1809"/><Relationship Type="http://schemas.openxmlformats.org/officeDocument/2006/relationships/hyperlink" Target="https://vanillabonds.com/dossier-data/pdf/fastned/fastned-h1-2026-interim-report.pdf#page=2" TargetMode="External" Id="rId1810"/><Relationship Type="http://schemas.openxmlformats.org/officeDocument/2006/relationships/hyperlink" Target="https://vanillabonds.com/dossier-data/pdf/fastned/fastned-h1-2026-interim-report.pdf#page=8" TargetMode="External" Id="rId1811"/><Relationship Type="http://schemas.openxmlformats.org/officeDocument/2006/relationships/hyperlink" Target="https://vanillabonds.com/dossier-data/pdf/fastned/fastned-h1-2026-interim-report.pdf#page=12" TargetMode="External" Id="rId1812"/><Relationship Type="http://schemas.openxmlformats.org/officeDocument/2006/relationships/hyperlink" Target="https://vanillabonds.com/dossier-data/pdf/fastned/fastned-h1-2026-interim-report.pdf#page=12" TargetMode="External" Id="rId1813"/><Relationship Type="http://schemas.openxmlformats.org/officeDocument/2006/relationships/hyperlink" Target="https://vanillabonds.com/dossier-data/pdf/fastned/fastned-h1-2026-interim-report.pdf#page=12" TargetMode="External" Id="rId1814"/><Relationship Type="http://schemas.openxmlformats.org/officeDocument/2006/relationships/hyperlink" Target="https://vanillabonds.com/dossier-data/pdf/fastned/fastned-h1-2026-interim-report.pdf#page=48" TargetMode="External" Id="rId1815"/><Relationship Type="http://schemas.openxmlformats.org/officeDocument/2006/relationships/hyperlink" Target="https://vanillabonds.com/dossier-data/pdf/fastned/fastned-h1-2026-interim-report.pdf#page=49" TargetMode="External" Id="rId1816"/><Relationship Type="http://schemas.openxmlformats.org/officeDocument/2006/relationships/hyperlink" Target="https://vanillabonds.com/dossier-data/pdf/fastned/fastned-h1-2026-interim-report.pdf#page=49" TargetMode="External" Id="rId1817"/><Relationship Type="http://schemas.openxmlformats.org/officeDocument/2006/relationships/hyperlink" Target="https://vanillabonds.com/dossier-data/pdf/fastned/fastned-h1-2026-interim-report.pdf#page=17" TargetMode="External" Id="rId1818"/><Relationship Type="http://schemas.openxmlformats.org/officeDocument/2006/relationships/hyperlink" Target="https://vanillabonds.com/dossier-data/pdf/fastned/fastned-h1-2026-interim-report.pdf#page=25" TargetMode="External" Id="rId1819"/><Relationship Type="http://schemas.openxmlformats.org/officeDocument/2006/relationships/hyperlink" Target="https://vanillabonds.com/dossier-data/pdf/fastned/fastned-h1-2026-interim-report.pdf#page=25" TargetMode="External" Id="rId1820"/><Relationship Type="http://schemas.openxmlformats.org/officeDocument/2006/relationships/hyperlink" Target="https://vanillabonds.com/dossier-data/pdf/fastned/fastned-h1-2026-interim-report.pdf#page=17" TargetMode="External" Id="rId1821"/><Relationship Type="http://schemas.openxmlformats.org/officeDocument/2006/relationships/hyperlink" Target="https://vanillabonds.com/dossier-data/pdf/fastned/fastned-h1-2026-interim-report.pdf#page=22" TargetMode="External" Id="rId1822"/><Relationship Type="http://schemas.openxmlformats.org/officeDocument/2006/relationships/hyperlink" Target="https://vanillabonds.com/dossier-data/pdf/fastned/fastned-h1-2026-interim-report.pdf#page=22" TargetMode="External" Id="rId1823"/><Relationship Type="http://schemas.openxmlformats.org/officeDocument/2006/relationships/hyperlink" Target="https://vanillabonds.com/dossier-data/pdf/fastned/fastned-h1-2026-interim-report.pdf#page=17" TargetMode="External" Id="rId1824"/><Relationship Type="http://schemas.openxmlformats.org/officeDocument/2006/relationships/hyperlink" Target="https://vanillabonds.com/dossier-data/pdf/fastned/fastned-h1-2026-interim-report.pdf#page=17" TargetMode="External" Id="rId1825"/><Relationship Type="http://schemas.openxmlformats.org/officeDocument/2006/relationships/hyperlink" Target="https://vanillabonds.com/dossier-data/pdf/fastned/fastned-h1-2026-interim-report.pdf#page=17" TargetMode="External" Id="rId1826"/><Relationship Type="http://schemas.openxmlformats.org/officeDocument/2006/relationships/hyperlink" Target="https://vanillabonds.com/dossier-data/pdf/fastned/fastned-h1-2026-interim-report.pdf#page=25" TargetMode="External" Id="rId1827"/><Relationship Type="http://schemas.openxmlformats.org/officeDocument/2006/relationships/hyperlink" Target="https://vanillabonds.com/dossier-data/pdf/fastned/fastned-h1-2026-interim-report.pdf#page=25" TargetMode="External" Id="rId1828"/><Relationship Type="http://schemas.openxmlformats.org/officeDocument/2006/relationships/hyperlink" Target="https://vanillabonds.com/dossier-data/pdf/fastned/fastned-h1-2026-interim-report.pdf#page=17" TargetMode="External" Id="rId1829"/><Relationship Type="http://schemas.openxmlformats.org/officeDocument/2006/relationships/hyperlink" Target="https://vanillabonds.com/dossier-data/pdf/fastned/fastned-h1-2026-interim-report.pdf#page=25" TargetMode="External" Id="rId1830"/><Relationship Type="http://schemas.openxmlformats.org/officeDocument/2006/relationships/hyperlink" Target="https://vanillabonds.com/dossier-data/pdf/fastned/fastned-h1-2026-interim-report.pdf#page=25" TargetMode="External" Id="rId1831"/><Relationship Type="http://schemas.openxmlformats.org/officeDocument/2006/relationships/hyperlink" Target="https://vanillabonds.com/dossier-data/pdf/fastned/fastned-h1-2026-interim-report.pdf#page=17" TargetMode="External" Id="rId1832"/><Relationship Type="http://schemas.openxmlformats.org/officeDocument/2006/relationships/hyperlink" Target="https://vanillabonds.com/dossier-data/pdf/fastned/fastned-h1-2026-interim-report.pdf#page=29" TargetMode="External" Id="rId1833"/><Relationship Type="http://schemas.openxmlformats.org/officeDocument/2006/relationships/hyperlink" Target="https://vanillabonds.com/dossier-data/pdf/fastned/fastned-h1-2026-interim-report.pdf#page=29" TargetMode="External" Id="rId1834"/><Relationship Type="http://schemas.openxmlformats.org/officeDocument/2006/relationships/hyperlink" Target="https://vanillabonds.com/dossier-data/pdf/fastned/fastned-h1-2026-interim-report.pdf#page=17" TargetMode="External" Id="rId1835"/><Relationship Type="http://schemas.openxmlformats.org/officeDocument/2006/relationships/hyperlink" Target="https://vanillabonds.com/dossier-data/pdf/fastned/fastned-h1-2026-interim-report.pdf#page=17" TargetMode="External" Id="rId1836"/><Relationship Type="http://schemas.openxmlformats.org/officeDocument/2006/relationships/hyperlink" Target="https://vanillabonds.com/dossier-data/pdf/fastned/fastned-h1-2026-interim-report.pdf#page=17" TargetMode="External" Id="rId1837"/><Relationship Type="http://schemas.openxmlformats.org/officeDocument/2006/relationships/hyperlink" Target="https://vanillabonds.com/dossier-data/pdf/fastned/fastned-h1-2026-interim-report.pdf#page=29" TargetMode="External" Id="rId1838"/><Relationship Type="http://schemas.openxmlformats.org/officeDocument/2006/relationships/hyperlink" Target="https://vanillabonds.com/dossier-data/pdf/fastned/fastned-h1-2026-interim-report.pdf#page=29" TargetMode="External" Id="rId1839"/><Relationship Type="http://schemas.openxmlformats.org/officeDocument/2006/relationships/hyperlink" Target="https://vanillabonds.com/dossier-data/pdf/fastned/fastned-h1-2026-interim-report.pdf#page=29" TargetMode="External" Id="rId1840"/><Relationship Type="http://schemas.openxmlformats.org/officeDocument/2006/relationships/hyperlink" Target="https://vanillabonds.com/dossier-data/pdf/fastned/fastned-h1-2026-interim-report.pdf#page=29" TargetMode="External" Id="rId1841"/><Relationship Type="http://schemas.openxmlformats.org/officeDocument/2006/relationships/hyperlink" Target="https://vanillabonds.com/dossier-data/pdf/fastned/fastned-h1-2026-interim-report.pdf#page=30" TargetMode="External" Id="rId1842"/><Relationship Type="http://schemas.openxmlformats.org/officeDocument/2006/relationships/hyperlink" Target="https://vanillabonds.com/dossier-data/pdf/fastned/fastned-h1-2026-interim-report.pdf#page=27" TargetMode="External" Id="rId1843"/><Relationship Type="http://schemas.openxmlformats.org/officeDocument/2006/relationships/hyperlink" Target="https://vanillabonds.com/dossier-data/pdf/fastned/fastned-h1-2026-interim-report.pdf#page=30" TargetMode="External" Id="rId1844"/><Relationship Type="http://schemas.openxmlformats.org/officeDocument/2006/relationships/hyperlink" Target="https://vanillabonds.com/dossier-data/pdf/fastned/fastned-h1-2026-interim-report.pdf#page=27" TargetMode="External" Id="rId1845"/><Relationship Type="http://schemas.openxmlformats.org/officeDocument/2006/relationships/hyperlink" Target="https://vanillabonds.com/dossier-data/pdf/fastned/fastned-h1-2026-interim-report.pdf#page=43" TargetMode="External" Id="rId1846"/><Relationship Type="http://schemas.openxmlformats.org/officeDocument/2006/relationships/hyperlink" Target="https://vanillabonds.com/dossier-data/pdf/fastned/fastned-h1-2026-interim-report.pdf#page=43" TargetMode="External" Id="rId1847"/><Relationship Type="http://schemas.openxmlformats.org/officeDocument/2006/relationships/hyperlink" Target="https://vanillabonds.com/dossier-data/pdf/fastned/fastned-h1-2026-interim-report.pdf#page=27" TargetMode="External" Id="rId1848"/><Relationship Type="http://schemas.openxmlformats.org/officeDocument/2006/relationships/hyperlink" Target="https://vanillabonds.com/dossier-data/pdf/fastned/fastned-h1-2026-interim-report.pdf#page=27" TargetMode="External" Id="rId1849"/><Relationship Type="http://schemas.openxmlformats.org/officeDocument/2006/relationships/hyperlink" Target="https://vanillabonds.com/dossier-data/pdf/fastned/fastned-h1-2026-interim-report.pdf#page=28" TargetMode="External" Id="rId1850"/><Relationship Type="http://schemas.openxmlformats.org/officeDocument/2006/relationships/hyperlink" Target="https://vanillabonds.com/dossier-data/pdf/fastned/fastned-h1-2026-interim-report.pdf#page=27" TargetMode="External" Id="rId1851"/><Relationship Type="http://schemas.openxmlformats.org/officeDocument/2006/relationships/hyperlink" Target="https://vanillabonds.com/dossier-data/pdf/fastned/fastned-h1-2026-interim-report.pdf#page=28" TargetMode="External" Id="rId1852"/><Relationship Type="http://schemas.openxmlformats.org/officeDocument/2006/relationships/hyperlink" Target="https://vanillabonds.com/dossier-data/pdf/fastned/fastned-h1-2026-interim-report.pdf#page=27" TargetMode="External" Id="rId1853"/><Relationship Type="http://schemas.openxmlformats.org/officeDocument/2006/relationships/hyperlink" Target="https://vanillabonds.com/dossier-data/pdf/fastned/fastned-h1-2026-interim-report.pdf#page=27" TargetMode="External" Id="rId1854"/><Relationship Type="http://schemas.openxmlformats.org/officeDocument/2006/relationships/hyperlink" Target="https://vanillabonds.com/dossier-data/pdf/fastned/fastned-h1-2026-interim-report.pdf#page=27" TargetMode="External" Id="rId1855"/><Relationship Type="http://schemas.openxmlformats.org/officeDocument/2006/relationships/hyperlink" Target="https://vanillabonds.com/dossier-data/pdf/fastned/fastned-h1-2026-interim-report.pdf#page=43" TargetMode="External" Id="rId1856"/><Relationship Type="http://schemas.openxmlformats.org/officeDocument/2006/relationships/hyperlink" Target="https://vanillabonds.com/dossier-data/pdf/fastned/fastned-h1-2026-interim-report.pdf#page=43" TargetMode="External" Id="rId1857"/><Relationship Type="http://schemas.openxmlformats.org/officeDocument/2006/relationships/hyperlink" Target="https://vanillabonds.com/dossier-data/pdf/fastned/fastned-h1-2026-interim-report.pdf#page=43" TargetMode="External" Id="rId1858"/><Relationship Type="http://schemas.openxmlformats.org/officeDocument/2006/relationships/hyperlink" Target="https://vanillabonds.com/dossier-data/pdf/fastned/fastned-h1-2026-interim-report.pdf#page=43" TargetMode="External" Id="rId1859"/><Relationship Type="http://schemas.openxmlformats.org/officeDocument/2006/relationships/hyperlink" Target="https://vanillabonds.com/dossier-data/pdf/fastned/fastned-h1-2026-interim-report.pdf#page=43" TargetMode="External" Id="rId1860"/><Relationship Type="http://schemas.openxmlformats.org/officeDocument/2006/relationships/hyperlink" Target="https://vanillabonds.com/dossier-data/pdf/fastned/fastned-h1-2026-interim-report.pdf#page=43" TargetMode="External" Id="rId1861"/><Relationship Type="http://schemas.openxmlformats.org/officeDocument/2006/relationships/hyperlink" Target="https://vanillabonds.com/dossier-data/pdf/fastned/fastned-h1-2026-interim-report.pdf#page=43" TargetMode="External" Id="rId1862"/><Relationship Type="http://schemas.openxmlformats.org/officeDocument/2006/relationships/hyperlink" Target="https://vanillabonds.com/dossier-data/pdf/fastned/fastned-h1-2026-interim-report.pdf#page=43" TargetMode="External" Id="rId1863"/><Relationship Type="http://schemas.openxmlformats.org/officeDocument/2006/relationships/hyperlink" Target="https://vanillabonds.com/dossier-data/pdf/fastned/fastned-h1-2026-interim-report.pdf#page=43" TargetMode="External" Id="rId1864"/><Relationship Type="http://schemas.openxmlformats.org/officeDocument/2006/relationships/hyperlink" Target="https://vanillabonds.com/dossier-data/pdf/fastned/fastned-h1-2026-interim-report.pdf#page=43" TargetMode="External" Id="rId1865"/><Relationship Type="http://schemas.openxmlformats.org/officeDocument/2006/relationships/hyperlink" Target="https://vanillabonds.com/dossier-data/pdf/fastned/fastned-h1-2026-interim-report.pdf#page=43" TargetMode="External" Id="rId1866"/><Relationship Type="http://schemas.openxmlformats.org/officeDocument/2006/relationships/hyperlink" Target="https://vanillabonds.com/dossier-data/pdf/fastned/fastned-h1-2026-interim-report.pdf#page=43" TargetMode="External" Id="rId1867"/><Relationship Type="http://schemas.openxmlformats.org/officeDocument/2006/relationships/hyperlink" Target="https://vanillabonds.com/dossier-data/pdf/fastned/fastned-h1-2026-interim-report.pdf#page=43" TargetMode="External" Id="rId1868"/><Relationship Type="http://schemas.openxmlformats.org/officeDocument/2006/relationships/hyperlink" Target="https://vanillabonds.com/dossier-data/pdf/fastned/fastned-h1-2026-interim-report.pdf#page=43" TargetMode="External" Id="rId1869"/><Relationship Type="http://schemas.openxmlformats.org/officeDocument/2006/relationships/hyperlink" Target="https://vanillabonds.com/dossier-data/pdf/fastned/fastned-h1-2026-interim-report.pdf#page=43" TargetMode="External" Id="rId1870"/><Relationship Type="http://schemas.openxmlformats.org/officeDocument/2006/relationships/hyperlink" Target="https://vanillabonds.com/dossier-data/pdf/fastned/fastned-h1-2026-interim-report.pdf#page=43" TargetMode="External" Id="rId1871"/><Relationship Type="http://schemas.openxmlformats.org/officeDocument/2006/relationships/hyperlink" Target="https://vanillabonds.com/dossier-data/pdf/fastned/fastned-h1-2026-interim-report.pdf#page=43" TargetMode="External" Id="rId1872"/><Relationship Type="http://schemas.openxmlformats.org/officeDocument/2006/relationships/hyperlink" Target="https://vanillabonds.com/dossier-data/pdf/fastned/fastned-h1-2026-interim-report.pdf#page=43" TargetMode="External" Id="rId1873"/><Relationship Type="http://schemas.openxmlformats.org/officeDocument/2006/relationships/hyperlink" Target="https://vanillabonds.com/dossier-data/pdf/fastned/fastned-h1-2026-interim-report.pdf#page=43" TargetMode="External" Id="rId1874"/><Relationship Type="http://schemas.openxmlformats.org/officeDocument/2006/relationships/hyperlink" Target="https://vanillabonds.com/dossier-data/pdf/fastned/fastned-h1-2026-interim-report.pdf#page=44" TargetMode="External" Id="rId1875"/><Relationship Type="http://schemas.openxmlformats.org/officeDocument/2006/relationships/hyperlink" Target="https://vanillabonds.com/dossier-data/pdf/fastned/fastned-h1-2026-interim-report.pdf#page=44" TargetMode="External" Id="rId1876"/><Relationship Type="http://schemas.openxmlformats.org/officeDocument/2006/relationships/hyperlink" Target="https://vanillabonds.com/dossier-data/pdf/fastned/fastned-h1-2026-interim-report.pdf#page=44" TargetMode="External" Id="rId1877"/><Relationship Type="http://schemas.openxmlformats.org/officeDocument/2006/relationships/hyperlink" Target="https://vanillabonds.com/dossier-data/pdf/fastned/fastned-h1-2026-interim-report.pdf#page=48" TargetMode="External" Id="rId1878"/><Relationship Type="http://schemas.openxmlformats.org/officeDocument/2006/relationships/hyperlink" Target="https://vanillabonds.com/dossier-data/pdf/fastned/fastned-h1-2026-interim-report.pdf#page=19" TargetMode="External" Id="rId1879"/><Relationship Type="http://schemas.openxmlformats.org/officeDocument/2006/relationships/hyperlink" Target="https://vanillabonds.com/dossier-data/pdf/fastned/fastned-h1-2026-interim-report.pdf#page=23" TargetMode="External" Id="rId1880"/><Relationship Type="http://schemas.openxmlformats.org/officeDocument/2006/relationships/hyperlink" Target="https://vanillabonds.com/dossier-data/pdf/fastned/fastned-h1-2026-interim-report.pdf#page=23" TargetMode="External" Id="rId1881"/><Relationship Type="http://schemas.openxmlformats.org/officeDocument/2006/relationships/hyperlink" Target="https://vanillabonds.com/dossier-data/pdf/fastned/fastned-h1-2026-interim-report.pdf#page=23" TargetMode="External" Id="rId1882"/><Relationship Type="http://schemas.openxmlformats.org/officeDocument/2006/relationships/hyperlink" Target="https://vanillabonds.com/dossier-data/pdf/fastned/fastned-h1-2026-interim-report.pdf#page=23" TargetMode="External" Id="rId1883"/><Relationship Type="http://schemas.openxmlformats.org/officeDocument/2006/relationships/hyperlink" Target="https://vanillabonds.com/dossier-data/pdf/fastned/fastned-h1-2026-interim-report.pdf#page=23" TargetMode="External" Id="rId1884"/><Relationship Type="http://schemas.openxmlformats.org/officeDocument/2006/relationships/hyperlink" Target="https://vanillabonds.com/dossier-data/pdf/fastned/fastned-h1-2026-interim-report.pdf#page=23" TargetMode="External" Id="rId1885"/><Relationship Type="http://schemas.openxmlformats.org/officeDocument/2006/relationships/hyperlink" Target="https://vanillabonds.com/dossier-data/pdf/fastned/fastned-h1-2026-interim-report.pdf#page=27" TargetMode="External" Id="rId1886"/><Relationship Type="http://schemas.openxmlformats.org/officeDocument/2006/relationships/hyperlink" Target="https://vanillabonds.com/dossier-data/pdf/fastned/fastned-h1-2026-interim-report.pdf#page=32" TargetMode="External" Id="rId1887"/><Relationship Type="http://schemas.openxmlformats.org/officeDocument/2006/relationships/hyperlink" Target="https://vanillabonds.com/dossier-data/pdf/fastned/fastned-h1-2026-interim-report.pdf#page=33" TargetMode="External" Id="rId1888"/><Relationship Type="http://schemas.openxmlformats.org/officeDocument/2006/relationships/hyperlink" Target="https://vanillabonds.com/dossier-data/pdf/fastned/fastned-h1-2026-interim-report.pdf#page=33" TargetMode="External" Id="rId1889"/><Relationship Type="http://schemas.openxmlformats.org/officeDocument/2006/relationships/hyperlink" Target="https://vanillabonds.com/dossier-data/pdf/fastned/fastned-h1-2026-interim-report.pdf#page=35" TargetMode="External" Id="rId1890"/><Relationship Type="http://schemas.openxmlformats.org/officeDocument/2006/relationships/hyperlink" Target="https://vanillabonds.com/dossier-data/pdf/fastned/fastned-h1-2026-interim-report.pdf#page=36" TargetMode="External" Id="rId1891"/><Relationship Type="http://schemas.openxmlformats.org/officeDocument/2006/relationships/hyperlink" Target="https://vanillabonds.com/dossier-data/pdf/fastned/fastned-h1-2026-interim-report.pdf#page=46" TargetMode="External" Id="rId1892"/><Relationship Type="http://schemas.openxmlformats.org/officeDocument/2006/relationships/hyperlink" Target="https://vanillabonds.com/dossier-data/pdf/fastned/fastned-h1-2026-interim-report.pdf#page=2" TargetMode="External" Id="rId1893"/><Relationship Type="http://schemas.openxmlformats.org/officeDocument/2006/relationships/hyperlink" Target="https://vanillabonds.com/dossier-data/pdf/fastned/fastned-h1-2026-interim-report.pdf#page=5" TargetMode="External" Id="rId1894"/><Relationship Type="http://schemas.openxmlformats.org/officeDocument/2006/relationships/hyperlink" Target="https://vanillabonds.com/dossier-data/pdf/fastned/fastned-h1-2026-interim-report.pdf#page=9" TargetMode="External" Id="rId1895"/><Relationship Type="http://schemas.openxmlformats.org/officeDocument/2006/relationships/hyperlink" Target="https://vanillabonds.com/dossier-data/pdf/fastned/fastned-h1-2026-interim-report.pdf#page=11" TargetMode="External" Id="rId1896"/><Relationship Type="http://schemas.openxmlformats.org/officeDocument/2006/relationships/hyperlink" Target="https://vanillabonds.com/dossier-data/pdf/fastned/fastned-h1-2026-interim-report.pdf#page=13" TargetMode="External" Id="rId1897"/><Relationship Type="http://schemas.openxmlformats.org/officeDocument/2006/relationships/hyperlink" Target="https://vanillabonds.com/dossier-data/pdf/fastned/fastned-h1-2026-interim-report.pdf#page=50" TargetMode="External" Id="rId1898"/><Relationship Type="http://schemas.openxmlformats.org/officeDocument/2006/relationships/hyperlink" Target="https://vanillabonds.com/dossier-data/pdf/fastned/fastned-h1-2026-interim-report.pdf#page=23" TargetMode="External" Id="rId1899"/><Relationship Type="http://schemas.openxmlformats.org/officeDocument/2006/relationships/hyperlink" Target="https://vanillabonds.com/dossier-data/pdf/fastned/fastned-h1-2026-interim-report.pdf#page=27" TargetMode="External" Id="rId1900"/><Relationship Type="http://schemas.openxmlformats.org/officeDocument/2006/relationships/hyperlink" Target="https://vanillabonds.com/dossier-data/pdf/fastned/fastned-h1-2026-interim-report.pdf#page=36" TargetMode="External" Id="rId1901"/><Relationship Type="http://schemas.openxmlformats.org/officeDocument/2006/relationships/hyperlink" Target="https://vanillabonds.com/dossier-data/pdf/fastned/fastned-h1-2026-interim-report.pdf#page=39" TargetMode="External" Id="rId1902"/><Relationship Type="http://schemas.openxmlformats.org/officeDocument/2006/relationships/hyperlink" Target="https://vanillabonds.com/dossier-data/pdf/fastned/fastned-h1-2026-interim-report.pdf#page=46" TargetMode="External" Id="rId1903"/><Relationship Type="http://schemas.openxmlformats.org/officeDocument/2006/relationships/hyperlink" Target="https://vanillabonds.com/dossier-data/pdf/fastned/fastned-h1-2026-interim-report.pdf#page=48" TargetMode="External" Id="rId1904"/><Relationship Type="http://schemas.openxmlformats.org/officeDocument/2006/relationships/hyperlink" Target="https://vanillabonds.com/dossier-data/pdf/fastned/fastned-h1-2026-interim-report.pdf#page=23" TargetMode="External" Id="rId1905"/><Relationship Type="http://schemas.openxmlformats.org/officeDocument/2006/relationships/hyperlink" Target="https://vanillabonds.com/dossier-data/pdf/fastned/fastned-h1-2026-interim-report.pdf#page=33" TargetMode="External" Id="rId1906"/><Relationship Type="http://schemas.openxmlformats.org/officeDocument/2006/relationships/hyperlink" Target="https://vanillabonds.com/dossier-data/pdf/fastned/fastned-h1-2026-interim-report.pdf#page=33" TargetMode="External" Id="rId1907"/><Relationship Type="http://schemas.openxmlformats.org/officeDocument/2006/relationships/hyperlink" Target="https://vanillabonds.com/dossier-data/pdf/fastned/fastned-h1-2026-interim-report.pdf#page=37" TargetMode="External" Id="rId1908"/><Relationship Type="http://schemas.openxmlformats.org/officeDocument/2006/relationships/hyperlink" Target="https://vanillabonds.com/dossier-data/pdf/fastned/fastned-h1-2026-interim-report.pdf#page=9" TargetMode="External" Id="rId1909"/><Relationship Type="http://schemas.openxmlformats.org/officeDocument/2006/relationships/hyperlink" Target="https://vanillabonds.com/dossier-data/pdf/fastned/fastned-h1-2026-interim-report.pdf#page=15" TargetMode="External" Id="rId1910"/><Relationship Type="http://schemas.openxmlformats.org/officeDocument/2006/relationships/hyperlink" Target="https://vanillabonds.com/dossier-data/pdf/fastned/fastned-h1-2026-interim-report.pdf#page=15" TargetMode="External" Id="rId1911"/><Relationship Type="http://schemas.openxmlformats.org/officeDocument/2006/relationships/hyperlink" Target="https://vanillabonds.com/dossier-data/pdf/fastned/fastned-h1-2026-interim-report.pdf#page=15" TargetMode="External" Id="rId1912"/><Relationship Type="http://schemas.openxmlformats.org/officeDocument/2006/relationships/hyperlink" Target="https://vanillabonds.com/dossier-data/pdf/fastned/fastned-h1-2026-interim-report.pdf#page=15" TargetMode="External" Id="rId1913"/><Relationship Type="http://schemas.openxmlformats.org/officeDocument/2006/relationships/hyperlink" Target="https://vanillabonds.com/dossier-data/pdf/fastned/fastned-h1-2026-interim-report.pdf#page=15" TargetMode="External" Id="rId1914"/><Relationship Type="http://schemas.openxmlformats.org/officeDocument/2006/relationships/hyperlink" Target="https://vanillabonds.com/dossier-data/pdf/fastned/fastned-h1-2026-interim-report.pdf#page=37" TargetMode="External" Id="rId1915"/><Relationship Type="http://schemas.openxmlformats.org/officeDocument/2006/relationships/hyperlink" Target="https://vanillabonds.com/dossier-data/pdf/fastned/fastned-h1-2026-interim-report.pdf#page=39" TargetMode="External" Id="rId1916"/><Relationship Type="http://schemas.openxmlformats.org/officeDocument/2006/relationships/hyperlink" Target="https://vanillabonds.com/dossier-data/pdf/fastned/fastned-h1-2026-interim-report.pdf#page=39" TargetMode="External" Id="rId1917"/><Relationship Type="http://schemas.openxmlformats.org/officeDocument/2006/relationships/hyperlink" Target="https://vanillabonds.com/dossier-data/pdf/fastned/fastned-h1-2026-interim-report.pdf#page=12" TargetMode="External" Id="rId1918"/><Relationship Type="http://schemas.openxmlformats.org/officeDocument/2006/relationships/hyperlink" Target="https://vanillabonds.com/dossier-data/pdf/fastned/fastned-h1-2026-interim-report.pdf#page=35" TargetMode="External" Id="rId1919"/><Relationship Type="http://schemas.openxmlformats.org/officeDocument/2006/relationships/hyperlink" Target="https://vanillabonds.com/dossier-data/pdf/fastned/fastned-h1-2026-interim-report.pdf#page=48" TargetMode="External" Id="rId1920"/><Relationship Type="http://schemas.openxmlformats.org/officeDocument/2006/relationships/hyperlink" Target="https://vanillabonds.com/dossier-data/pdf/fastned/fastned-h1-2026-interim-report.pdf#page=43" TargetMode="External" Id="rId1921"/><Relationship Type="http://schemas.openxmlformats.org/officeDocument/2006/relationships/hyperlink" Target="https://vanillabonds.com/dossier-data/pdf/fastned/fastned-h1-2026-interim-report.pdf#page=43" TargetMode="External" Id="rId1922"/><Relationship Type="http://schemas.openxmlformats.org/officeDocument/2006/relationships/hyperlink" Target="https://vanillabonds.com/dossier-data/pdf/fastned/fastned-h1-2026-interim-report.pdf#page=12" TargetMode="External" Id="rId1923"/><Relationship Type="http://schemas.openxmlformats.org/officeDocument/2006/relationships/hyperlink" Target="https://vanillabonds.com/dossier-data/pdf/fastned/fastned-h1-2026-interim-report.pdf#page=46" TargetMode="External" Id="rId1924"/><Relationship Type="http://schemas.openxmlformats.org/officeDocument/2006/relationships/hyperlink" Target="https://vanillabonds.com/dossier-data/pdf/fastned/fastned-h1-2026-interim-report.pdf#page=44" TargetMode="External" Id="rId1925"/><Relationship Type="http://schemas.openxmlformats.org/officeDocument/2006/relationships/hyperlink" Target="https://vanillabonds.com/dossier-data/pdf/fastned/fastned-h1-2026-interim-report.pdf#page=32" TargetMode="External" Id="rId1926"/><Relationship Type="http://schemas.openxmlformats.org/officeDocument/2006/relationships/hyperlink" Target="https://vanillabonds.com/dossier-data/pdf/fastned/fastned-h1-2026-interim-report.pdf#page=32" TargetMode="External" Id="rId1927"/><Relationship Type="http://schemas.openxmlformats.org/officeDocument/2006/relationships/hyperlink" Target="https://vanillabonds.com/dossier-data/pdf/fastned/fastned-h1-2026-interim-report.pdf#page=32" TargetMode="External" Id="rId1928"/><Relationship Type="http://schemas.openxmlformats.org/officeDocument/2006/relationships/hyperlink" Target="https://vanillabonds.com/dossier-data/pdf/fastned/fastned-h1-2026-interim-report.pdf#page=32" TargetMode="External" Id="rId1929"/><Relationship Type="http://schemas.openxmlformats.org/officeDocument/2006/relationships/hyperlink" Target="https://vanillabonds.com/dossier-data/pdf/fastned/fastned-h1-2026-interim-report.pdf#page=32" TargetMode="External" Id="rId1930"/><Relationship Type="http://schemas.openxmlformats.org/officeDocument/2006/relationships/hyperlink" Target="https://vanillabonds.com/dossier-data/pdf/fastned/fastned-h1-2026-interim-report.pdf#page=32" TargetMode="External" Id="rId1931"/><Relationship Type="http://schemas.openxmlformats.org/officeDocument/2006/relationships/hyperlink" Target="https://vanillabonds.com/dossier-data/pdf/fastned/fastned-h1-2026-interim-report.pdf#page=32" TargetMode="External" Id="rId1932"/><Relationship Type="http://schemas.openxmlformats.org/officeDocument/2006/relationships/hyperlink" Target="https://vanillabonds.com/dossier-data/pdf/fastned/fastned-h1-2026-interim-report.pdf#page=32" TargetMode="External" Id="rId1933"/><Relationship Type="http://schemas.openxmlformats.org/officeDocument/2006/relationships/hyperlink" Target="https://vanillabonds.com/dossier-data/pdf/fastned/fastned-h1-2026-interim-report.pdf#page=32" TargetMode="External" Id="rId1934"/><Relationship Type="http://schemas.openxmlformats.org/officeDocument/2006/relationships/hyperlink" Target="https://vanillabonds.com/dossier-data/pdf/fastned/fastned-h1-2026-interim-report.pdf#page=32" TargetMode="External" Id="rId1935"/><Relationship Type="http://schemas.openxmlformats.org/officeDocument/2006/relationships/hyperlink" Target="https://vanillabonds.com/dossier-data/pdf/fastned/fastned-h1-2026-interim-report.pdf#page=32" TargetMode="External" Id="rId1936"/><Relationship Type="http://schemas.openxmlformats.org/officeDocument/2006/relationships/hyperlink" Target="https://vanillabonds.com/dossier-data/pdf/fastned/fastned-h1-2026-interim-report.pdf#page=32" TargetMode="External" Id="rId1937"/><Relationship Type="http://schemas.openxmlformats.org/officeDocument/2006/relationships/hyperlink" Target="https://vanillabonds.com/dossier-data/pdf/fastned/fastned-h1-2026-interim-report.pdf#page=32" TargetMode="External" Id="rId1938"/><Relationship Type="http://schemas.openxmlformats.org/officeDocument/2006/relationships/hyperlink" Target="https://vanillabonds.com/dossier-data/pdf/fastned/fastned-h1-2026-interim-report.pdf#page=32" TargetMode="External" Id="rId1939"/><Relationship Type="http://schemas.openxmlformats.org/officeDocument/2006/relationships/hyperlink" Target="https://vanillabonds.com/dossier-data/pdf/fastned/fastned-h1-2026-interim-report.pdf#page=32" TargetMode="External" Id="rId1940"/><Relationship Type="http://schemas.openxmlformats.org/officeDocument/2006/relationships/hyperlink" Target="https://vanillabonds.com/dossier-data/pdf/fastned/fastned-h1-2026-interim-report.pdf#page=32" TargetMode="External" Id="rId1941"/><Relationship Type="http://schemas.openxmlformats.org/officeDocument/2006/relationships/hyperlink" Target="https://vanillabonds.com/dossier-data/pdf/fastned/fastned-h1-2026-interim-report.pdf#page=32" TargetMode="External" Id="rId1942"/><Relationship Type="http://schemas.openxmlformats.org/officeDocument/2006/relationships/hyperlink" Target="https://vanillabonds.com/dossier-data/pdf/fastned/fastned-h1-2026-interim-report.pdf#page=32" TargetMode="External" Id="rId1943"/><Relationship Type="http://schemas.openxmlformats.org/officeDocument/2006/relationships/hyperlink" Target="https://vanillabonds.com/dossier-data/pdf/fastned/fastned-h1-2026-interim-report.pdf#page=32" TargetMode="External" Id="rId1944"/><Relationship Type="http://schemas.openxmlformats.org/officeDocument/2006/relationships/hyperlink" Target="https://vanillabonds.com/dossier-data/pdf/fastned/fastned-h1-2026-interim-report.pdf#page=50" TargetMode="External" Id="rId1945"/><Relationship Type="http://schemas.openxmlformats.org/officeDocument/2006/relationships/hyperlink" Target="https://vanillabonds.com/dossier-data/pdf/fastned/fastned-h1-2026-interim-report.pdf#page=50" TargetMode="External" Id="rId1946"/><Relationship Type="http://schemas.openxmlformats.org/officeDocument/2006/relationships/hyperlink" Target="https://vanillabonds.com/dossier-data/pdf/fastned/fastned-h1-2026-interim-report.pdf#page=15" TargetMode="External" Id="rId1947"/><Relationship Type="http://schemas.openxmlformats.org/officeDocument/2006/relationships/hyperlink" Target="https://vanillabonds.com/dossier-data/pdf/fastned/fastned-h1-2026-interim-report.pdf#page=15" TargetMode="External" Id="rId1948"/><Relationship Type="http://schemas.openxmlformats.org/officeDocument/2006/relationships/hyperlink" Target="https://vanillabonds.com/dossier-data/pdf/fastned/fastned-h1-2026-interim-report.pdf#page=15" TargetMode="External" Id="rId1949"/><Relationship Type="http://schemas.openxmlformats.org/officeDocument/2006/relationships/hyperlink" Target="https://vanillabonds.com/dossier-data/pdf/fastned/fastned-h1-2026-interim-report.pdf#page=15" TargetMode="External" Id="rId1950"/><Relationship Type="http://schemas.openxmlformats.org/officeDocument/2006/relationships/hyperlink" Target="https://vanillabonds.com/dossier-data/pdf/fastned/fastned-h1-2026-interim-report.pdf#page=15" TargetMode="External" Id="rId1951"/><Relationship Type="http://schemas.openxmlformats.org/officeDocument/2006/relationships/hyperlink" Target="https://vanillabonds.com/dossier-data/pdf/fastned/fastned-h1-2026-interim-report.pdf#page=15" TargetMode="External" Id="rId1952"/><Relationship Type="http://schemas.openxmlformats.org/officeDocument/2006/relationships/hyperlink" Target="https://vanillabonds.com/dossier-data/pdf/fastned/fastned-h1-2026-interim-report.pdf#page=15" TargetMode="External" Id="rId1953"/><Relationship Type="http://schemas.openxmlformats.org/officeDocument/2006/relationships/hyperlink" Target="https://vanillabonds.com/dossier-data/pdf/fastned/fastned-h1-2026-interim-report.pdf#page=15" TargetMode="External" Id="rId1954"/><Relationship Type="http://schemas.openxmlformats.org/officeDocument/2006/relationships/hyperlink" Target="https://vanillabonds.com/dossier-data/pdf/fastned/fastned-h1-2026-interim-report.pdf#page=15" TargetMode="External" Id="rId1955"/><Relationship Type="http://schemas.openxmlformats.org/officeDocument/2006/relationships/hyperlink" Target="https://vanillabonds.com/dossier-data/pdf/fastned/fastned-h1-2026-interim-report.pdf#page=15" TargetMode="External" Id="rId1956"/><Relationship Type="http://schemas.openxmlformats.org/officeDocument/2006/relationships/hyperlink" Target="https://vanillabonds.com/dossier-data/pdf/fastned/fastned-h1-2026-interim-report.pdf#page=15" TargetMode="External" Id="rId1957"/><Relationship Type="http://schemas.openxmlformats.org/officeDocument/2006/relationships/hyperlink" Target="https://vanillabonds.com/dossier-data/pdf/fastned/fastned-h1-2026-interim-report.pdf#page=15" TargetMode="External" Id="rId1958"/><Relationship Type="http://schemas.openxmlformats.org/officeDocument/2006/relationships/hyperlink" Target="https://vanillabonds.com/dossier-data/pdf/fastned/fastned-h1-2026-interim-report.pdf#page=15" TargetMode="External" Id="rId1959"/><Relationship Type="http://schemas.openxmlformats.org/officeDocument/2006/relationships/hyperlink" Target="https://vanillabonds.com/dossier-data/pdf/fastned/fastned-h1-2026-interim-report.pdf#page=15" TargetMode="External" Id="rId1960"/><Relationship Type="http://schemas.openxmlformats.org/officeDocument/2006/relationships/hyperlink" Target="https://vanillabonds.com/dossier-data/pdf/fastned/fastned-h1-2026-interim-report.pdf#page=15" TargetMode="External" Id="rId1961"/><Relationship Type="http://schemas.openxmlformats.org/officeDocument/2006/relationships/hyperlink" Target="https://vanillabonds.com/dossier-data/pdf/fastned/fastned-h1-2026-interim-report.pdf#page=15" TargetMode="External" Id="rId1962"/><Relationship Type="http://schemas.openxmlformats.org/officeDocument/2006/relationships/hyperlink" Target="https://vanillabonds.com/dossier-data/pdf/fastned/fastned-h1-2026-interim-report.pdf#page=15" TargetMode="External" Id="rId1963"/><Relationship Type="http://schemas.openxmlformats.org/officeDocument/2006/relationships/hyperlink" Target="https://vanillabonds.com/dossier-data/pdf/fastned/fastned-h1-2026-interim-report.pdf#page=15" TargetMode="External" Id="rId1964"/><Relationship Type="http://schemas.openxmlformats.org/officeDocument/2006/relationships/hyperlink" Target="https://vanillabonds.com/dossier-data/pdf/fastned/fastned-h1-2026-interim-report.pdf#page=40" TargetMode="External" Id="rId1965"/><Relationship Type="http://schemas.openxmlformats.org/officeDocument/2006/relationships/hyperlink" Target="https://vanillabonds.com/dossier-data/pdf/fastned/fastned-h1-2026-interim-report.pdf#page=15" TargetMode="External" Id="rId1966"/><Relationship Type="http://schemas.openxmlformats.org/officeDocument/2006/relationships/hyperlink" Target="https://vanillabonds.com/dossier-data/pdf/fastned/fastned-h1-2026-interim-report.pdf#page=32" TargetMode="External" Id="rId1967"/><Relationship Type="http://schemas.openxmlformats.org/officeDocument/2006/relationships/hyperlink" Target="https://vanillabonds.com/dossier-data/pdf/fastned/fastned-h1-2026-interim-report.pdf#page=45" TargetMode="External" Id="rId1968"/><Relationship Type="http://schemas.openxmlformats.org/officeDocument/2006/relationships/hyperlink" Target="https://vanillabonds.com/dossier-data/pdf/fastned/fastned-h1-2026-interim-report.pdf#page=39" TargetMode="External" Id="rId1969"/><Relationship Type="http://schemas.openxmlformats.org/officeDocument/2006/relationships/hyperlink" Target="https://vanillabonds.com/dossier-data/pdf/fastned/fastned-h1-2026-interim-report.pdf#page=39" TargetMode="External" Id="rId1970"/><Relationship Type="http://schemas.openxmlformats.org/officeDocument/2006/relationships/hyperlink" Target="https://vanillabonds.com/dossier-data/pdf/fastned/fastned-h1-2026-interim-report.pdf#page=39" TargetMode="External" Id="rId1971"/><Relationship Type="http://schemas.openxmlformats.org/officeDocument/2006/relationships/hyperlink" Target="https://vanillabonds.com/dossier-data/pdf/fastned/fastned-h1-2026-interim-report.pdf#page=39" TargetMode="External" Id="rId1972"/><Relationship Type="http://schemas.openxmlformats.org/officeDocument/2006/relationships/hyperlink" Target="https://vanillabonds.com/dossier-data/pdf/fastned/fastned-h1-2026-interim-report.pdf#page=46" TargetMode="External" Id="rId1973"/><Relationship Type="http://schemas.openxmlformats.org/officeDocument/2006/relationships/hyperlink" Target="https://vanillabonds.com/dossier-data/pdf/fastned/fastned-h1-2026-interim-report.pdf#page=8" TargetMode="External" Id="rId1974"/><Relationship Type="http://schemas.openxmlformats.org/officeDocument/2006/relationships/hyperlink" Target="https://vanillabonds.com/dossier-data/pdf/fastned/fastned-h1-2026-interim-report.pdf#page=16" TargetMode="External" Id="rId1975"/><Relationship Type="http://schemas.openxmlformats.org/officeDocument/2006/relationships/hyperlink" Target="https://vanillabonds.com/dossier-data/pdf/fastned/fastned-h1-2026-interim-report.pdf#page=17" TargetMode="External" Id="rId1976"/><Relationship Type="http://schemas.openxmlformats.org/officeDocument/2006/relationships/hyperlink" Target="https://vanillabonds.com/dossier-data/pdf/fastned/fastned-h1-2026-interim-report.pdf#page=17" TargetMode="External" Id="rId1977"/><Relationship Type="http://schemas.openxmlformats.org/officeDocument/2006/relationships/hyperlink" Target="https://vanillabonds.com/dossier-data/pdf/fastned/fastned-h1-2026-interim-report.pdf#page=17" TargetMode="External" Id="rId1978"/><Relationship Type="http://schemas.openxmlformats.org/officeDocument/2006/relationships/hyperlink" Target="https://vanillabonds.com/dossier-data/pdf/fastned/fastned-h1-2026-interim-report.pdf#page=17" TargetMode="External" Id="rId1979"/><Relationship Type="http://schemas.openxmlformats.org/officeDocument/2006/relationships/hyperlink" Target="https://vanillabonds.com/dossier-data/pdf/fastned/fastned-h1-2026-interim-report.pdf#page=17" TargetMode="External" Id="rId1980"/><Relationship Type="http://schemas.openxmlformats.org/officeDocument/2006/relationships/hyperlink" Target="https://vanillabonds.com/dossier-data/pdf/fastned/fastned-h1-2026-interim-report.pdf#page=17" TargetMode="External" Id="rId1981"/><Relationship Type="http://schemas.openxmlformats.org/officeDocument/2006/relationships/hyperlink" Target="https://vanillabonds.com/dossier-data/pdf/fastned/fastned-h1-2026-interim-report.pdf#page=18" TargetMode="External" Id="rId1982"/><Relationship Type="http://schemas.openxmlformats.org/officeDocument/2006/relationships/hyperlink" Target="https://vanillabonds.com/dossier-data/pdf/fastned/fastned-h1-2026-interim-report.pdf#page=18" TargetMode="External" Id="rId1983"/><Relationship Type="http://schemas.openxmlformats.org/officeDocument/2006/relationships/hyperlink" Target="https://vanillabonds.com/dossier-data/pdf/fastned/fastned-h1-2026-interim-report.pdf#page=48" TargetMode="External" Id="rId1984"/><Relationship Type="http://schemas.openxmlformats.org/officeDocument/2006/relationships/hyperlink" Target="https://vanillabonds.com/dossier-data/pdf/fastned/fastned-h1-2026-interim-report.pdf#page=48" TargetMode="External" Id="rId1985"/><Relationship Type="http://schemas.openxmlformats.org/officeDocument/2006/relationships/hyperlink" Target="https://vanillabonds.com/dossier-data/pdf/fastned/fastned-h1-2026-interim-report.pdf#page=48" TargetMode="External" Id="rId1986"/><Relationship Type="http://schemas.openxmlformats.org/officeDocument/2006/relationships/hyperlink" Target="https://vanillabonds.com/dossier-data/pdf/fastned/fastned-h1-2026-interim-report.pdf#page=48" TargetMode="External" Id="rId1987"/><Relationship Type="http://schemas.openxmlformats.org/officeDocument/2006/relationships/hyperlink" Target="https://vanillabonds.com/dossier-data/pdf/fastned/fastned-h1-2026-interim-report.pdf#page=48" TargetMode="External" Id="rId1988"/><Relationship Type="http://schemas.openxmlformats.org/officeDocument/2006/relationships/hyperlink" Target="https://vanillabonds.com/dossier-data/pdf/fastned/fastned-h1-2026-interim-report.pdf#page=48" TargetMode="External" Id="rId1989"/><Relationship Type="http://schemas.openxmlformats.org/officeDocument/2006/relationships/hyperlink" Target="https://vanillabonds.com/dossier-data/pdf/fastned/fastned-h1-2026-interim-report.pdf#page=33" TargetMode="External" Id="rId1990"/><Relationship Type="http://schemas.openxmlformats.org/officeDocument/2006/relationships/hyperlink" Target="https://vanillabonds.com/dossier-data/pdf/fastned/fastned-h1-2026-interim-report.pdf#page=20" TargetMode="External" Id="rId1991"/><Relationship Type="http://schemas.openxmlformats.org/officeDocument/2006/relationships/hyperlink" Target="https://vanillabonds.com/dossier-data/pdf/fastned/fastned-h1-2026-interim-report.pdf#page=32" TargetMode="External" Id="rId1992"/><Relationship Type="http://schemas.openxmlformats.org/officeDocument/2006/relationships/hyperlink" Target="https://vanillabonds.com/dossier-data/pdf/fastned/fastned-h1-2026-interim-report.pdf#page=40" TargetMode="External" Id="rId1993"/><Relationship Type="http://schemas.openxmlformats.org/officeDocument/2006/relationships/hyperlink" Target="https://vanillabonds.com/dossier-data/pdf/fastned/fastned-h1-2026-interim-report.pdf#page=38" TargetMode="External" Id="rId1994"/><Relationship Type="http://schemas.openxmlformats.org/officeDocument/2006/relationships/hyperlink" Target="https://vanillabonds.com/dossier-data/pdf/fastned/fastned-h1-2026-interim-report.pdf#page=38" TargetMode="External" Id="rId1995"/><Relationship Type="http://schemas.openxmlformats.org/officeDocument/2006/relationships/hyperlink" Target="https://vanillabonds.com/dossier-data/pdf/fastned/fastned-h1-2026-interim-report.pdf#page=38" TargetMode="External" Id="rId1996"/><Relationship Type="http://schemas.openxmlformats.org/officeDocument/2006/relationships/hyperlink" Target="https://vanillabonds.com/dossier-data/pdf/fastned/fastned-h1-2026-interim-report.pdf#page=38" TargetMode="External" Id="rId1997"/><Relationship Type="http://schemas.openxmlformats.org/officeDocument/2006/relationships/hyperlink" Target="https://vanillabonds.com/dossier-data/pdf/fastned/fastned-h1-2026-interim-report.pdf#page=38" TargetMode="External" Id="rId1998"/><Relationship Type="http://schemas.openxmlformats.org/officeDocument/2006/relationships/hyperlink" Target="https://vanillabonds.com/dossier-data/pdf/fastned/fastned-h1-2026-interim-report.pdf#page=38" TargetMode="External" Id="rId1999"/><Relationship Type="http://schemas.openxmlformats.org/officeDocument/2006/relationships/hyperlink" Target="https://vanillabonds.com/dossier-data/pdf/fastned/fastned-h1-2026-interim-report.pdf#page=38" TargetMode="External" Id="rId2000"/><Relationship Type="http://schemas.openxmlformats.org/officeDocument/2006/relationships/hyperlink" Target="https://vanillabonds.com/dossier-data/pdf/fastned/fastned-h1-2026-interim-report.pdf#page=38" TargetMode="External" Id="rId2001"/><Relationship Type="http://schemas.openxmlformats.org/officeDocument/2006/relationships/hyperlink" Target="https://vanillabonds.com/dossier-data/pdf/fastned/fastned-h1-2026-interim-report.pdf#page=38" TargetMode="External" Id="rId2002"/><Relationship Type="http://schemas.openxmlformats.org/officeDocument/2006/relationships/hyperlink" Target="https://vanillabonds.com/dossier-data/pdf/fastned/fastned-h1-2026-interim-report.pdf#page=38" TargetMode="External" Id="rId2003"/><Relationship Type="http://schemas.openxmlformats.org/officeDocument/2006/relationships/hyperlink" Target="https://vanillabonds.com/dossier-data/pdf/fastned/fastned-h1-2026-interim-report.pdf#page=38" TargetMode="External" Id="rId2004"/><Relationship Type="http://schemas.openxmlformats.org/officeDocument/2006/relationships/hyperlink" Target="https://vanillabonds.com/dossier-data/pdf/fastned/fastned-h1-2026-interim-report.pdf#page=38" TargetMode="External" Id="rId2005"/><Relationship Type="http://schemas.openxmlformats.org/officeDocument/2006/relationships/hyperlink" Target="https://vanillabonds.com/dossier-data/pdf/fastned/fastned-h1-2026-interim-report.pdf#page=37" TargetMode="External" Id="rId2006"/><Relationship Type="http://schemas.openxmlformats.org/officeDocument/2006/relationships/hyperlink" Target="https://vanillabonds.com/dossier-data/pdf/fastned/fastned-h1-2026-interim-report.pdf#page=37" TargetMode="External" Id="rId2007"/><Relationship Type="http://schemas.openxmlformats.org/officeDocument/2006/relationships/hyperlink" Target="https://vanillabonds.com/dossier-data/pdf/fastned/fastned-h1-2026-interim-report.pdf#page=37" TargetMode="External" Id="rId2008"/><Relationship Type="http://schemas.openxmlformats.org/officeDocument/2006/relationships/hyperlink" Target="https://vanillabonds.com/dossier-data/pdf/fastned/fastned-h1-2026-interim-report.pdf#page=37" TargetMode="External" Id="rId2009"/><Relationship Type="http://schemas.openxmlformats.org/officeDocument/2006/relationships/hyperlink" Target="https://vanillabonds.com/dossier-data/pdf/fastned/fastned-h1-2026-interim-report.pdf#page=37" TargetMode="External" Id="rId2010"/><Relationship Type="http://schemas.openxmlformats.org/officeDocument/2006/relationships/hyperlink" Target="https://vanillabonds.com/dossier-data/pdf/fastned/fastned-h1-2026-interim-report.pdf#page=37" TargetMode="External" Id="rId2011"/><Relationship Type="http://schemas.openxmlformats.org/officeDocument/2006/relationships/hyperlink" Target="https://vanillabonds.com/dossier-data/pdf/fastned/fastned-h1-2026-interim-report.pdf#page=29" TargetMode="External" Id="rId2012"/><Relationship Type="http://schemas.openxmlformats.org/officeDocument/2006/relationships/hyperlink" Target="https://vanillabonds.com/dossier-data/pdf/fastned/fastned-h1-2026-interim-report.pdf#page=29" TargetMode="External" Id="rId2013"/><Relationship Type="http://schemas.openxmlformats.org/officeDocument/2006/relationships/hyperlink" Target="https://vanillabonds.com/dossier-data/pdf/fastned/fastned-h1-2026-interim-report.pdf#page=49" TargetMode="External" Id="rId2014"/><Relationship Type="http://schemas.openxmlformats.org/officeDocument/2006/relationships/hyperlink" Target="https://vanillabonds.com/dossier-data/pdf/fastned/fastned-h1-2026-interim-report.pdf#page=49" TargetMode="External" Id="rId2015"/><Relationship Type="http://schemas.openxmlformats.org/officeDocument/2006/relationships/hyperlink" Target="https://vanillabonds.com/dossier-data/pdf/fastned/fastned-h1-2026-interim-report.pdf#page=49" TargetMode="External" Id="rId2016"/><Relationship Type="http://schemas.openxmlformats.org/officeDocument/2006/relationships/hyperlink" Target="https://vanillabonds.com/dossier-data/pdf/fastned/fastned-h1-2026-interim-report.pdf#page=44" TargetMode="External" Id="rId2017"/><Relationship Type="http://schemas.openxmlformats.org/officeDocument/2006/relationships/hyperlink" Target="https://vanillabonds.com/dossier-data/pdf/fastned/fastned-h1-2026-interim-report.pdf#page=12" TargetMode="External" Id="rId2018"/><Relationship Type="http://schemas.openxmlformats.org/officeDocument/2006/relationships/hyperlink" Target="https://vanillabonds.com/dossier-data/pdf/fastned/fastned-h1-2026-interim-report.pdf#page=12" TargetMode="External" Id="rId2019"/><Relationship Type="http://schemas.openxmlformats.org/officeDocument/2006/relationships/hyperlink" Target="https://vanillabonds.com/dossier-data/pdf/fastned/fastned-h1-2026-interim-report.pdf#page=44" TargetMode="External" Id="rId2020"/><Relationship Type="http://schemas.openxmlformats.org/officeDocument/2006/relationships/hyperlink" Target="https://vanillabonds.com/dossier-data/pdf/fastned/fastned-h1-2026-interim-report.pdf#page=44" TargetMode="External" Id="rId2021"/><Relationship Type="http://schemas.openxmlformats.org/officeDocument/2006/relationships/hyperlink" Target="https://vanillabonds.com/dossier-data/pdf/fastned/fastned-h1-2026-interim-report.pdf#page=6" TargetMode="External" Id="rId2022"/><Relationship Type="http://schemas.openxmlformats.org/officeDocument/2006/relationships/hyperlink" Target="https://vanillabonds.com/dossier-data/pdf/fastned/fastned-h1-2026-interim-report.pdf#page=13" TargetMode="External" Id="rId2023"/><Relationship Type="http://schemas.openxmlformats.org/officeDocument/2006/relationships/hyperlink" Target="https://vanillabonds.com/dossier-data/pdf/fastned/fastned-h1-2026-interim-report.pdf#page=15" TargetMode="External" Id="rId2024"/><Relationship Type="http://schemas.openxmlformats.org/officeDocument/2006/relationships/hyperlink" Target="https://vanillabonds.com/dossier-data/pdf/fastned/fastned-h1-2026-interim-report.pdf#page=15" TargetMode="External" Id="rId2025"/><Relationship Type="http://schemas.openxmlformats.org/officeDocument/2006/relationships/hyperlink" Target="https://vanillabonds.com/dossier-data/pdf/fastned/fastned-h1-2026-interim-report.pdf#page=15" TargetMode="External" Id="rId2026"/><Relationship Type="http://schemas.openxmlformats.org/officeDocument/2006/relationships/hyperlink" Target="https://vanillabonds.com/dossier-data/pdf/fastned/fastned-h1-2026-interim-report.pdf#page=12" TargetMode="External" Id="rId2027"/><Relationship Type="http://schemas.openxmlformats.org/officeDocument/2006/relationships/hyperlink" Target="https://vanillabonds.com/dossier-data/pdf/fastned/fastned-h1-2026-interim-report.pdf#page=33" TargetMode="External" Id="rId2028"/><Relationship Type="http://schemas.openxmlformats.org/officeDocument/2006/relationships/hyperlink" Target="https://vanillabonds.com/dossier-data/pdf/fastned/fastned-h1-2026-interim-report.pdf#page=49" TargetMode="External" Id="rId2029"/><Relationship Type="http://schemas.openxmlformats.org/officeDocument/2006/relationships/hyperlink" Target="https://vanillabonds.com/dossier-data/pdf/fastned/fastned-h1-2026-interim-report.pdf#page=2" TargetMode="External" Id="rId2030"/><Relationship Type="http://schemas.openxmlformats.org/officeDocument/2006/relationships/hyperlink" Target="https://vanillabonds.com/dossier-data/pdf/fastned/fastned-h1-2026-interim-report.pdf#page=2" TargetMode="External" Id="rId2031"/><Relationship Type="http://schemas.openxmlformats.org/officeDocument/2006/relationships/hyperlink" Target="https://vanillabonds.com/dossier-data/pdf/fastned/fastned-h1-2026-interim-report.pdf#page=8" TargetMode="External" Id="rId2032"/><Relationship Type="http://schemas.openxmlformats.org/officeDocument/2006/relationships/hyperlink" Target="https://vanillabonds.com/dossier-data/pdf/fastned/fastned-h1-2026-interim-report.pdf#page=8" TargetMode="External" Id="rId2033"/><Relationship Type="http://schemas.openxmlformats.org/officeDocument/2006/relationships/hyperlink" Target="https://vanillabonds.com/dossier-data/pdf/fastned/fastned-h1-2026-interim-report.pdf#page=33" TargetMode="External" Id="rId2034"/><Relationship Type="http://schemas.openxmlformats.org/officeDocument/2006/relationships/hyperlink" Target="https://vanillabonds.com/dossier-data/pdf/fastned/fastned-h1-2026-interim-report.pdf#page=44" TargetMode="External" Id="rId2035"/><Relationship Type="http://schemas.openxmlformats.org/officeDocument/2006/relationships/hyperlink" Target="https://vanillabonds.com/dossier-data/pdf/fastned/fastned-h1-2026-interim-report.pdf#page=8" TargetMode="External" Id="rId2036"/><Relationship Type="http://schemas.openxmlformats.org/officeDocument/2006/relationships/hyperlink" Target="https://vanillabonds.com/dossier-data/pdf/fastned/fastned-h1-2026-interim-report.pdf#page=16" TargetMode="External" Id="rId2037"/><Relationship Type="http://schemas.openxmlformats.org/officeDocument/2006/relationships/hyperlink" Target="https://vanillabonds.com/dossier-data/pdf/fastned/fastned-h1-2026-interim-report.pdf#page=16" TargetMode="External" Id="rId2038"/><Relationship Type="http://schemas.openxmlformats.org/officeDocument/2006/relationships/hyperlink" Target="https://vanillabonds.com/dossier-data/pdf/fastned/fastned-h1-2026-interim-report.pdf#page=16" TargetMode="External" Id="rId2039"/><Relationship Type="http://schemas.openxmlformats.org/officeDocument/2006/relationships/hyperlink" Target="https://vanillabonds.com/dossier-data/pdf/fastned/fastned-h1-2026-interim-report.pdf#page=44" TargetMode="External" Id="rId2040"/><Relationship Type="http://schemas.openxmlformats.org/officeDocument/2006/relationships/hyperlink" Target="https://vanillabonds.com/dossier-data/pdf/fastned/fastned-h1-2026-interim-report.pdf#page=12" TargetMode="External" Id="rId2041"/><Relationship Type="http://schemas.openxmlformats.org/officeDocument/2006/relationships/hyperlink" Target="https://vanillabonds.com/dossier-data/pdf/fastned/fastned-h1-2026-interim-report.pdf#page=44" TargetMode="External" Id="rId2042"/><Relationship Type="http://schemas.openxmlformats.org/officeDocument/2006/relationships/hyperlink" Target="https://vanillabonds.com/dossier-data/pdf/fastned/fastned-h1-2026-interim-report.pdf#page=44" TargetMode="External" Id="rId2043"/><Relationship Type="http://schemas.openxmlformats.org/officeDocument/2006/relationships/hyperlink" Target="https://vanillabonds.com/dossier-data/pdf/fastned/fastned-h1-2026-interim-report.pdf#page=44" TargetMode="External" Id="rId2044"/><Relationship Type="http://schemas.openxmlformats.org/officeDocument/2006/relationships/hyperlink" Target="https://vanillabonds.com/dossier-data/pdf/fastned/fastned-h1-2026-interim-report.pdf#page=44" TargetMode="External" Id="rId2045"/><Relationship Type="http://schemas.openxmlformats.org/officeDocument/2006/relationships/hyperlink" Target="https://vanillabonds.com/dossier-data/pdf/fastned/fastned-h1-2026-interim-report.pdf#page=44" TargetMode="External" Id="rId2046"/><Relationship Type="http://schemas.openxmlformats.org/officeDocument/2006/relationships/hyperlink" Target="https://vanillabonds.com/dossier-data/pdf/fastned/fastned-h1-2026-interim-report.pdf#page=44" TargetMode="External" Id="rId2047"/><Relationship Type="http://schemas.openxmlformats.org/officeDocument/2006/relationships/hyperlink" Target="https://vanillabonds.com/dossier-data/pdf/fastned/fastned-h1-2026-interim-report.pdf#page=44" TargetMode="External" Id="rId2048"/><Relationship Type="http://schemas.openxmlformats.org/officeDocument/2006/relationships/hyperlink" Target="https://vanillabonds.com/dossier-data/pdf/fastned/fastned-h1-2026-interim-report.pdf#page=44" TargetMode="External" Id="rId2049"/><Relationship Type="http://schemas.openxmlformats.org/officeDocument/2006/relationships/hyperlink" Target="https://vanillabonds.com/dossier-data/pdf/fastned/fastned-h1-2026-interim-report.pdf#page=45" TargetMode="External" Id="rId2050"/><Relationship Type="http://schemas.openxmlformats.org/officeDocument/2006/relationships/hyperlink" Target="https://vanillabonds.com/dossier-data/pdf/fastned/fastned-h1-2026-interim-report.pdf#page=45" TargetMode="External" Id="rId2051"/><Relationship Type="http://schemas.openxmlformats.org/officeDocument/2006/relationships/hyperlink" Target="https://vanillabonds.com/dossier-data/pdf/fastned/fastned-2023-annual-report.pdf#page=97" TargetMode="External" Id="rId2052"/><Relationship Type="http://schemas.openxmlformats.org/officeDocument/2006/relationships/hyperlink" Target="https://vanillabonds.com/dossier-data/pdf/fastned/fastned-2023-annual-report.pdf#page=97" TargetMode="External" Id="rId2053"/><Relationship Type="http://schemas.openxmlformats.org/officeDocument/2006/relationships/hyperlink" Target="https://vanillabonds.com/dossier-data/pdf/fastned/fastned-2023-annual-report.pdf#page=14" TargetMode="External" Id="rId2054"/><Relationship Type="http://schemas.openxmlformats.org/officeDocument/2006/relationships/hyperlink" Target="https://vanillabonds.com/dossier-data/pdf/fastned/fastned-2023-annual-report.pdf#page=97" TargetMode="External" Id="rId2055"/><Relationship Type="http://schemas.openxmlformats.org/officeDocument/2006/relationships/hyperlink" Target="https://vanillabonds.com/dossier-data/pdf/fastned/fastned-2023-annual-report.pdf#page=97" TargetMode="External" Id="rId2056"/><Relationship Type="http://schemas.openxmlformats.org/officeDocument/2006/relationships/hyperlink" Target="https://vanillabonds.com/dossier-data/pdf/fastned/fastned-2025-annual-report.pdf#page=105" TargetMode="External" Id="rId2057"/><Relationship Type="http://schemas.openxmlformats.org/officeDocument/2006/relationships/hyperlink" Target="https://vanillabonds.com/dossier-data/pdf/fastned/fastned-2025-annual-report.pdf#page=106" TargetMode="External" Id="rId2058"/><Relationship Type="http://schemas.openxmlformats.org/officeDocument/2006/relationships/hyperlink" Target="https://vanillabonds.com/dossier-data/pdf/fastned/fastned-2025-annual-report.pdf#page=106" TargetMode="External" Id="rId2059"/><Relationship Type="http://schemas.openxmlformats.org/officeDocument/2006/relationships/hyperlink" Target="https://vanillabonds.com/dossier-data/pdf/fastned/fastned-2025-annual-report.pdf#page=106" TargetMode="External" Id="rId2060"/><Relationship Type="http://schemas.openxmlformats.org/officeDocument/2006/relationships/hyperlink" Target="https://vanillabonds.com/dossier-data/pdf/fastned/fastned-2025-annual-report.pdf#page=107" TargetMode="External" Id="rId2061"/><Relationship Type="http://schemas.openxmlformats.org/officeDocument/2006/relationships/hyperlink" Target="https://vanillabonds.com/dossier-data/pdf/fastned/fastned-2025-annual-report.pdf#page=108" TargetMode="External" Id="rId2062"/><Relationship Type="http://schemas.openxmlformats.org/officeDocument/2006/relationships/hyperlink" Target="https://vanillabonds.com/dossier-data/pdf/fastned/fastned-2024-annual-report.pdf#page=92" TargetMode="External" Id="rId2063"/><Relationship Type="http://schemas.openxmlformats.org/officeDocument/2006/relationships/hyperlink" Target="https://vanillabonds.com/dossier-data/pdf/fastned/fastned-2025-annual-report.pdf#page=109" TargetMode="External" Id="rId2064"/><Relationship Type="http://schemas.openxmlformats.org/officeDocument/2006/relationships/hyperlink" Target="https://vanillabonds.com/dossier-data/pdf/fastned/fastned-2025-annual-report.pdf#page=110" TargetMode="External" Id="rId2065"/><Relationship Type="http://schemas.openxmlformats.org/officeDocument/2006/relationships/hyperlink" Target="https://vanillabonds.com/dossier-data/pdf/fastned/fastned-2025-annual-report.pdf#page=108" TargetMode="External" Id="rId2066"/><Relationship Type="http://schemas.openxmlformats.org/officeDocument/2006/relationships/hyperlink" Target="https://vanillabonds.com/dossier-data/pdf/fastned/fastned-2025-annual-report.pdf#page=110" TargetMode="External" Id="rId2067"/></Relationships>
</file>

<file path=xl/worksheets/_rels/sheet11.xml.rels><Relationships xmlns="http://schemas.openxmlformats.org/package/2006/relationships"><Relationship Type="http://schemas.openxmlformats.org/officeDocument/2006/relationships/hyperlink" Target="https://vanillabonds.com/dossier-data/pdf/fastned/fastned-2023-annual-report.pdf" TargetMode="External" Id="rId1"/><Relationship Type="http://schemas.openxmlformats.org/officeDocument/2006/relationships/hyperlink" Target="https://vanillabonds.com/dossier-data/pdf/fastned/fastned-2024-annual-report.pdf" TargetMode="External" Id="rId2"/><Relationship Type="http://schemas.openxmlformats.org/officeDocument/2006/relationships/hyperlink" Target="https://vanillabonds.com/dossier-data/pdf/fastned/fastned-2025-annual-report.pdf" TargetMode="External" Id="rId3"/><Relationship Type="http://schemas.openxmlformats.org/officeDocument/2006/relationships/hyperlink" Target="https://vanillabonds.com/dossier-data/pdf/fastned/fastned-h1-2026-interim-report.pdf" TargetMode="External" Id="rId4"/></Relationships>
</file>

<file path=xl/worksheets/sheet1.xml><?xml version="1.0" encoding="utf-8"?>
<worksheet xmlns="http://schemas.openxmlformats.org/spreadsheetml/2006/main">
  <sheetPr>
    <outlinePr summaryBelow="1" summaryRight="1"/>
    <pageSetUpPr/>
  </sheetPr>
  <dimension ref="A1:B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0" customWidth="1" min="2" max="2"/>
  </cols>
  <sheetData>
    <row r="1">
      <c r="A1" s="1" t="inlineStr">
        <is>
          <t>Item</t>
        </is>
      </c>
      <c r="B1" s="1" t="inlineStr">
        <is>
          <t>Value</t>
        </is>
      </c>
    </row>
    <row r="2">
      <c r="A2" s="2" t="inlineStr">
        <is>
          <t>Issuer</t>
        </is>
      </c>
      <c r="B2" s="2" t="inlineStr">
        <is>
          <t>Fastned B.V.</t>
        </is>
      </c>
    </row>
    <row r="3">
      <c r="A3" s="2" t="inlineStr">
        <is>
          <t>Data as of</t>
        </is>
      </c>
      <c r="B3" s="2" t="inlineStr">
        <is>
          <t>H1-2026</t>
        </is>
      </c>
    </row>
    <row r="4">
      <c r="A4" s="2" t="inlineStr">
        <is>
          <t>Written</t>
        </is>
      </c>
      <c r="B4" s="2" t="inlineStr">
        <is>
          <t>2026-10-24</t>
        </is>
      </c>
    </row>
    <row r="5">
      <c r="A5" s="2" t="inlineStr">
        <is>
          <t>Units</t>
        </is>
      </c>
      <c r="B5" s="3" t="inlineStr">
        <is>
          <t>EUR m unless stated; days and headcount as counts; ratios as decimals</t>
        </is>
      </c>
    </row>
    <row r="6">
      <c r="A6" s="2" t="inlineStr">
        <is>
          <t>Signs</t>
        </is>
      </c>
      <c r="B6" s="3" t="inlineStr">
        <is>
          <t>profits positive, losses negative; net interest = net finance cost, positive; capex and D&amp;A positive</t>
        </is>
      </c>
    </row>
    <row r="7">
      <c r="A7" s="2" t="inlineStr">
        <is>
          <t>Periods</t>
        </is>
      </c>
      <c r="B7" s="3" t="inlineStr">
        <is>
          <t>FY2025 = fiscal year ending in 2025; H1-2026 = half-year to 30 June 2026; FY2026E = a year after the last one reported: the company's budget or plan for it, or an amount falling due then. One column per year: debt falling due in a year since reported sits in that year (as the report before states it), a plan figure for such a year in its budget row; a band of years (FY2027E-FY2029E) stays in Facts</t>
        </is>
      </c>
    </row>
    <row r="8">
      <c r="A8" s="2" t="inlineStr">
        <is>
          <t>Record</t>
        </is>
      </c>
      <c r="B8" s="3" t="inlineStr">
        <is>
          <t>one value per field and period: approved before pending, audited before unaudited, the later report wins where restated (mvp/screen.py)</t>
        </is>
      </c>
    </row>
    <row r="9">
      <c r="A9" s="2" t="inlineStr">
        <is>
          <t>Status</t>
        </is>
      </c>
      <c r="B9" s="3" t="inlineStr">
        <is>
          <t>ok = approved by a named reviewer; rep = management representation, attested by a named officer; pend = extracted, pending review; rej = rejected; grey cell = pending, gold cell = management representation</t>
        </is>
      </c>
    </row>
    <row r="10">
      <c r="A10" s="2" t="inlineStr">
        <is>
          <t>Sources</t>
        </is>
      </c>
      <c r="B10" s="3" t="inlineStr">
        <is>
          <t>every number links to its row in Facts; the row links to the page of the published PDF or to the web source</t>
        </is>
      </c>
    </row>
    <row r="11">
      <c r="A11" s="2" t="inlineStr">
        <is>
          <t>Formulas</t>
        </is>
      </c>
      <c r="B11" s="3" t="inlineStr">
        <is>
          <t>Ratios are live Excel formulas on the Financials cells, the same formulas as the platform; one-off income = the items in Bridge</t>
        </is>
      </c>
    </row>
    <row r="12">
      <c r="A12" s="2" t="inlineStr">
        <is>
          <t>Scope</t>
        </is>
      </c>
      <c r="B12" s="3" t="inlineStr">
        <is>
          <t>facts and arithmetic on printed formulas only: no rating, no score, no recommendation. Demo built from the company's public reports.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c r="A1" s="1" t="inlineStr">
        <is>
          <t>EUR m unless stated</t>
        </is>
      </c>
      <c r="B1" s="1" t="inlineStr">
        <is>
          <t>FY2019</t>
        </is>
      </c>
      <c r="C1" s="1" t="inlineStr">
        <is>
          <t>FY2020</t>
        </is>
      </c>
      <c r="D1" s="1" t="inlineStr">
        <is>
          <t>FY2021</t>
        </is>
      </c>
      <c r="E1" s="1" t="inlineStr">
        <is>
          <t>FY2022</t>
        </is>
      </c>
      <c r="F1" s="1" t="inlineStr">
        <is>
          <t>FY2023</t>
        </is>
      </c>
      <c r="G1" s="1" t="inlineStr">
        <is>
          <t>FY2024</t>
        </is>
      </c>
      <c r="H1" s="1" t="inlineStr">
        <is>
          <t>FY2025</t>
        </is>
      </c>
      <c r="I1" s="1" t="inlineStr">
        <is>
          <t>H1-2024</t>
        </is>
      </c>
      <c r="J1" s="1" t="inlineStr">
        <is>
          <t>H1-2025</t>
        </is>
      </c>
      <c r="K1" s="1" t="inlineStr">
        <is>
          <t>H1-2026</t>
        </is>
      </c>
      <c r="L1" s="1" t="inlineStr">
        <is>
          <t>FY2026E</t>
        </is>
      </c>
      <c r="M1" s="1" t="inlineStr">
        <is>
          <t>FY2027E</t>
        </is>
      </c>
    </row>
    <row r="2">
      <c r="A2" s="4" t="inlineStr">
        <is>
          <t>Identity</t>
        </is>
      </c>
    </row>
    <row r="3">
      <c r="A3" t="inlineStr">
        <is>
          <t>Employees (FTE, period end)</t>
        </is>
      </c>
      <c r="E3" s="5" t="n">
        <v>146</v>
      </c>
      <c r="F3" s="5" t="n">
        <v>172</v>
      </c>
      <c r="G3" s="5" t="n">
        <v>265</v>
      </c>
      <c r="H3" s="5" t="n">
        <v>414</v>
      </c>
      <c r="J3" s="5" t="n">
        <v>354</v>
      </c>
      <c r="K3" s="5" t="n">
        <v>432</v>
      </c>
    </row>
    <row r="4">
      <c r="A4" s="4" t="inlineStr">
        <is>
          <t>Historical financials and quality of earnings</t>
        </is>
      </c>
    </row>
    <row r="5">
      <c r="A5" t="inlineStr">
        <is>
          <t>Revenue</t>
        </is>
      </c>
      <c r="B5" s="5" t="n">
        <v>4.5</v>
      </c>
      <c r="C5" s="5" t="n">
        <v>6.3</v>
      </c>
      <c r="D5" s="5" t="n">
        <v>12.4</v>
      </c>
      <c r="E5" s="5" t="n">
        <v>36</v>
      </c>
      <c r="F5" s="5" t="n">
        <v>60.5</v>
      </c>
      <c r="G5" s="5" t="n">
        <v>83.8</v>
      </c>
      <c r="H5" s="5" t="n">
        <v>139.2</v>
      </c>
      <c r="I5" s="5" t="n">
        <v>37.8</v>
      </c>
      <c r="J5" s="5" t="n">
        <v>57.8</v>
      </c>
      <c r="K5" s="5" t="n">
        <v>83.5</v>
      </c>
    </row>
    <row r="6">
      <c r="A6" t="inlineStr">
        <is>
          <t>EBITDA (as reported)</t>
        </is>
      </c>
      <c r="D6" s="5" t="n">
        <v>-12.6</v>
      </c>
      <c r="E6" s="5" t="n">
        <v>-4.6</v>
      </c>
      <c r="F6" s="5" t="n">
        <v>4.6</v>
      </c>
      <c r="G6" s="5" t="n">
        <v>7.4</v>
      </c>
      <c r="H6" s="5" t="n">
        <v>14.8</v>
      </c>
      <c r="I6" s="5" t="n">
        <v>3.3</v>
      </c>
      <c r="J6" s="5" t="n">
        <v>3</v>
      </c>
      <c r="K6" s="5" t="n">
        <v>15.9</v>
      </c>
    </row>
    <row r="7">
      <c r="A7" t="inlineStr">
        <is>
          <t>EBITDA adjusted / underlying (as reported)</t>
        </is>
      </c>
      <c r="D7" s="5" t="n">
        <v>-4.4</v>
      </c>
      <c r="E7" s="5" t="n">
        <v>-4</v>
      </c>
      <c r="F7" s="5" t="n">
        <v>7.8</v>
      </c>
      <c r="G7" s="5" t="n">
        <v>8.699999999999999</v>
      </c>
      <c r="H7" s="5" t="n">
        <v>8.300000000000001</v>
      </c>
      <c r="I7" s="5" t="n">
        <v>3.2</v>
      </c>
      <c r="J7" s="5" t="n">
        <v>1.4</v>
      </c>
      <c r="K7" s="5" t="n">
        <v>13.7</v>
      </c>
    </row>
    <row r="8">
      <c r="A8" t="inlineStr">
        <is>
          <t>EBIT / operating result</t>
        </is>
      </c>
      <c r="E8" s="5" t="n">
        <v>-14.4</v>
      </c>
      <c r="F8" s="5" t="n">
        <v>-12.1</v>
      </c>
      <c r="G8" s="5" t="n">
        <v>-16.1</v>
      </c>
      <c r="H8" s="5" t="n">
        <v>-13.6</v>
      </c>
      <c r="J8" s="5" t="n">
        <v>-10</v>
      </c>
      <c r="K8" s="5" t="n">
        <v>-1.7</v>
      </c>
    </row>
    <row r="9">
      <c r="A9" t="inlineStr">
        <is>
          <t>Net result</t>
        </is>
      </c>
      <c r="D9" s="5" t="n">
        <v>-24.6</v>
      </c>
      <c r="E9" s="5" t="n">
        <v>-22.2</v>
      </c>
      <c r="F9" s="5" t="n">
        <v>-19.3</v>
      </c>
      <c r="G9" s="5" t="n">
        <v>-26.6</v>
      </c>
      <c r="H9" s="5" t="n">
        <v>-30.2</v>
      </c>
      <c r="I9" s="5" t="n">
        <v>-11.4</v>
      </c>
      <c r="J9" s="5" t="n">
        <v>-18.3</v>
      </c>
      <c r="K9" s="5" t="n">
        <v>-13</v>
      </c>
    </row>
    <row r="10">
      <c r="A10" t="inlineStr">
        <is>
          <t>Depreciation &amp; amortisation</t>
        </is>
      </c>
      <c r="D10" s="5" t="n">
        <v>5.9</v>
      </c>
      <c r="E10" s="5" t="n">
        <v>10.3</v>
      </c>
      <c r="F10" s="5" t="n">
        <v>16.7</v>
      </c>
      <c r="G10" s="5" t="n">
        <v>23.4</v>
      </c>
      <c r="H10" s="5" t="n">
        <v>28.4</v>
      </c>
      <c r="I10" s="5" t="n">
        <v>9.800000000000001</v>
      </c>
      <c r="J10" s="5" t="n">
        <v>13</v>
      </c>
      <c r="K10" s="5" t="n">
        <v>17.6</v>
      </c>
    </row>
    <row r="11">
      <c r="A11" t="inlineStr">
        <is>
          <t>Net finance cost</t>
        </is>
      </c>
      <c r="D11" s="5" t="n">
        <v>6.2</v>
      </c>
      <c r="E11" s="5" t="n">
        <v>7.4</v>
      </c>
      <c r="F11" s="5" t="n">
        <v>6.8</v>
      </c>
      <c r="G11" s="5" t="n">
        <v>10.9</v>
      </c>
      <c r="H11" s="5" t="n">
        <v>16.4</v>
      </c>
      <c r="I11" s="5" t="n">
        <v>4.9</v>
      </c>
      <c r="J11" s="5" t="n">
        <v>8.199999999999999</v>
      </c>
      <c r="K11" s="5" t="n">
        <v>11.2</v>
      </c>
    </row>
    <row r="12">
      <c r="A12" t="inlineStr">
        <is>
          <t>Cash flow from operating activities</t>
        </is>
      </c>
      <c r="D12" s="5" t="n">
        <v>-10</v>
      </c>
      <c r="E12" s="5" t="n">
        <v>-10.8</v>
      </c>
      <c r="F12" s="5" t="n">
        <v>-3.1</v>
      </c>
      <c r="G12" s="5" t="n">
        <v>-7.6</v>
      </c>
      <c r="H12" s="5" t="n">
        <v>-20.4</v>
      </c>
      <c r="J12" s="5" t="n">
        <v>-6</v>
      </c>
      <c r="K12" s="5" t="n">
        <v>-10.1</v>
      </c>
    </row>
    <row r="13">
      <c r="A13" t="inlineStr">
        <is>
          <t>Capex (PP&amp;E + intangibles)</t>
        </is>
      </c>
      <c r="D13" s="5" t="n">
        <v>36.6</v>
      </c>
      <c r="E13" s="5" t="n">
        <v>67.5</v>
      </c>
      <c r="F13" s="5" t="n">
        <v>66.8</v>
      </c>
      <c r="G13" s="5" t="n">
        <v>68</v>
      </c>
      <c r="H13" s="5" t="n">
        <v>81.7</v>
      </c>
      <c r="J13" s="5" t="n">
        <v>41</v>
      </c>
      <c r="K13" s="5" t="n">
        <v>44.7</v>
      </c>
    </row>
    <row r="14">
      <c r="A14" t="inlineStr">
        <is>
          <t>Cash &amp; equivalents</t>
        </is>
      </c>
      <c r="D14" s="5" t="n">
        <v>128.6</v>
      </c>
      <c r="E14" s="5" t="n">
        <v>149.5</v>
      </c>
      <c r="F14" s="5" t="n">
        <v>126.6</v>
      </c>
      <c r="G14" s="5" t="n">
        <v>117.4</v>
      </c>
      <c r="H14" s="5" t="n">
        <v>69.90000000000001</v>
      </c>
      <c r="J14" s="5" t="n">
        <v>112.7</v>
      </c>
      <c r="K14" s="5" t="n">
        <v>100.7</v>
      </c>
    </row>
    <row r="15">
      <c r="A15" t="inlineStr">
        <is>
          <t>Gross financial debt (bonds + loans, excl. leases)</t>
        </is>
      </c>
      <c r="E15" s="5" t="n">
        <v>112.9</v>
      </c>
      <c r="F15" s="5" t="n">
        <v>161</v>
      </c>
      <c r="G15" s="5" t="n">
        <v>226.5</v>
      </c>
      <c r="H15" s="5" t="n">
        <v>295.1</v>
      </c>
      <c r="K15" s="5" t="n">
        <v>379.5</v>
      </c>
    </row>
    <row r="16">
      <c r="A16" t="inlineStr">
        <is>
          <t>Lease liabilities</t>
        </is>
      </c>
      <c r="E16" s="5" t="n">
        <v>9.800000000000001</v>
      </c>
      <c r="F16" s="5" t="n">
        <v>21.2</v>
      </c>
      <c r="G16" s="5" t="n">
        <v>37.7</v>
      </c>
      <c r="H16" s="5" t="n">
        <v>62.9</v>
      </c>
      <c r="K16" s="5" t="n">
        <v>76.90000000000001</v>
      </c>
    </row>
    <row r="17">
      <c r="A17" t="inlineStr">
        <is>
          <t>Net debt (as reported)</t>
        </is>
      </c>
      <c r="G17" s="5" t="n">
        <v>146.8</v>
      </c>
      <c r="H17" s="5" t="n">
        <v>288</v>
      </c>
    </row>
    <row r="18">
      <c r="A18" t="inlineStr">
        <is>
          <t>Total equity</t>
        </is>
      </c>
      <c r="D18" s="5" t="n">
        <v>109.2</v>
      </c>
      <c r="E18" s="5" t="n">
        <v>160.6</v>
      </c>
      <c r="F18" s="5" t="n">
        <v>146.2</v>
      </c>
      <c r="G18" s="5" t="n">
        <v>122.7</v>
      </c>
      <c r="H18" s="5" t="n">
        <v>91.90000000000001</v>
      </c>
      <c r="J18" s="5" t="n">
        <v>104.1</v>
      </c>
      <c r="K18" s="5" t="n">
        <v>80.8</v>
      </c>
    </row>
    <row r="19">
      <c r="A19" t="inlineStr">
        <is>
          <t>Total assets</t>
        </is>
      </c>
      <c r="D19" s="5" t="n">
        <v>214.6</v>
      </c>
      <c r="E19" s="5" t="n">
        <v>315.2</v>
      </c>
      <c r="F19" s="5" t="n">
        <v>357.5</v>
      </c>
      <c r="G19" s="5" t="n">
        <v>426.7</v>
      </c>
      <c r="H19" s="5" t="n">
        <v>501.8</v>
      </c>
      <c r="K19" s="5" t="n">
        <v>595.3</v>
      </c>
    </row>
    <row r="20">
      <c r="A20" t="inlineStr">
        <is>
          <t>Days from year end to filing of the accounts</t>
        </is>
      </c>
      <c r="F20" s="5" t="n">
        <v>87</v>
      </c>
      <c r="G20" s="5" t="n">
        <v>85</v>
      </c>
      <c r="H20" s="5" t="n">
        <v>78</v>
      </c>
      <c r="K20" s="5" t="n">
        <v>37</v>
      </c>
    </row>
    <row r="21">
      <c r="A21" t="inlineStr">
        <is>
          <t>Income taxes paid (cash flow statement)</t>
        </is>
      </c>
      <c r="E21" s="5" t="n">
        <v>0</v>
      </c>
      <c r="F21" s="5" t="n">
        <v>0</v>
      </c>
      <c r="G21" s="5" t="n">
        <v>0</v>
      </c>
      <c r="H21" s="5" t="n">
        <v>0</v>
      </c>
      <c r="J21" s="5" t="n">
        <v>0</v>
      </c>
      <c r="K21" s="5" t="n">
        <v>0</v>
      </c>
    </row>
    <row r="22">
      <c r="A22" s="4" t="inlineStr">
        <is>
          <t>Transaction, plan, projections and downside</t>
        </is>
      </c>
    </row>
    <row r="23">
      <c r="A23" t="inlineStr">
        <is>
          <t>Order book / contracted revenue (period end)</t>
        </is>
      </c>
      <c r="H23" s="5" t="n">
        <v>23.9</v>
      </c>
    </row>
    <row r="24">
      <c r="A24" t="inlineStr">
        <is>
          <t>Debt principal falling due in the period</t>
        </is>
      </c>
      <c r="F24" s="5" t="n">
        <v>8.9</v>
      </c>
      <c r="G24" s="5" t="n">
        <v>17</v>
      </c>
      <c r="H24" s="5" t="n">
        <v>21.9</v>
      </c>
      <c r="L24" s="5" t="n">
        <v>12.4</v>
      </c>
      <c r="M24" s="5" t="n">
        <v>7.3</v>
      </c>
    </row>
  </sheetData>
  <hyperlinks>
    <hyperlink ref="E3" location="Facts!A15"/>
    <hyperlink ref="F3" location="Facts!A485"/>
    <hyperlink ref="G3" location="Facts!A992"/>
    <hyperlink ref="H3" location="Facts!A993"/>
    <hyperlink ref="J3" location="Facts!A1757"/>
    <hyperlink ref="K3" location="Facts!A1758"/>
    <hyperlink ref="B5" location="Facts!A112"/>
    <hyperlink ref="C5" location="Facts!A581"/>
    <hyperlink ref="D5" location="Facts!A1158"/>
    <hyperlink ref="E5" location="Facts!A1159"/>
    <hyperlink ref="F5" location="Facts!A1160"/>
    <hyperlink ref="G5" location="Facts!A1161"/>
    <hyperlink ref="H5" location="Facts!A1162"/>
    <hyperlink ref="I5" location="Facts!A1819"/>
    <hyperlink ref="J5" location="Facts!A1820"/>
    <hyperlink ref="K5" location="Facts!A1821"/>
    <hyperlink ref="D6" location="Facts!A117"/>
    <hyperlink ref="E6" location="Facts!A586"/>
    <hyperlink ref="F6" location="Facts!A1163"/>
    <hyperlink ref="G6" location="Facts!A1164"/>
    <hyperlink ref="H6" location="Facts!A1165"/>
    <hyperlink ref="I6" location="Facts!A1822"/>
    <hyperlink ref="J6" location="Facts!A1823"/>
    <hyperlink ref="K6" location="Facts!A1824"/>
    <hyperlink ref="D7" location="Facts!A120"/>
    <hyperlink ref="E7" location="Facts!A589"/>
    <hyperlink ref="F7" location="Facts!A1166"/>
    <hyperlink ref="G7" location="Facts!A1167"/>
    <hyperlink ref="H7" location="Facts!A1169"/>
    <hyperlink ref="I7" location="Facts!A1825"/>
    <hyperlink ref="J7" location="Facts!A1826"/>
    <hyperlink ref="K7" location="Facts!A1827"/>
    <hyperlink ref="E8" location="Facts!A123"/>
    <hyperlink ref="F8" location="Facts!A592"/>
    <hyperlink ref="G8" location="Facts!A1171"/>
    <hyperlink ref="H8" location="Facts!A1172"/>
    <hyperlink ref="J8" location="Facts!A1828"/>
    <hyperlink ref="K8" location="Facts!A1829"/>
    <hyperlink ref="D9" location="Facts!A125"/>
    <hyperlink ref="E9" location="Facts!A594"/>
    <hyperlink ref="F9" location="Facts!A1173"/>
    <hyperlink ref="G9" location="Facts!A1174"/>
    <hyperlink ref="H9" location="Facts!A1175"/>
    <hyperlink ref="I9" location="Facts!A1830"/>
    <hyperlink ref="J9" location="Facts!A1831"/>
    <hyperlink ref="K9" location="Facts!A1832"/>
    <hyperlink ref="D10" location="Facts!A128"/>
    <hyperlink ref="E10" location="Facts!A597"/>
    <hyperlink ref="F10" location="Facts!A1176"/>
    <hyperlink ref="G10" location="Facts!A1177"/>
    <hyperlink ref="H10" location="Facts!A1178"/>
    <hyperlink ref="I10" location="Facts!A1833"/>
    <hyperlink ref="J10" location="Facts!A1834"/>
    <hyperlink ref="K10" location="Facts!A1835"/>
    <hyperlink ref="D11" location="Facts!A131"/>
    <hyperlink ref="E11" location="Facts!A600"/>
    <hyperlink ref="F11" location="Facts!A1179"/>
    <hyperlink ref="G11" location="Facts!A1180"/>
    <hyperlink ref="H11" location="Facts!A1182"/>
    <hyperlink ref="I11" location="Facts!A1836"/>
    <hyperlink ref="J11" location="Facts!A1837"/>
    <hyperlink ref="K11" location="Facts!A1838"/>
    <hyperlink ref="D12" location="Facts!A136"/>
    <hyperlink ref="E12" location="Facts!A603"/>
    <hyperlink ref="F12" location="Facts!A1184"/>
    <hyperlink ref="G12" location="Facts!A1185"/>
    <hyperlink ref="H12" location="Facts!A1186"/>
    <hyperlink ref="J12" location="Facts!A1839"/>
    <hyperlink ref="K12" location="Facts!A1840"/>
    <hyperlink ref="D13" location="Facts!A139"/>
    <hyperlink ref="E13" location="Facts!A140"/>
    <hyperlink ref="F13" location="Facts!A606"/>
    <hyperlink ref="G13" location="Facts!A1187"/>
    <hyperlink ref="H13" location="Facts!A1188"/>
    <hyperlink ref="J13" location="Facts!A1841"/>
    <hyperlink ref="K13" location="Facts!A1842"/>
    <hyperlink ref="D14" location="Facts!A144"/>
    <hyperlink ref="E14" location="Facts!A610"/>
    <hyperlink ref="F14" location="Facts!A1189"/>
    <hyperlink ref="G14" location="Facts!A1190"/>
    <hyperlink ref="H14" location="Facts!A1191"/>
    <hyperlink ref="J14" location="Facts!A1845"/>
    <hyperlink ref="K14" location="Facts!A1846"/>
    <hyperlink ref="E15" location="Facts!A147"/>
    <hyperlink ref="F15" location="Facts!A613"/>
    <hyperlink ref="G15" location="Facts!A1192"/>
    <hyperlink ref="H15" location="Facts!A1193"/>
    <hyperlink ref="K15" location="Facts!A1848"/>
    <hyperlink ref="E16" location="Facts!A149"/>
    <hyperlink ref="F16" location="Facts!A615"/>
    <hyperlink ref="G16" location="Facts!A1194"/>
    <hyperlink ref="H16" location="Facts!A1195"/>
    <hyperlink ref="K16" location="Facts!A1850"/>
    <hyperlink ref="G17" location="Facts!A1196"/>
    <hyperlink ref="H17" location="Facts!A1197"/>
    <hyperlink ref="D18" location="Facts!A151"/>
    <hyperlink ref="E18" location="Facts!A617"/>
    <hyperlink ref="F18" location="Facts!A1198"/>
    <hyperlink ref="G18" location="Facts!A1199"/>
    <hyperlink ref="H18" location="Facts!A1200"/>
    <hyperlink ref="J18" location="Facts!A1853"/>
    <hyperlink ref="K18" location="Facts!A1854"/>
    <hyperlink ref="D19" location="Facts!A154"/>
    <hyperlink ref="E19" location="Facts!A620"/>
    <hyperlink ref="F19" location="Facts!A1201"/>
    <hyperlink ref="G19" location="Facts!A1202"/>
    <hyperlink ref="H19" location="Facts!A1203"/>
    <hyperlink ref="K19" location="Facts!A1856"/>
    <hyperlink ref="F20" location="Facts!A356"/>
    <hyperlink ref="G20" location="Facts!A864"/>
    <hyperlink ref="H20" location="Facts!A1589"/>
    <hyperlink ref="K20" location="Facts!A1993"/>
    <hyperlink ref="E21" location="Facts!A380"/>
    <hyperlink ref="F21" location="Facts!A889"/>
    <hyperlink ref="G21" location="Facts!A1618"/>
    <hyperlink ref="H21" location="Facts!A1619"/>
    <hyperlink ref="J21" location="Facts!A2013"/>
    <hyperlink ref="K21" location="Facts!A2014"/>
    <hyperlink ref="H23" location="Facts!A1434"/>
    <hyperlink ref="F24" location="Facts!A263"/>
    <hyperlink ref="G24" location="Facts!A264"/>
    <hyperlink ref="H24" location="Facts!A740"/>
    <hyperlink ref="L24" location="Facts!A1435"/>
    <hyperlink ref="M24" location="Facts!A14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90" customWidth="1" min="2" max="2"/>
    <col width="12" customWidth="1" min="3" max="3"/>
    <col width="8" customWidth="1" min="4" max="4"/>
    <col width="50" customWidth="1" min="5" max="5"/>
  </cols>
  <sheetData>
    <row r="1">
      <c r="A1" s="1" t="inlineStr">
        <is>
          <t>Period</t>
        </is>
      </c>
      <c r="B1" s="1" t="inlineStr">
        <is>
          <t>One-off income inside EBITDA, as itemised in the reports</t>
        </is>
      </c>
      <c r="C1" s="1" t="inlineStr">
        <is>
          <t>EUR m counted</t>
        </is>
      </c>
      <c r="D1" s="1" t="inlineStr">
        <is>
          <t>Fact</t>
        </is>
      </c>
      <c r="E1" s="1" t="inlineStr">
        <is>
          <t>Rule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70" customWidth="1" min="12" max="12"/>
  </cols>
  <sheetData>
    <row r="1">
      <c r="A1" s="1" t="inlineStr">
        <is>
          <t>Live formulas on Financials</t>
        </is>
      </c>
      <c r="B1" s="1" t="inlineStr">
        <is>
          <t>FY2019</t>
        </is>
      </c>
      <c r="C1" s="1" t="inlineStr">
        <is>
          <t>FY2020</t>
        </is>
      </c>
      <c r="D1" s="1" t="inlineStr">
        <is>
          <t>FY2021</t>
        </is>
      </c>
      <c r="E1" s="1" t="inlineStr">
        <is>
          <t>FY2022</t>
        </is>
      </c>
      <c r="F1" s="1" t="inlineStr">
        <is>
          <t>FY2023</t>
        </is>
      </c>
      <c r="G1" s="1" t="inlineStr">
        <is>
          <t>FY2024</t>
        </is>
      </c>
      <c r="H1" s="1" t="inlineStr">
        <is>
          <t>FY2025</t>
        </is>
      </c>
      <c r="I1" s="1" t="inlineStr">
        <is>
          <t>H1-2024</t>
        </is>
      </c>
      <c r="J1" s="1" t="inlineStr">
        <is>
          <t>H1-2025</t>
        </is>
      </c>
      <c r="K1" s="1" t="inlineStr">
        <is>
          <t>H1-2026</t>
        </is>
      </c>
      <c r="L1" s="1" t="inlineStr">
        <is>
          <t>Formula</t>
        </is>
      </c>
    </row>
    <row r="2">
      <c r="A2" t="inlineStr">
        <is>
          <t>One-off income inside EBITDA</t>
        </is>
      </c>
      <c r="B2" s="6">
        <f>SUMIF(Bridge!$A:$A,"FY2019",Bridge!$C:$C)</f>
        <v/>
      </c>
      <c r="C2" s="6">
        <f>SUMIF(Bridge!$A:$A,"FY2020",Bridge!$C:$C)</f>
        <v/>
      </c>
      <c r="D2" s="6">
        <f>SUMIF(Bridge!$A:$A,"FY2021",Bridge!$C:$C)</f>
        <v/>
      </c>
      <c r="E2" s="6">
        <f>SUMIF(Bridge!$A:$A,"FY2022",Bridge!$C:$C)</f>
        <v/>
      </c>
      <c r="F2" s="6">
        <f>SUMIF(Bridge!$A:$A,"FY2023",Bridge!$C:$C)</f>
        <v/>
      </c>
      <c r="G2" s="6">
        <f>SUMIF(Bridge!$A:$A,"FY2024",Bridge!$C:$C)</f>
        <v/>
      </c>
      <c r="H2" s="6">
        <f>SUMIF(Bridge!$A:$A,"FY2025",Bridge!$C:$C)</f>
        <v/>
      </c>
      <c r="I2" s="6">
        <f>SUMIF(Bridge!$A:$A,"H1-2024",Bridge!$C:$C)</f>
        <v/>
      </c>
      <c r="J2" s="6">
        <f>SUMIF(Bridge!$A:$A,"H1-2025",Bridge!$C:$C)</f>
        <v/>
      </c>
      <c r="K2" s="6">
        <f>SUMIF(Bridge!$A:$A,"H1-2026",Bridge!$C:$C)</f>
        <v/>
      </c>
      <c r="L2" t="inlineStr">
        <is>
          <t>SUM of Bridge for the period</t>
        </is>
      </c>
    </row>
    <row r="3">
      <c r="A3" t="inlineStr">
        <is>
          <t>EBITDA excluding one-off income</t>
        </is>
      </c>
      <c r="D3" s="6">
        <f>(Financials!D6-SUMIF(Bridge!$A:$A,"FY2021",Bridge!$C:$C))</f>
        <v/>
      </c>
      <c r="E3" s="6">
        <f>(Financials!E6-SUMIF(Bridge!$A:$A,"FY2022",Bridge!$C:$C))</f>
        <v/>
      </c>
      <c r="F3" s="6">
        <f>(Financials!F6-SUMIF(Bridge!$A:$A,"FY2023",Bridge!$C:$C))</f>
        <v/>
      </c>
      <c r="G3" s="6">
        <f>(Financials!G6-SUMIF(Bridge!$A:$A,"FY2024",Bridge!$C:$C))</f>
        <v/>
      </c>
      <c r="H3" s="6">
        <f>(Financials!H6-SUMIF(Bridge!$A:$A,"FY2025",Bridge!$C:$C))</f>
        <v/>
      </c>
      <c r="I3" s="6">
        <f>(Financials!I6-SUMIF(Bridge!$A:$A,"H1-2024",Bridge!$C:$C))</f>
        <v/>
      </c>
      <c r="J3" s="6">
        <f>(Financials!J6-SUMIF(Bridge!$A:$A,"H1-2025",Bridge!$C:$C))</f>
        <v/>
      </c>
      <c r="K3" s="6">
        <f>(Financials!K6-SUMIF(Bridge!$A:$A,"H1-2026",Bridge!$C:$C))</f>
        <v/>
      </c>
      <c r="L3" t="inlineStr">
        <is>
          <t>EBITDA as reported − one-off income</t>
        </is>
      </c>
    </row>
    <row r="4">
      <c r="A4" t="inlineStr">
        <is>
          <t>EBITDA margin excluding one-off income</t>
        </is>
      </c>
      <c r="D4" s="7">
        <f>IFERROR((Financials!D6-SUMIF(Bridge!$A:$A,"FY2021",Bridge!$C:$C))/Financials!D5,"")</f>
        <v/>
      </c>
      <c r="E4" s="7">
        <f>IFERROR((Financials!E6-SUMIF(Bridge!$A:$A,"FY2022",Bridge!$C:$C))/Financials!E5,"")</f>
        <v/>
      </c>
      <c r="F4" s="7">
        <f>IFERROR((Financials!F6-SUMIF(Bridge!$A:$A,"FY2023",Bridge!$C:$C))/Financials!F5,"")</f>
        <v/>
      </c>
      <c r="G4" s="7">
        <f>IFERROR((Financials!G6-SUMIF(Bridge!$A:$A,"FY2024",Bridge!$C:$C))/Financials!G5,"")</f>
        <v/>
      </c>
      <c r="H4" s="7">
        <f>IFERROR((Financials!H6-SUMIF(Bridge!$A:$A,"FY2025",Bridge!$C:$C))/Financials!H5,"")</f>
        <v/>
      </c>
      <c r="I4" s="7">
        <f>IFERROR((Financials!I6-SUMIF(Bridge!$A:$A,"H1-2024",Bridge!$C:$C))/Financials!I5,"")</f>
        <v/>
      </c>
      <c r="J4" s="7">
        <f>IFERROR((Financials!J6-SUMIF(Bridge!$A:$A,"H1-2025",Bridge!$C:$C))/Financials!J5,"")</f>
        <v/>
      </c>
      <c r="K4" s="7">
        <f>IFERROR((Financials!K6-SUMIF(Bridge!$A:$A,"H1-2026",Bridge!$C:$C))/Financials!K5,"")</f>
        <v/>
      </c>
      <c r="L4" t="inlineStr">
        <is>
          <t>EBITDA excluding one-off income / revenue</t>
        </is>
      </c>
    </row>
    <row r="5">
      <c r="A5" t="inlineStr">
        <is>
          <t>Free cash flow</t>
        </is>
      </c>
      <c r="D5" s="6">
        <f>IFERROR(Financials!D12-Financials!D13,"")</f>
        <v/>
      </c>
      <c r="E5" s="6">
        <f>IFERROR(Financials!E12-Financials!E13,"")</f>
        <v/>
      </c>
      <c r="F5" s="6">
        <f>IFERROR(Financials!F12-Financials!F13,"")</f>
        <v/>
      </c>
      <c r="G5" s="6">
        <f>IFERROR(Financials!G12-Financials!G13,"")</f>
        <v/>
      </c>
      <c r="H5" s="6">
        <f>IFERROR(Financials!H12-Financials!H13,"")</f>
        <v/>
      </c>
      <c r="J5" s="6">
        <f>IFERROR(Financials!J12-Financials!J13,"")</f>
        <v/>
      </c>
      <c r="K5" s="6">
        <f>IFERROR(Financials!K12-Financials!K13,"")</f>
        <v/>
      </c>
      <c r="L5" t="inlineStr">
        <is>
          <t>operating cash flow − capex</t>
        </is>
      </c>
    </row>
    <row r="6">
      <c r="A6" t="inlineStr">
        <is>
          <t>Gross debt excluding leases, calculated</t>
        </is>
      </c>
      <c r="L6" t="inlineStr">
        <is>
          <t>net debt as reported + cash − lease liabilities, where the report states no total (as mvp/schema.py derive)</t>
        </is>
      </c>
    </row>
    <row r="7">
      <c r="A7" t="inlineStr">
        <is>
          <t>Net debt excluding leases</t>
        </is>
      </c>
      <c r="E7" s="6">
        <f>(Financials!E15-Financials!E14)</f>
        <v/>
      </c>
      <c r="F7" s="6">
        <f>(Financials!F15-Financials!F14)</f>
        <v/>
      </c>
      <c r="G7" s="6">
        <f>(Financials!G15-Financials!G14)</f>
        <v/>
      </c>
      <c r="H7" s="6">
        <f>(Financials!H15-Financials!H14)</f>
        <v/>
      </c>
      <c r="K7" s="6">
        <f>(Financials!K15-Financials!K14)</f>
        <v/>
      </c>
      <c r="L7" t="inlineStr">
        <is>
          <t>gross debt excluding leases − cash</t>
        </is>
      </c>
    </row>
    <row r="8">
      <c r="A8" t="inlineStr">
        <is>
          <t>Net debt / EBITDA excluding one-off income</t>
        </is>
      </c>
      <c r="E8" s="8">
        <f>IFERROR((Financials!E15-Financials!E14)/(Financials!E6-SUMIF(Bridge!$A:$A,"FY2022",Bridge!$C:$C)),"")</f>
        <v/>
      </c>
      <c r="F8" s="8">
        <f>IFERROR((Financials!F15-Financials!F14)/(Financials!F6-SUMIF(Bridge!$A:$A,"FY2023",Bridge!$C:$C)),"")</f>
        <v/>
      </c>
      <c r="G8" s="8">
        <f>IFERROR((Financials!G15-Financials!G14)/(Financials!G6-SUMIF(Bridge!$A:$A,"FY2024",Bridge!$C:$C)),"")</f>
        <v/>
      </c>
      <c r="H8" s="8">
        <f>IFERROR((Financials!H15-Financials!H14)/(Financials!H6-SUMIF(Bridge!$A:$A,"FY2025",Bridge!$C:$C)),"")</f>
        <v/>
      </c>
      <c r="L8" t="inlineStr">
        <is>
          <t>net debt excluding leases / EBITDA excluding one-off income; fiscal years</t>
        </is>
      </c>
    </row>
    <row r="9">
      <c r="A9" t="inlineStr">
        <is>
          <t>EBITDA excluding one-off income / net interest</t>
        </is>
      </c>
      <c r="D9" s="8">
        <f>IFERROR((Financials!D6-SUMIF(Bridge!$A:$A,"FY2021",Bridge!$C:$C))/Financials!D11,"")</f>
        <v/>
      </c>
      <c r="E9" s="8">
        <f>IFERROR((Financials!E6-SUMIF(Bridge!$A:$A,"FY2022",Bridge!$C:$C))/Financials!E11,"")</f>
        <v/>
      </c>
      <c r="F9" s="8">
        <f>IFERROR((Financials!F6-SUMIF(Bridge!$A:$A,"FY2023",Bridge!$C:$C))/Financials!F11,"")</f>
        <v/>
      </c>
      <c r="G9" s="8">
        <f>IFERROR((Financials!G6-SUMIF(Bridge!$A:$A,"FY2024",Bridge!$C:$C))/Financials!G11,"")</f>
        <v/>
      </c>
      <c r="H9" s="8">
        <f>IFERROR((Financials!H6-SUMIF(Bridge!$A:$A,"FY2025",Bridge!$C:$C))/Financials!H11,"")</f>
        <v/>
      </c>
      <c r="L9" t="inlineStr">
        <is>
          <t>EBITDA excluding one-off income / net finance cost; fiscal years</t>
        </is>
      </c>
    </row>
    <row r="10">
      <c r="A10" t="inlineStr">
        <is>
          <t>Equity ratio</t>
        </is>
      </c>
      <c r="D10" s="7">
        <f>IFERROR(Financials!D18/Financials!D19,"")</f>
        <v/>
      </c>
      <c r="E10" s="7">
        <f>IFERROR(Financials!E18/Financials!E19,"")</f>
        <v/>
      </c>
      <c r="F10" s="7">
        <f>IFERROR(Financials!F18/Financials!F19,"")</f>
        <v/>
      </c>
      <c r="G10" s="7">
        <f>IFERROR(Financials!G18/Financials!G19,"")</f>
        <v/>
      </c>
      <c r="H10" s="7">
        <f>IFERROR(Financials!H18/Financials!H19,"")</f>
        <v/>
      </c>
      <c r="K10" s="7">
        <f>IFERROR(Financials!K18/Financials!K19,"")</f>
        <v/>
      </c>
      <c r="L10" t="inlineStr">
        <is>
          <t>equity / total assets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1" customWidth="1" min="3" max="3"/>
    <col width="11" customWidth="1" min="4" max="4"/>
    <col width="24" customWidth="1" min="5" max="5"/>
    <col width="100" customWidth="1" min="6" max="6"/>
  </cols>
  <sheetData>
    <row r="1">
      <c r="A1" s="1" t="inlineStr">
        <is>
          <t>Falls due</t>
        </is>
      </c>
      <c r="B1" s="1" t="inlineStr">
        <is>
          <t>Principal</t>
        </is>
      </c>
      <c r="C1" s="1" t="inlineStr">
        <is>
          <t>Leases</t>
        </is>
      </c>
      <c r="D1" s="1" t="inlineStr">
        <is>
          <t>Interest</t>
        </is>
      </c>
      <c r="E1" s="1" t="inlineStr">
        <is>
          <t>Facts</t>
        </is>
      </c>
      <c r="F1" s="1" t="inlineStr">
        <is>
          <t>Note</t>
        </is>
      </c>
    </row>
    <row r="2">
      <c r="A2" s="2" t="inlineStr">
        <is>
          <t>2026</t>
        </is>
      </c>
      <c r="B2" s="2" t="n">
        <v>10.7</v>
      </c>
      <c r="C2" s="2" t="n"/>
      <c r="D2" s="2" t="n"/>
      <c r="E2" s="2" t="inlineStr">
        <is>
          <t>F1856, F1858</t>
        </is>
      </c>
      <c r="F2" s="3" t="inlineStr">
        <is>
          <t>Unsecured retail bonds 5.0%, due 12 Dec 2026: 10.3; 4% secured loan (Caisse des Depots), current instalment due 1 Dec 2026: 0.4</t>
        </is>
      </c>
    </row>
    <row r="3">
      <c r="A3" s="2" t="inlineStr">
        <is>
          <t>2027</t>
        </is>
      </c>
      <c r="B3" s="2" t="n">
        <v>5.2</v>
      </c>
      <c r="C3" s="2" t="n"/>
      <c r="D3" s="2" t="n"/>
      <c r="E3" s="2" t="inlineStr">
        <is>
          <t>F1857</t>
        </is>
      </c>
      <c r="F3" s="3" t="inlineStr">
        <is>
          <t>Unsecured retail bonds 5.0%, due 21 Jun 2027: 5.2</t>
        </is>
      </c>
    </row>
    <row r="4">
      <c r="A4" s="2" t="inlineStr">
        <is>
          <t>2028</t>
        </is>
      </c>
      <c r="B4" s="2" t="n">
        <v>58.9</v>
      </c>
      <c r="C4" s="2" t="n"/>
      <c r="D4" s="2" t="n"/>
      <c r="E4" s="2" t="inlineStr">
        <is>
          <t>F1859, F1860</t>
        </is>
      </c>
      <c r="F4" s="3" t="inlineStr">
        <is>
          <t>Unsecured retail bonds 5.5%, due 12 Jun 2028: 24.4; Unsecured retail bonds 6.0%, due 16 Oct 2028: 34.5</t>
        </is>
      </c>
    </row>
    <row r="5">
      <c r="A5" s="2" t="inlineStr">
        <is>
          <t>2029</t>
        </is>
      </c>
      <c r="B5" s="2" t="n">
        <v>83.09999999999999</v>
      </c>
      <c r="C5" s="2" t="n"/>
      <c r="D5" s="2" t="n"/>
      <c r="E5" s="2" t="inlineStr">
        <is>
          <t>F1861, F1862, F1863</t>
        </is>
      </c>
      <c r="F5" s="3" t="inlineStr">
        <is>
          <t>Unsecured retail bonds 6.0%, due 19 Feb 2029: 27.9; Unsecured retail bonds 6.0%, due 21 Jun 2029: 33.1; Unsecured retail bonds 6.0%, due 30 Oct 2029: 22.1</t>
        </is>
      </c>
    </row>
    <row r="6">
      <c r="A6" s="2" t="inlineStr">
        <is>
          <t>2030</t>
        </is>
      </c>
      <c r="B6" s="2" t="n">
        <v>110.4</v>
      </c>
      <c r="C6" s="2" t="n"/>
      <c r="D6" s="2" t="n"/>
      <c r="E6" s="2" t="inlineStr">
        <is>
          <t>F1864, F1865, F1866</t>
        </is>
      </c>
      <c r="F6" s="3" t="inlineStr">
        <is>
          <t>Unsecured retail bonds 6.0%, due 19 Feb 2030: 36.5; Unsecured retail bonds 6.0%, due 21 Jun 2030: 34.8; Unsecured retail bonds 6.0%, due 30 Oct 2030: 39.1</t>
        </is>
      </c>
    </row>
    <row r="7">
      <c r="A7" s="2" t="inlineStr">
        <is>
          <t>2031</t>
        </is>
      </c>
      <c r="B7" s="2" t="n">
        <v>89.5</v>
      </c>
      <c r="C7" s="2" t="n"/>
      <c r="D7" s="2" t="n"/>
      <c r="E7" s="2" t="inlineStr">
        <is>
          <t>F1867, F1868, F1869, F1872, F1873, F1874</t>
        </is>
      </c>
      <c r="F7" s="3" t="inlineStr">
        <is>
          <t>Unsecured retail bonds 6.0%, due 10 Mar 2031: 32.4; Unsecured retail bonds 6.0%, due 21 Jun 2031: 36.5; 4% secured loan (Caisse des Depots), due 1 Dec 2031: 1.7; Green loan Facility A1 (EUR 55m commitment), floating EURIBOR + margin, matures 22 Jan…: 13.4; Green loan Facility A2 (CHF 23.2m commitment), floating SARON + margin, matures 22 Jan…: 1.7; Green loan Facility B (EUR 20m commitment), fixed rate, matures 22 Jan 2031, senior…: 3.8</t>
        </is>
      </c>
    </row>
    <row r="8">
      <c r="A8" s="2" t="inlineStr">
        <is>
          <t>2032</t>
        </is>
      </c>
      <c r="B8" s="2" t="n">
        <v>21.6</v>
      </c>
      <c r="C8" s="2" t="n"/>
      <c r="D8" s="2" t="n"/>
      <c r="E8" s="2" t="inlineStr">
        <is>
          <t>F1870, F1871</t>
        </is>
      </c>
      <c r="F8" s="3" t="inlineStr">
        <is>
          <t>4% secured loan (Caisse des Depots), due 1 Dec 2032: 12.6; German Regional Tender government grant treated as interest-free loan (financial…: 9.0</t>
        </is>
      </c>
    </row>
    <row r="9">
      <c r="A9" s="2" t="inlineStr">
        <is>
          <t>leases, not dated by year</t>
        </is>
      </c>
      <c r="B9" s="2" t="n"/>
      <c r="C9" s="2" t="n">
        <v>76.90000000000001</v>
      </c>
      <c r="D9" s="2" t="n"/>
      <c r="E9" s="2" t="inlineStr">
        <is>
          <t>F1849</t>
        </is>
      </c>
      <c r="F9" s="2" t="inlineStr">
        <is>
          <t>lease liabilities at H1-2026</t>
        </is>
      </c>
    </row>
    <row r="10">
      <c r="A10" s="2" t="n"/>
      <c r="B10" s="2" t="n"/>
      <c r="C10" s="2" t="n"/>
      <c r="D10" s="2" t="n"/>
      <c r="E10" s="2" t="n"/>
      <c r="F10" s="3" t="inlineStr">
        <is>
          <t>principal per year of maturity, the carrying amounts of the instrument table in the H1-2026 report (S4 p43); leases are not dated by year there</t>
        </is>
      </c>
    </row>
    <row r="11">
      <c r="A11" s="2" t="n"/>
      <c r="B11" s="2" t="n"/>
      <c r="C11" s="2" t="n"/>
      <c r="D11" s="2" t="n"/>
      <c r="E11" s="2" t="n"/>
      <c r="F11" s="3" t="inlineStr">
        <is>
          <t>the 19 lines add up to 379.4, gross debt excluding leases at H1-2026 is 379.5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10" customWidth="1" min="2" max="2"/>
    <col width="8" customWidth="1" min="3" max="3"/>
    <col width="6" customWidth="1" min="4" max="4"/>
    <col width="8" customWidth="1" min="5" max="5"/>
  </cols>
  <sheetData>
    <row r="1">
      <c r="A1" s="1" t="inlineStr">
        <is>
          <t>Period</t>
        </is>
      </c>
      <c r="B1" s="1" t="inlineStr">
        <is>
          <t>Item</t>
        </is>
      </c>
      <c r="C1" s="1" t="inlineStr">
        <is>
          <t>Source</t>
        </is>
      </c>
      <c r="D1" s="1" t="inlineStr">
        <is>
          <t>Page</t>
        </is>
      </c>
      <c r="E1" s="1" t="inlineStr">
        <is>
          <t>Fact</t>
        </is>
      </c>
    </row>
    <row r="2">
      <c r="A2" s="2" t="n"/>
      <c r="B2" s="2" t="inlineStr">
        <is>
          <t>INSTRUMENTS</t>
        </is>
      </c>
      <c r="C2" s="2" t="n"/>
      <c r="D2" s="2" t="n"/>
      <c r="E2" s="2" t="n"/>
    </row>
    <row r="3">
      <c r="A3" s="2" t="n"/>
      <c r="B3" s="3" t="inlineStr">
        <is>
          <t>Unsecured retail bonds 5.0%, due 12 Dec 2026, carrying EUR 10.3m (31 Dec 2025: 12.0), unsecured, not subordinated, unlisted</t>
        </is>
      </c>
      <c r="C3" s="2" t="inlineStr">
        <is>
          <t>S4</t>
        </is>
      </c>
      <c r="D3" s="2" t="n">
        <v>43</v>
      </c>
      <c r="E3" s="2" t="inlineStr">
        <is>
          <t>F1856</t>
        </is>
      </c>
    </row>
    <row r="4">
      <c r="A4" s="2" t="n"/>
      <c r="B4" s="3" t="inlineStr">
        <is>
          <t>Unsecured retail bonds 5.0%, due 21 Jun 2027, EUR 5.2m (31 Dec 2025: 7.3)</t>
        </is>
      </c>
      <c r="C4" s="2" t="inlineStr">
        <is>
          <t>S4</t>
        </is>
      </c>
      <c r="D4" s="2" t="n">
        <v>43</v>
      </c>
      <c r="E4" s="2" t="inlineStr">
        <is>
          <t>F1857</t>
        </is>
      </c>
    </row>
    <row r="5">
      <c r="A5" s="2" t="n"/>
      <c r="B5" s="3" t="inlineStr">
        <is>
          <t>4% secured loan (Caisse des Depots), current instalment due 1 Dec 2026, EUR 0.4m</t>
        </is>
      </c>
      <c r="C5" s="2" t="inlineStr">
        <is>
          <t>S4</t>
        </is>
      </c>
      <c r="D5" s="2" t="n">
        <v>43</v>
      </c>
      <c r="E5" s="2" t="inlineStr">
        <is>
          <t>F1858</t>
        </is>
      </c>
    </row>
    <row r="6">
      <c r="A6" s="2" t="n"/>
      <c r="B6" s="3" t="inlineStr">
        <is>
          <t>Unsecured retail bonds 5.5%, due 12 Jun 2028, EUR 24.4m</t>
        </is>
      </c>
      <c r="C6" s="2" t="inlineStr">
        <is>
          <t>S4</t>
        </is>
      </c>
      <c r="D6" s="2" t="n">
        <v>43</v>
      </c>
      <c r="E6" s="2" t="inlineStr">
        <is>
          <t>F1859</t>
        </is>
      </c>
    </row>
    <row r="7">
      <c r="A7" s="2" t="n"/>
      <c r="B7" s="3" t="inlineStr">
        <is>
          <t>Unsecured retail bonds 6.0%, due 16 Oct 2028, EUR 34.5m</t>
        </is>
      </c>
      <c r="C7" s="2" t="inlineStr">
        <is>
          <t>S4</t>
        </is>
      </c>
      <c r="D7" s="2" t="n">
        <v>43</v>
      </c>
      <c r="E7" s="2" t="inlineStr">
        <is>
          <t>F1860</t>
        </is>
      </c>
    </row>
    <row r="8">
      <c r="A8" s="2" t="n"/>
      <c r="B8" s="3" t="inlineStr">
        <is>
          <t>Unsecured retail bonds 6.0%, due 19 Feb 2029, EUR 27.9m</t>
        </is>
      </c>
      <c r="C8" s="2" t="inlineStr">
        <is>
          <t>S4</t>
        </is>
      </c>
      <c r="D8" s="2" t="n">
        <v>43</v>
      </c>
      <c r="E8" s="2" t="inlineStr">
        <is>
          <t>F1861</t>
        </is>
      </c>
    </row>
    <row r="9">
      <c r="A9" s="2" t="n"/>
      <c r="B9" s="3" t="inlineStr">
        <is>
          <t>Unsecured retail bonds 6.0%, due 21 Jun 2029, EUR 33.1m</t>
        </is>
      </c>
      <c r="C9" s="2" t="inlineStr">
        <is>
          <t>S4</t>
        </is>
      </c>
      <c r="D9" s="2" t="n">
        <v>43</v>
      </c>
      <c r="E9" s="2" t="inlineStr">
        <is>
          <t>F1862</t>
        </is>
      </c>
    </row>
    <row r="10">
      <c r="A10" s="2" t="n"/>
      <c r="B10" s="3" t="inlineStr">
        <is>
          <t>Unsecured retail bonds 6.0%, due 30 Oct 2029, EUR 22.1m</t>
        </is>
      </c>
      <c r="C10" s="2" t="inlineStr">
        <is>
          <t>S4</t>
        </is>
      </c>
      <c r="D10" s="2" t="n">
        <v>43</v>
      </c>
      <c r="E10" s="2" t="inlineStr">
        <is>
          <t>F1863</t>
        </is>
      </c>
    </row>
    <row r="11">
      <c r="A11" s="2" t="n"/>
      <c r="B11" s="3" t="inlineStr">
        <is>
          <t>Unsecured retail bonds 6.0%, due 19 Feb 2030, EUR 36.5m</t>
        </is>
      </c>
      <c r="C11" s="2" t="inlineStr">
        <is>
          <t>S4</t>
        </is>
      </c>
      <c r="D11" s="2" t="n">
        <v>43</v>
      </c>
      <c r="E11" s="2" t="inlineStr">
        <is>
          <t>F1864</t>
        </is>
      </c>
    </row>
    <row r="12">
      <c r="A12" s="2" t="n"/>
      <c r="B12" s="3" t="inlineStr">
        <is>
          <t>Unsecured retail bonds 6.0%, due 21 Jun 2030, EUR 34.8m</t>
        </is>
      </c>
      <c r="C12" s="2" t="inlineStr">
        <is>
          <t>S4</t>
        </is>
      </c>
      <c r="D12" s="2" t="n">
        <v>43</v>
      </c>
      <c r="E12" s="2" t="inlineStr">
        <is>
          <t>F1865</t>
        </is>
      </c>
    </row>
    <row r="13">
      <c r="A13" s="2" t="n"/>
      <c r="B13" s="3" t="inlineStr">
        <is>
          <t>Unsecured retail bonds 6.0%, due 30 Oct 2030, EUR 39.1m</t>
        </is>
      </c>
      <c r="C13" s="2" t="inlineStr">
        <is>
          <t>S4</t>
        </is>
      </c>
      <c r="D13" s="2" t="n">
        <v>43</v>
      </c>
      <c r="E13" s="2" t="inlineStr">
        <is>
          <t>F1866</t>
        </is>
      </c>
    </row>
    <row r="14">
      <c r="A14" s="2" t="n"/>
      <c r="B14" s="3" t="inlineStr">
        <is>
          <t>Unsecured retail bonds 6.0%, due 10 Mar 2031, EUR 32.4m, issued Feb-Mar 2026 (30.1 new money, 2.3 extended)</t>
        </is>
      </c>
      <c r="C14" s="2" t="inlineStr">
        <is>
          <t>S4</t>
        </is>
      </c>
      <c r="D14" s="2" t="n">
        <v>43</v>
      </c>
      <c r="E14" s="2" t="inlineStr">
        <is>
          <t>F1867</t>
        </is>
      </c>
    </row>
    <row r="15">
      <c r="A15" s="2" t="n"/>
      <c r="B15" s="3" t="inlineStr">
        <is>
          <t>Unsecured retail bonds 6.0%, due 21 Jun 2031, EUR 36.5m, issued May-Jun 2026 (35.1 new money, 1.4 extended)</t>
        </is>
      </c>
      <c r="C15" s="2" t="inlineStr">
        <is>
          <t>S4</t>
        </is>
      </c>
      <c r="D15" s="2" t="n">
        <v>43</v>
      </c>
      <c r="E15" s="2" t="inlineStr">
        <is>
          <t>F1868</t>
        </is>
      </c>
    </row>
    <row r="16">
      <c r="A16" s="2" t="n"/>
      <c r="B16" s="3" t="inlineStr">
        <is>
          <t>4% secured loan (Caisse des Depots), due 1 Dec 2031, EUR 1.7m</t>
        </is>
      </c>
      <c r="C16" s="2" t="inlineStr">
        <is>
          <t>S4</t>
        </is>
      </c>
      <c r="D16" s="2" t="n">
        <v>43</v>
      </c>
      <c r="E16" s="2" t="inlineStr">
        <is>
          <t>F1869</t>
        </is>
      </c>
    </row>
    <row r="17">
      <c r="A17" s="2" t="n"/>
      <c r="B17" s="3" t="inlineStr">
        <is>
          <t>4% secured loan (Caisse des Depots), due 1 Dec 2032, EUR 12.6m; fixed 4% capitalised for three years, then variable component on kWh sold</t>
        </is>
      </c>
      <c r="C17" s="2" t="inlineStr">
        <is>
          <t>S4</t>
        </is>
      </c>
      <c r="D17" s="2" t="n">
        <v>43</v>
      </c>
      <c r="E17" s="2" t="inlineStr">
        <is>
          <t>F1870</t>
        </is>
      </c>
    </row>
    <row r="18">
      <c r="A18" s="2" t="n"/>
      <c r="B18" s="3" t="inlineStr">
        <is>
          <t>German Regional Tender government grant treated as interest-free loan (financial liability), due 1 Dec 2032, EUR 9.0m (31 Dec 2025: 8.7); repaid via remuneration sharing per kWh</t>
        </is>
      </c>
      <c r="C18" s="2" t="inlineStr">
        <is>
          <t>S4</t>
        </is>
      </c>
      <c r="D18" s="2" t="n">
        <v>43</v>
      </c>
      <c r="E18" s="2" t="inlineStr">
        <is>
          <t>F1871</t>
        </is>
      </c>
    </row>
    <row r="19">
      <c r="A19" s="2" t="n"/>
      <c r="B19" s="3" t="inlineStr">
        <is>
          <t>Green loan Facility A1 (EUR 55m commitment), floating EURIBOR + margin, matures 22 Jan 2031, senior secured, carrying EUR 13.4m net of transaction costs</t>
        </is>
      </c>
      <c r="C19" s="2" t="inlineStr">
        <is>
          <t>S4</t>
        </is>
      </c>
      <c r="D19" s="2" t="n">
        <v>43</v>
      </c>
      <c r="E19" s="2" t="inlineStr">
        <is>
          <t>F1872</t>
        </is>
      </c>
    </row>
    <row r="20">
      <c r="A20" s="2" t="n"/>
      <c r="B20" s="3" t="inlineStr">
        <is>
          <t>Green loan Facility A2 (CHF 23.2m commitment), floating SARON + margin, matures 22 Jan 2031, senior secured, carrying EUR 1.7m</t>
        </is>
      </c>
      <c r="C20" s="2" t="inlineStr">
        <is>
          <t>S4</t>
        </is>
      </c>
      <c r="D20" s="2" t="n">
        <v>43</v>
      </c>
      <c r="E20" s="2" t="inlineStr">
        <is>
          <t>F1873</t>
        </is>
      </c>
    </row>
    <row r="21">
      <c r="A21" s="2" t="n"/>
      <c r="B21" s="3" t="inlineStr">
        <is>
          <t>Green loan Facility B (EUR 20m commitment), fixed rate, matures 22 Jan 2031, senior secured, carrying EUR 3.8m</t>
        </is>
      </c>
      <c r="C21" s="2" t="inlineStr">
        <is>
          <t>S4</t>
        </is>
      </c>
      <c r="D21" s="2" t="n">
        <v>43</v>
      </c>
      <c r="E21" s="2" t="inlineStr">
        <is>
          <t>F1874</t>
        </is>
      </c>
    </row>
    <row r="22">
      <c r="A22" s="2" t="n"/>
      <c r="B22" s="3" t="inlineStr">
        <is>
          <t>EUR 100m senior secured multi-currency green term facility (Jan 2026), five lenders, borrower ring-fenced subsidiary, matures 22 Jan 2031; tranches A1 EUR 55m, A2 CHF 23.2m, B EUR 20m</t>
        </is>
      </c>
      <c r="C22" s="2" t="inlineStr">
        <is>
          <t>S4</t>
        </is>
      </c>
      <c r="D22" s="2" t="n">
        <v>44</v>
      </c>
      <c r="E22" s="2" t="inlineStr">
        <is>
          <t>F1875</t>
        </is>
      </c>
    </row>
    <row r="23">
      <c r="A23" s="2" t="n"/>
      <c r="B23" s="3" t="inlineStr">
        <is>
          <t>Retail bond, first 2025 issue (January 2025), EUR 36.6m raised; coupon and maturity not in these pages.</t>
        </is>
      </c>
      <c r="C23" s="2" t="inlineStr">
        <is>
          <t>S3</t>
        </is>
      </c>
      <c r="D23" s="2" t="n">
        <v>3</v>
      </c>
      <c r="E23" s="2" t="inlineStr">
        <is>
          <t>F1203</t>
        </is>
      </c>
    </row>
    <row r="24">
      <c r="A24" s="2" t="n"/>
      <c r="B24" s="3" t="inlineStr">
        <is>
          <t>Retail bond, second 2025 issue (May 2025), EUR 34.7m raised; coupon and maturity not in these pages.</t>
        </is>
      </c>
      <c r="C24" s="2" t="inlineStr">
        <is>
          <t>S3</t>
        </is>
      </c>
      <c r="D24" s="2" t="n">
        <v>3</v>
      </c>
      <c r="E24" s="2" t="inlineStr">
        <is>
          <t>F1204</t>
        </is>
      </c>
    </row>
    <row r="25">
      <c r="A25" s="2" t="n"/>
      <c r="B25" s="3" t="inlineStr">
        <is>
          <t>Retail bond, third 2025 tranche (November 2025), EUR 39.1m raised, the largest single issue to date; coupon and maturity not in these pages.</t>
        </is>
      </c>
      <c r="C25" s="2" t="inlineStr">
        <is>
          <t>S3</t>
        </is>
      </c>
      <c r="D25" s="2" t="n">
        <v>4</v>
      </c>
      <c r="E25" s="2" t="inlineStr">
        <is>
          <t>F1205</t>
        </is>
      </c>
    </row>
    <row r="26">
      <c r="A26" s="2" t="n"/>
      <c r="B26" s="3" t="inlineStr">
        <is>
          <t>5.0% unsecured corporate bond maturing 12/12/2026, €12.0m outstanding at end 2025 (2024: €30.4m), unsecured, not subordinated, unlisted</t>
        </is>
      </c>
      <c r="C26" s="2" t="inlineStr">
        <is>
          <t>S3</t>
        </is>
      </c>
      <c r="D26" s="2" t="n">
        <v>172</v>
      </c>
      <c r="E26" s="2" t="inlineStr">
        <is>
          <t>F1206</t>
        </is>
      </c>
    </row>
    <row r="27">
      <c r="A27" s="2" t="n"/>
      <c r="B27" s="3" t="inlineStr">
        <is>
          <t>5.0% unsecured corporate bond maturing 21/06/2027, €7.3m outstanding (2024: €13.2m), unsecured, not subordinated, unlisted</t>
        </is>
      </c>
      <c r="C27" s="2" t="inlineStr">
        <is>
          <t>S3</t>
        </is>
      </c>
      <c r="D27" s="2" t="n">
        <v>172</v>
      </c>
      <c r="E27" s="2" t="inlineStr">
        <is>
          <t>F1207</t>
        </is>
      </c>
    </row>
    <row r="28">
      <c r="A28" s="2" t="n"/>
      <c r="B28" s="3" t="inlineStr">
        <is>
          <t>5.5% unsecured corporate bond maturing 12/06/2028, €24.4m outstanding (2024: €24.4m), unsecured, not subordinated, unlisted</t>
        </is>
      </c>
      <c r="C28" s="2" t="inlineStr">
        <is>
          <t>S3</t>
        </is>
      </c>
      <c r="D28" s="2" t="n">
        <v>172</v>
      </c>
      <c r="E28" s="2" t="inlineStr">
        <is>
          <t>F1208</t>
        </is>
      </c>
    </row>
    <row r="29">
      <c r="A29" s="2" t="n"/>
      <c r="B29" s="3" t="inlineStr">
        <is>
          <t>6.0% unsecured corporate bond maturing 16/10/2028, €34.5m outstanding (2024: €34.5m), unsecured, not subordinated, unlisted</t>
        </is>
      </c>
      <c r="C29" s="2" t="inlineStr">
        <is>
          <t>S3</t>
        </is>
      </c>
      <c r="D29" s="2" t="n">
        <v>172</v>
      </c>
      <c r="E29" s="2" t="inlineStr">
        <is>
          <t>F1209</t>
        </is>
      </c>
    </row>
    <row r="30">
      <c r="A30" s="2" t="n"/>
      <c r="B30" s="3" t="inlineStr">
        <is>
          <t>6.0% unsecured corporate bond maturing 19/02/2029, €27.9m outstanding (2024: €27.9m), unsecured, not subordinated, unlisted (note 15.4 labels it 5.5%)</t>
        </is>
      </c>
      <c r="C30" s="2" t="inlineStr">
        <is>
          <t>S3</t>
        </is>
      </c>
      <c r="D30" s="2" t="n">
        <v>172</v>
      </c>
      <c r="E30" s="2" t="inlineStr">
        <is>
          <t>F1210</t>
        </is>
      </c>
    </row>
    <row r="31">
      <c r="A31" s="2" t="n"/>
      <c r="B31" s="3" t="inlineStr">
        <is>
          <t>6.0% unsecured corporate bond maturing 21/06/2029, €33.1m outstanding (2024: €33.1m), unsecured, not subordinated, unlisted</t>
        </is>
      </c>
      <c r="C31" s="2" t="inlineStr">
        <is>
          <t>S3</t>
        </is>
      </c>
      <c r="D31" s="2" t="n">
        <v>172</v>
      </c>
      <c r="E31" s="2" t="inlineStr">
        <is>
          <t>F1211</t>
        </is>
      </c>
    </row>
    <row r="32">
      <c r="A32" s="2" t="n"/>
      <c r="B32" s="3" t="inlineStr">
        <is>
          <t>6.0% unsecured corporate bond maturing 30/10/2029, €22.1m outstanding (2024: €22.1m), unsecured, not subordinated, unlisted</t>
        </is>
      </c>
      <c r="C32" s="2" t="inlineStr">
        <is>
          <t>S3</t>
        </is>
      </c>
      <c r="D32" s="2" t="n">
        <v>172</v>
      </c>
      <c r="E32" s="2" t="inlineStr">
        <is>
          <t>F1212</t>
        </is>
      </c>
    </row>
    <row r="33">
      <c r="A33" s="2" t="n"/>
      <c r="B33" s="3" t="inlineStr">
        <is>
          <t>6.0% unsecured corporate bond maturing 19/02/2030, €36.5m outstanding, issued February 2025, unsecured, not subordinated, unlisted</t>
        </is>
      </c>
      <c r="C33" s="2" t="inlineStr">
        <is>
          <t>S3</t>
        </is>
      </c>
      <c r="D33" s="2" t="n">
        <v>172</v>
      </c>
      <c r="E33" s="2" t="inlineStr">
        <is>
          <t>F1213</t>
        </is>
      </c>
    </row>
    <row r="34">
      <c r="A34" s="2" t="n"/>
      <c r="B34" s="3" t="inlineStr">
        <is>
          <t>6.0% unsecured corporate bond maturing 21/06/2030, €34.8m outstanding, issued June 2025, unsecured, not subordinated, unlisted</t>
        </is>
      </c>
      <c r="C34" s="2" t="inlineStr">
        <is>
          <t>S3</t>
        </is>
      </c>
      <c r="D34" s="2" t="n">
        <v>172</v>
      </c>
      <c r="E34" s="2" t="inlineStr">
        <is>
          <t>F1214</t>
        </is>
      </c>
    </row>
    <row r="35">
      <c r="A35" s="2" t="n"/>
      <c r="B35" s="3" t="inlineStr">
        <is>
          <t>6.0% unsecured corporate bond maturing 30/10/2030, €39.1m outstanding, issued October 2025, unsecured, not subordinated, unlisted</t>
        </is>
      </c>
      <c r="C35" s="2" t="inlineStr">
        <is>
          <t>S3</t>
        </is>
      </c>
      <c r="D35" s="2" t="n">
        <v>172</v>
      </c>
      <c r="E35" s="2" t="inlineStr">
        <is>
          <t>F1215</t>
        </is>
      </c>
    </row>
    <row r="36">
      <c r="A36" s="2" t="n"/>
      <c r="B36" s="3" t="inlineStr">
        <is>
          <t>4% secured loan from Caisse des Dépôts maturing 01/12/2031, €2.1m outstanding (2024: €2.2m)</t>
        </is>
      </c>
      <c r="C36" s="2" t="inlineStr">
        <is>
          <t>S3</t>
        </is>
      </c>
      <c r="D36" s="2" t="n">
        <v>172</v>
      </c>
      <c r="E36" s="2" t="inlineStr">
        <is>
          <t>F1216</t>
        </is>
      </c>
    </row>
    <row r="37">
      <c r="A37" s="2" t="n"/>
      <c r="B37" s="3" t="inlineStr">
        <is>
          <t>4% secured loan from Caisse des Dépôts maturing 01/12/2032, €12.6m outstanding (2024: €12.1m); fixed interest accrued in the first three years plus variable interest on kWh sold</t>
        </is>
      </c>
      <c r="C37" s="2" t="inlineStr">
        <is>
          <t>S3</t>
        </is>
      </c>
      <c r="D37" s="2" t="n">
        <v>172</v>
      </c>
      <c r="E37" s="2" t="inlineStr">
        <is>
          <t>F1217</t>
        </is>
      </c>
    </row>
    <row r="38">
      <c r="A38" s="2" t="n"/>
      <c r="B38" s="3" t="inlineStr">
        <is>
          <t>German Regional Tender loan (government grant treated as interest-free loan) maturing 01/12/2031, €8.7m (2024: €4.6m), repaid via €0.15 per kWh remuneration sharing</t>
        </is>
      </c>
      <c r="C38" s="2" t="inlineStr">
        <is>
          <t>S3</t>
        </is>
      </c>
      <c r="D38" s="2" t="n">
        <v>172</v>
      </c>
      <c r="E38" s="2" t="inlineStr">
        <is>
          <t>F1218</t>
        </is>
      </c>
    </row>
    <row r="39">
      <c r="A39" s="2" t="n"/>
      <c r="B39" s="3" t="inlineStr">
        <is>
          <t>TICO Financing: EUR 100m five-year limited-recourse senior secured term facilities, drawable in EUR and CHF, floating- and fixed-rate tranches at interbank reference rates plus a margin, signed January 2026, secured on the TICO Group.</t>
        </is>
      </c>
      <c r="C39" s="2" t="inlineStr">
        <is>
          <t>S3</t>
        </is>
      </c>
      <c r="D39" s="2" t="n">
        <v>195</v>
      </c>
      <c r="E39" s="2" t="inlineStr">
        <is>
          <t>F1219</t>
        </is>
      </c>
    </row>
    <row r="40">
      <c r="A40" s="2" t="n"/>
      <c r="B40" s="3" t="inlineStr">
        <is>
          <t>Unsecured corporate bonds issued February 2026: EUR 30.1m new money plus EUR 2.3m extended from earlier issues, 6% per annum payable quarterly in arrears; maturity not stated.</t>
        </is>
      </c>
      <c r="C40" s="2" t="inlineStr">
        <is>
          <t>S3</t>
        </is>
      </c>
      <c r="D40" s="2" t="n">
        <v>195</v>
      </c>
      <c r="E40" s="2" t="inlineStr">
        <is>
          <t>F1220</t>
        </is>
      </c>
    </row>
    <row r="41">
      <c r="A41" s="2" t="n"/>
      <c r="B41" s="3" t="inlineStr">
        <is>
          <t>Unsecured corporate bond 6.0%, maturity 28/07/2025, EUR 9.2m outstanding (2023: 16.2m after EUR 7.0m extended into new bonds in 2024); unsecured, not subordinated, no covenants, unlisted.</t>
        </is>
      </c>
      <c r="C41" s="2" t="inlineStr">
        <is>
          <t>S2</t>
        </is>
      </c>
      <c r="D41" s="2" t="n">
        <v>146</v>
      </c>
      <c r="E41" s="2" t="inlineStr">
        <is>
          <t>F622</t>
        </is>
      </c>
    </row>
    <row r="42">
      <c r="A42" s="2" t="n"/>
      <c r="B42" s="3" t="inlineStr">
        <is>
          <t>Unsecured corporate bond 6.0%, maturity 19/11/2025, EUR 12.7m outstanding (2023: 21.2m after EUR 8.5m extended into new bonds in 2024); unsecured, not subordinated, no covenants.</t>
        </is>
      </c>
      <c r="C42" s="2" t="inlineStr">
        <is>
          <t>S2</t>
        </is>
      </c>
      <c r="D42" s="2" t="n">
        <v>146</v>
      </c>
      <c r="E42" s="2" t="inlineStr">
        <is>
          <t>F623</t>
        </is>
      </c>
    </row>
    <row r="43">
      <c r="A43" s="2" t="n"/>
      <c r="B43" s="3" t="inlineStr">
        <is>
          <t>Unsecured corporate bond 5.0%, maturity 12/12/2026, EUR 30.4m outstanding (2023: 30.4m); unsecured, not subordinated, no covenants.</t>
        </is>
      </c>
      <c r="C43" s="2" t="inlineStr">
        <is>
          <t>S2</t>
        </is>
      </c>
      <c r="D43" s="2" t="n">
        <v>146</v>
      </c>
      <c r="E43" s="2" t="inlineStr">
        <is>
          <t>F624</t>
        </is>
      </c>
    </row>
    <row r="44">
      <c r="A44" s="2" t="n"/>
      <c r="B44" s="3" t="inlineStr">
        <is>
          <t>Unsecured corporate bond 5.0%, maturity 21/06/2027, EUR 13.2m outstanding (2023: 13.2m); unsecured, not subordinated, no covenants.</t>
        </is>
      </c>
      <c r="C44" s="2" t="inlineStr">
        <is>
          <t>S2</t>
        </is>
      </c>
      <c r="D44" s="2" t="n">
        <v>146</v>
      </c>
      <c r="E44" s="2" t="inlineStr">
        <is>
          <t>F625</t>
        </is>
      </c>
    </row>
    <row r="45">
      <c r="A45" s="2" t="n"/>
      <c r="B45" s="3" t="inlineStr">
        <is>
          <t>Unsecured corporate bond 5.5%, maturity 12/06/2028, EUR 24.4m outstanding (2023: 24.4m; issued June 2023 EUR 22.0m plus 2.4m extensions); unsecured, not subordinated, no covenants.</t>
        </is>
      </c>
      <c r="C45" s="2" t="inlineStr">
        <is>
          <t>S2</t>
        </is>
      </c>
      <c r="D45" s="2" t="n">
        <v>146</v>
      </c>
      <c r="E45" s="2" t="inlineStr">
        <is>
          <t>F626</t>
        </is>
      </c>
    </row>
    <row r="46">
      <c r="A46" s="2" t="n"/>
      <c r="B46" s="3" t="inlineStr">
        <is>
          <t>Unsecured corporate bond 6.0%, maturity 16/10/2028, EUR 34.5m outstanding (2023: 34.5m; issued Oct 2023 EUR 31.0m plus 3.5m extensions; the 2023 reconciliation table labels this line '6% secured loan'); unsecured per note 14.3, no covenants.</t>
        </is>
      </c>
      <c r="C46" s="2" t="inlineStr">
        <is>
          <t>S2</t>
        </is>
      </c>
      <c r="D46" s="2" t="n">
        <v>146</v>
      </c>
      <c r="E46" s="2" t="inlineStr">
        <is>
          <t>F627</t>
        </is>
      </c>
    </row>
    <row r="47">
      <c r="A47" s="2" t="n"/>
      <c r="B47" s="3" t="inlineStr">
        <is>
          <t>Unsecured corporate bond 6.0% per table, maturity 19/02/2029, EUR 27.9m; issued Feb 2024 (EUR 24.4m new money plus 3.4m extensions; narrative states 5.5% coupon, quarterly in arrears); unsecured, not subordinated, no covenants.</t>
        </is>
      </c>
      <c r="C47" s="2" t="inlineStr">
        <is>
          <t>S2</t>
        </is>
      </c>
      <c r="D47" s="2" t="n">
        <v>146</v>
      </c>
      <c r="E47" s="2" t="inlineStr">
        <is>
          <t>F628</t>
        </is>
      </c>
    </row>
    <row r="48">
      <c r="A48" s="2" t="n"/>
      <c r="B48" s="3" t="inlineStr">
        <is>
          <t>Unsecured corporate bond 6.0%, maturity 21/06/2029, EUR 33.1m; issued June 2024 (EUR 20.7m new money plus 12.3m extensions); quarterly coupon; unsecured, not subordinated, no covenants.</t>
        </is>
      </c>
      <c r="C48" s="2" t="inlineStr">
        <is>
          <t>S2</t>
        </is>
      </c>
      <c r="D48" s="2" t="n">
        <v>146</v>
      </c>
      <c r="E48" s="2" t="inlineStr">
        <is>
          <t>F629</t>
        </is>
      </c>
    </row>
    <row r="49">
      <c r="A49" s="2" t="n"/>
      <c r="B49" s="3" t="inlineStr">
        <is>
          <t>Unsecured corporate bond 6.0%, maturity 30/10/2029, EUR 22.1m; issued Oct 2024 (EUR 17.1m new money plus 4.9m extensions); quarterly coupon; unsecured, not subordinated, no covenants.</t>
        </is>
      </c>
      <c r="C49" s="2" t="inlineStr">
        <is>
          <t>S2</t>
        </is>
      </c>
      <c r="D49" s="2" t="n">
        <v>146</v>
      </c>
      <c r="E49" s="2" t="inlineStr">
        <is>
          <t>F630</t>
        </is>
      </c>
    </row>
    <row r="50">
      <c r="A50" s="2" t="n"/>
      <c r="B50" s="3" t="inlineStr">
        <is>
          <t>4% secured loan (Caisse des Depots), tranche of EUR 2.2m at 31 Dec 2024 (2023: 2.2m), maturity 01/12/2031; interest capitalised in first three years, variable kWh-based component thereafter.</t>
        </is>
      </c>
      <c r="C50" s="2" t="inlineStr">
        <is>
          <t>S2</t>
        </is>
      </c>
      <c r="D50" s="2" t="n">
        <v>146</v>
      </c>
      <c r="E50" s="2" t="inlineStr">
        <is>
          <t>F631</t>
        </is>
      </c>
    </row>
    <row r="51">
      <c r="A51" s="2" t="n"/>
      <c r="B51" s="3" t="inlineStr">
        <is>
          <t>4% secured loan (Caisse des Depots), second tranche EUR 12.1m at 31 Dec 2024 (2023: 1.9m; EUR 10.2m drawn 2024), maturity 01/12/2031 in note 14.3 (01/12/2032 in note 14.4); 4% fixed capitalised for three years, then variable kWh-based component.</t>
        </is>
      </c>
      <c r="C51" s="2" t="inlineStr">
        <is>
          <t>S2</t>
        </is>
      </c>
      <c r="D51" s="2" t="n">
        <v>146</v>
      </c>
      <c r="E51" s="2" t="inlineStr">
        <is>
          <t>F632</t>
        </is>
      </c>
    </row>
    <row r="52">
      <c r="A52" s="2" t="n"/>
      <c r="B52" s="3" t="inlineStr">
        <is>
          <t>German Regional Tender forgivable loan (government grant treated as interest-free financial liability), EUR 4.6m at 31 Dec 2024, maturity 01/12/2031, reduced over time via fee-sharing arrangement.</t>
        </is>
      </c>
      <c r="C52" s="2" t="inlineStr">
        <is>
          <t>S2</t>
        </is>
      </c>
      <c r="D52" s="2" t="n">
        <v>146</v>
      </c>
      <c r="E52" s="2" t="inlineStr">
        <is>
          <t>F633</t>
        </is>
      </c>
    </row>
    <row r="53">
      <c r="A53" s="2" t="n"/>
      <c r="B53" s="3" t="inlineStr">
        <is>
          <t>Bonds placed with retail investors: total outstanding EUR 159.9 million at end 2023 (two issues in 2023 of EUR 22m and more than EUR 30m; coupons and maturities in note 14).</t>
        </is>
      </c>
      <c r="C53" s="2" t="inlineStr">
        <is>
          <t>S1</t>
        </is>
      </c>
      <c r="D53" s="2" t="n">
        <v>17</v>
      </c>
      <c r="E53" s="2" t="inlineStr">
        <is>
          <t>F156</t>
        </is>
      </c>
    </row>
    <row r="54">
      <c r="A54" s="2" t="n"/>
      <c r="B54" s="3" t="inlineStr">
        <is>
          <t>6.0% unsecured corporate bond maturing 21/03/2024, EUR 7,304k outstanding at 31 Dec 2023 (2022: 8,748k), unsecured, not subordinated, no covenants, unlisted</t>
        </is>
      </c>
      <c r="C54" s="2" t="inlineStr">
        <is>
          <t>S1</t>
        </is>
      </c>
      <c r="D54" s="2" t="n">
        <v>136</v>
      </c>
      <c r="E54" s="2" t="inlineStr">
        <is>
          <t>F157</t>
        </is>
      </c>
    </row>
    <row r="55">
      <c r="A55" s="2" t="n"/>
      <c r="B55" s="3" t="inlineStr">
        <is>
          <t>6.0% unsecured corporate bond maturing 12/12/2024, EUR 9,659k at 31 Dec 2023 (2022: 12,177k), unsecured, unlisted</t>
        </is>
      </c>
      <c r="C55" s="2" t="inlineStr">
        <is>
          <t>S1</t>
        </is>
      </c>
      <c r="D55" s="2" t="n">
        <v>136</v>
      </c>
      <c r="E55" s="2" t="inlineStr">
        <is>
          <t>F158</t>
        </is>
      </c>
    </row>
    <row r="56">
      <c r="A56" s="2" t="n"/>
      <c r="B56" s="3" t="inlineStr">
        <is>
          <t>6.0% unsecured corporate bond maturing 28/07/2025, EUR 16,206k at 31 Dec 2023 (2022: 16,206k)</t>
        </is>
      </c>
      <c r="C56" s="2" t="inlineStr">
        <is>
          <t>S1</t>
        </is>
      </c>
      <c r="D56" s="2" t="n">
        <v>136</v>
      </c>
      <c r="E56" s="2" t="inlineStr">
        <is>
          <t>F159</t>
        </is>
      </c>
    </row>
    <row r="57">
      <c r="A57" s="2" t="n"/>
      <c r="B57" s="3" t="inlineStr">
        <is>
          <t>6.0% unsecured corporate bond maturing 19/11/2025, EUR 21,194k at 31 Dec 2023 (2022: 21,194k)</t>
        </is>
      </c>
      <c r="C57" s="2" t="inlineStr">
        <is>
          <t>S1</t>
        </is>
      </c>
      <c r="D57" s="2" t="n">
        <v>136</v>
      </c>
      <c r="E57" s="2" t="inlineStr">
        <is>
          <t>F160</t>
        </is>
      </c>
    </row>
    <row r="58">
      <c r="A58" s="2" t="n"/>
      <c r="B58" s="3" t="inlineStr">
        <is>
          <t>5.0% unsecured corporate bond maturing 06/12/2027 per note 14.3 (note 14.4 lists 12/12/26), EUR 30,357k at 31 Dec 2023 (2022: 30,358k)</t>
        </is>
      </c>
      <c r="C58" s="2" t="inlineStr">
        <is>
          <t>S1</t>
        </is>
      </c>
      <c r="D58" s="2" t="n">
        <v>136</v>
      </c>
      <c r="E58" s="2" t="inlineStr">
        <is>
          <t>F161</t>
        </is>
      </c>
    </row>
    <row r="59">
      <c r="A59" s="2" t="n"/>
      <c r="B59" s="3" t="inlineStr">
        <is>
          <t>5.0% unsecured corporate bond maturing 21/12/2027 per note 14.3 (note 14.4 lists 21/06/27), EUR 13,248k at 31 Dec 2023 (2022: 13,237k)</t>
        </is>
      </c>
      <c r="C59" s="2" t="inlineStr">
        <is>
          <t>S1</t>
        </is>
      </c>
      <c r="D59" s="2" t="n">
        <v>136</v>
      </c>
      <c r="E59" s="2" t="inlineStr">
        <is>
          <t>F162</t>
        </is>
      </c>
    </row>
    <row r="60">
      <c r="A60" s="2" t="n"/>
      <c r="B60" s="3" t="inlineStr">
        <is>
          <t>5.5% unsecured corporate bond issued June 2023 maturing 12/06/2028, EUR 24,413k at 31 Dec 2023 (EUR 22.0m new money plus 2.4m extensions), interest quarterly in arrears</t>
        </is>
      </c>
      <c r="C60" s="2" t="inlineStr">
        <is>
          <t>S1</t>
        </is>
      </c>
      <c r="D60" s="2" t="n">
        <v>136</v>
      </c>
      <c r="E60" s="2" t="inlineStr">
        <is>
          <t>F163</t>
        </is>
      </c>
    </row>
    <row r="61">
      <c r="A61" s="2" t="n"/>
      <c r="B61" s="3" t="inlineStr">
        <is>
          <t>6.0% unsecured corporate bond issued October 2023 maturing 16/10/2028, EUR 34,537k at 31 Dec 2023 (EUR 31.0m new money plus 3.5m extensions), interest quarterly in arrears</t>
        </is>
      </c>
      <c r="C61" s="2" t="inlineStr">
        <is>
          <t>S1</t>
        </is>
      </c>
      <c r="D61" s="2" t="n">
        <v>136</v>
      </c>
      <c r="E61" s="2" t="inlineStr">
        <is>
          <t>F164</t>
        </is>
      </c>
    </row>
    <row r="62">
      <c r="A62" s="2" t="n"/>
      <c r="B62" s="3" t="inlineStr">
        <is>
          <t>4% secured loan from Caisse des Dépôts maturing 01/12/2031, EUR 2,160k at 31 Dec 2023 (2022: 2,077k); 4% fixed capitalised for two years, then a variable component based on kWh sold</t>
        </is>
      </c>
      <c r="C62" s="2" t="inlineStr">
        <is>
          <t>S1</t>
        </is>
      </c>
      <c r="D62" s="2" t="n">
        <v>136</v>
      </c>
      <c r="E62" s="2" t="inlineStr">
        <is>
          <t>F165</t>
        </is>
      </c>
    </row>
    <row r="63">
      <c r="A63" s="2" t="n"/>
      <c r="B63" s="3" t="inlineStr">
        <is>
          <t>4% secured loan from Caisse des Dépôts maturing 01/12/2032, EUR 1,921k drawn in 2023</t>
        </is>
      </c>
      <c r="C63" s="2" t="inlineStr">
        <is>
          <t>S1</t>
        </is>
      </c>
      <c r="D63" s="2" t="n">
        <v>136</v>
      </c>
      <c r="E63" s="2" t="inlineStr">
        <is>
          <t>F166</t>
        </is>
      </c>
    </row>
    <row r="64">
      <c r="A64" s="2" t="n"/>
      <c r="B64" s="2" t="inlineStr">
        <is>
          <t>COVENANTS AND TERMS</t>
        </is>
      </c>
      <c r="C64" s="2" t="n"/>
      <c r="D64" s="2" t="n"/>
      <c r="E64" s="2" t="n"/>
    </row>
    <row r="65">
      <c r="A65" s="2" t="n"/>
      <c r="B65" s="3" t="inlineStr">
        <is>
          <t>covenant: minimum tangible equity and minimum tangible equity to total assets (bank guarantee facility, Fastned B.V. company level); formula as defined: tangible equity; tangible equity divided by total assets; threshold: not disclosed; direction: min; test frequency: quarterly</t>
        </is>
      </c>
      <c r="C65" s="2" t="inlineStr">
        <is>
          <t>S3</t>
        </is>
      </c>
      <c r="D65" s="2" t="n">
        <v>184</v>
      </c>
      <c r="E65" s="2" t="inlineStr">
        <is>
          <t>F1686</t>
        </is>
      </c>
    </row>
    <row r="66">
      <c r="A66" s="2" t="n"/>
      <c r="B66" s="3" t="inlineStr">
        <is>
          <t>Retail bonds: no security and no covenants that could require Fastned to repay.</t>
        </is>
      </c>
      <c r="C66" s="2" t="inlineStr">
        <is>
          <t>S4</t>
        </is>
      </c>
      <c r="D66" s="2" t="n">
        <v>44</v>
      </c>
      <c r="E66" s="2" t="inlineStr">
        <is>
          <t>F1876</t>
        </is>
      </c>
    </row>
    <row r="67">
      <c r="A67" s="2" t="n"/>
      <c r="B67" s="3" t="inlineStr">
        <is>
          <t>Green loan facility: secured, senior, subject to financial covenants first tested on 31 December 2029.</t>
        </is>
      </c>
      <c r="C67" s="2" t="inlineStr">
        <is>
          <t>S4</t>
        </is>
      </c>
      <c r="D67" s="2" t="n">
        <v>44</v>
      </c>
      <c r="E67" s="2" t="inlineStr">
        <is>
          <t>F1877</t>
        </is>
      </c>
    </row>
    <row r="68">
      <c r="A68" s="2" t="n"/>
      <c r="B68" s="3" t="inlineStr">
        <is>
          <t>Bank guarantee facility (EUR 20m): all financial covenants removed in H1 2026; uncommitted and unsecured.</t>
        </is>
      </c>
      <c r="C68" s="2" t="inlineStr">
        <is>
          <t>S4</t>
        </is>
      </c>
      <c r="D68" s="2" t="n">
        <v>48</v>
      </c>
      <c r="E68" s="2" t="inlineStr">
        <is>
          <t>F1878</t>
        </is>
      </c>
    </row>
    <row r="69">
      <c r="A69" s="2" t="n"/>
      <c r="B69" s="3" t="inlineStr">
        <is>
          <t>The unsecured bonds carry no financial covenants that could require Fastned to repay the loans and no security.</t>
        </is>
      </c>
      <c r="C69" s="2" t="inlineStr">
        <is>
          <t>S3</t>
        </is>
      </c>
      <c r="D69" s="2" t="n">
        <v>173</v>
      </c>
      <c r="E69" s="2" t="inlineStr">
        <is>
          <t>F1221</t>
        </is>
      </c>
    </row>
    <row r="70">
      <c r="A70" s="2" t="n"/>
      <c r="B70" s="3" t="inlineStr">
        <is>
          <t>Bank guarantee facility covenants: Fastned B.V. as borrower must maintain a minimum level of tangible equity and a minimum ratio of tangible equity to total assets; tested quarterly by management; complied at 31 Dec 2025.</t>
        </is>
      </c>
      <c r="C70" s="2" t="inlineStr">
        <is>
          <t>S3</t>
        </is>
      </c>
      <c r="D70" s="2" t="n">
        <v>184</v>
      </c>
      <c r="E70" s="2" t="inlineStr">
        <is>
          <t>F1222</t>
        </is>
      </c>
    </row>
    <row r="71">
      <c r="A71" s="2" t="n"/>
      <c r="B71" s="3" t="inlineStr">
        <is>
          <t>TICO Financing contains financial covenants including leverage and interest cover tests and restrictions on additional indebtedness and distributions; thresholds not disclosed.</t>
        </is>
      </c>
      <c r="C71" s="2" t="inlineStr">
        <is>
          <t>S3</t>
        </is>
      </c>
      <c r="D71" s="2" t="n">
        <v>195</v>
      </c>
      <c r="E71" s="2" t="inlineStr">
        <is>
          <t>F1223</t>
        </is>
      </c>
    </row>
    <row r="72">
      <c r="A72" s="2" t="n"/>
      <c r="B72" s="3" t="inlineStr">
        <is>
          <t>Bonds carry no security and no covenants that could require Fastned to repay any of the loans.</t>
        </is>
      </c>
      <c r="C72" s="2" t="inlineStr">
        <is>
          <t>S2</t>
        </is>
      </c>
      <c r="D72" s="2" t="n">
        <v>147</v>
      </c>
      <c r="E72" s="2" t="inlineStr">
        <is>
          <t>F634</t>
        </is>
      </c>
    </row>
    <row r="73">
      <c r="A73" s="2" t="n"/>
      <c r="B73" s="3" t="inlineStr">
        <is>
          <t>No covenants apply to the bonds that could require early repayment; bonds are unsecured.</t>
        </is>
      </c>
      <c r="C73" s="2" t="inlineStr">
        <is>
          <t>S1</t>
        </is>
      </c>
      <c r="D73" s="2" t="n">
        <v>136</v>
      </c>
      <c r="E73" s="2" t="inlineStr">
        <is>
          <t>F167</t>
        </is>
      </c>
    </row>
    <row r="74">
      <c r="A74" s="2" t="n"/>
      <c r="B74" s="3" t="inlineStr">
        <is>
          <t>term: holders (retail bonds); value: thousands of retail investors in the Netherlands and Belgium, more than 12,000 bondholders</t>
        </is>
      </c>
      <c r="C74" s="2" t="inlineStr">
        <is>
          <t>S4</t>
        </is>
      </c>
      <c r="D74" s="2" t="n">
        <v>12</v>
      </c>
      <c r="E74" s="2" t="inlineStr">
        <is>
          <t>F2041</t>
        </is>
      </c>
    </row>
    <row r="75">
      <c r="A75" s="2" t="n"/>
      <c r="B75" s="3" t="inlineStr">
        <is>
          <t>term: rate type (retail bonds 2026 series); value: fixed 6% per annum, payable quarterly in arrears</t>
        </is>
      </c>
      <c r="C75" s="2" t="inlineStr">
        <is>
          <t>S4</t>
        </is>
      </c>
      <c r="D75" s="2" t="n">
        <v>44</v>
      </c>
      <c r="E75" s="2" t="inlineStr">
        <is>
          <t>F2042</t>
        </is>
      </c>
    </row>
    <row r="76">
      <c r="A76" s="2" t="n"/>
      <c r="B76" s="3" t="inlineStr">
        <is>
          <t>term: call; value: Group may repay all or part of outstanding bonds at any time where the Final Terms of the series allow early redemption</t>
        </is>
      </c>
      <c r="C76" s="2" t="inlineStr">
        <is>
          <t>S4</t>
        </is>
      </c>
      <c r="D76" s="2" t="n">
        <v>44</v>
      </c>
      <c r="E76" s="2" t="inlineStr">
        <is>
          <t>F2043</t>
        </is>
      </c>
    </row>
    <row r="77">
      <c r="A77" s="2" t="n"/>
      <c r="B77" s="3" t="inlineStr">
        <is>
          <t>term: listing / transfer (retail bonds); value: not registered on any exchange, trading very limited, not subordinated</t>
        </is>
      </c>
      <c r="C77" s="2" t="inlineStr">
        <is>
          <t>S4</t>
        </is>
      </c>
      <c r="D77" s="2" t="n">
        <v>44</v>
      </c>
      <c r="E77" s="2" t="inlineStr">
        <is>
          <t>F2044</t>
        </is>
      </c>
    </row>
    <row r="78">
      <c r="A78" s="2" t="n"/>
      <c r="B78" s="3" t="inlineStr">
        <is>
          <t>term: purpose (retail bonds); value: finance new stations and operating expenses</t>
        </is>
      </c>
      <c r="C78" s="2" t="inlineStr">
        <is>
          <t>S4</t>
        </is>
      </c>
      <c r="D78" s="2" t="n">
        <v>44</v>
      </c>
      <c r="E78" s="2" t="inlineStr">
        <is>
          <t>F2045</t>
        </is>
      </c>
    </row>
    <row r="79">
      <c r="A79" s="2" t="n"/>
      <c r="B79" s="3" t="inlineStr">
        <is>
          <t>term: margin step-up (green facility floating tranches); value: margins step up over the term of the facility</t>
        </is>
      </c>
      <c r="C79" s="2" t="inlineStr">
        <is>
          <t>S4</t>
        </is>
      </c>
      <c r="D79" s="2" t="n">
        <v>44</v>
      </c>
      <c r="E79" s="2" t="inlineStr">
        <is>
          <t>F2046</t>
        </is>
      </c>
    </row>
    <row r="80">
      <c r="A80" s="2" t="n"/>
      <c r="B80" s="3" t="inlineStr">
        <is>
          <t>term: incremental facilities (green facility); value: up to EUR 100m in aggregate, uncommitted, subject to lender approval of an updated financial model</t>
        </is>
      </c>
      <c r="C80" s="2" t="inlineStr">
        <is>
          <t>S4</t>
        </is>
      </c>
      <c r="D80" s="2" t="n">
        <v>44</v>
      </c>
      <c r="E80" s="2" t="inlineStr">
        <is>
          <t>F2047</t>
        </is>
      </c>
    </row>
    <row r="81">
      <c r="A81" s="2" t="n"/>
      <c r="B81" s="3" t="inlineStr">
        <is>
          <t>term: secured loan interest (Caisse des Depots, 2022-2024); value: fixed 4% capitalised in first three years, then variable component based on kWh sold payable annually; variable interest paid since 2025</t>
        </is>
      </c>
      <c r="C81" s="2" t="inlineStr">
        <is>
          <t>S4</t>
        </is>
      </c>
      <c r="D81" s="2" t="n">
        <v>44</v>
      </c>
      <c r="E81" s="2" t="inlineStr">
        <is>
          <t>F2048</t>
        </is>
      </c>
    </row>
    <row r="82">
      <c r="A82" s="2" t="n"/>
      <c r="B82" s="3" t="inlineStr">
        <is>
          <t>term: German government grant; value: interest-free loan unwound over the term, repaid via remuneration sharing at a fixed rate per kWh sold per site each quarter</t>
        </is>
      </c>
      <c r="C82" s="2" t="inlineStr">
        <is>
          <t>S4</t>
        </is>
      </c>
      <c r="D82" s="2" t="n">
        <v>44</v>
      </c>
      <c r="E82" s="2" t="inlineStr">
        <is>
          <t>F2049</t>
        </is>
      </c>
    </row>
    <row r="83">
      <c r="A83" s="2" t="n"/>
      <c r="B83" s="3" t="inlineStr">
        <is>
          <t>term: repayment (green facility); value: bullet at maturity 22 Jan 2031 with mandatory cash sweep in years four and five, first sweep date 30 June 2029</t>
        </is>
      </c>
      <c r="C83" s="2" t="inlineStr">
        <is>
          <t>S4</t>
        </is>
      </c>
      <c r="D83" s="2" t="n">
        <v>45</v>
      </c>
      <c r="E83" s="2" t="inlineStr">
        <is>
          <t>F2050</t>
        </is>
      </c>
    </row>
    <row r="84">
      <c r="A84" s="2" t="n"/>
      <c r="B84" s="3" t="inlineStr">
        <is>
          <t>term: hedging requirement (green facility); value: hedge a substantial portion of floating-rate interest risk; done via interest rate swaps</t>
        </is>
      </c>
      <c r="C84" s="2" t="inlineStr">
        <is>
          <t>S4</t>
        </is>
      </c>
      <c r="D84" s="2" t="n">
        <v>45</v>
      </c>
      <c r="E84" s="2" t="inlineStr">
        <is>
          <t>F2051</t>
        </is>
      </c>
    </row>
    <row r="85">
      <c r="A85" s="2" t="n"/>
      <c r="B85" s="3" t="inlineStr">
        <is>
          <t>term: rate type; value: fixed 6% per annum, payable quarterly in arrears (2025 bond issues)</t>
        </is>
      </c>
      <c r="C85" s="2" t="inlineStr">
        <is>
          <t>S3</t>
        </is>
      </c>
      <c r="D85" s="2" t="n">
        <v>173</v>
      </c>
      <c r="E85" s="2" t="inlineStr">
        <is>
          <t>F1740</t>
        </is>
      </c>
    </row>
    <row r="86">
      <c r="A86" s="2" t="n"/>
      <c r="B86" s="3" t="inlineStr">
        <is>
          <t>term: maturity; value: 5 years from issue</t>
        </is>
      </c>
      <c r="C86" s="2" t="inlineStr">
        <is>
          <t>S3</t>
        </is>
      </c>
      <c r="D86" s="2" t="n">
        <v>173</v>
      </c>
      <c r="E86" s="2" t="inlineStr">
        <is>
          <t>F1741</t>
        </is>
      </c>
    </row>
    <row r="87">
      <c r="A87" s="2" t="n"/>
      <c r="B87" s="3" t="inlineStr">
        <is>
          <t>term: security and covenants; value: no security, no covenants that could require repayment</t>
        </is>
      </c>
      <c r="C87" s="2" t="inlineStr">
        <is>
          <t>S3</t>
        </is>
      </c>
      <c r="D87" s="2" t="n">
        <v>173</v>
      </c>
      <c r="E87" s="2" t="inlineStr">
        <is>
          <t>F1742</t>
        </is>
      </c>
    </row>
    <row r="88">
      <c r="A88" s="2" t="n"/>
      <c r="B88" s="3" t="inlineStr">
        <is>
          <t>term: ranking and listing; value: not subordinated; not registered on any exchange, trading very limited</t>
        </is>
      </c>
      <c r="C88" s="2" t="inlineStr">
        <is>
          <t>S3</t>
        </is>
      </c>
      <c r="D88" s="2" t="n">
        <v>173</v>
      </c>
      <c r="E88" s="2" t="inlineStr">
        <is>
          <t>F1743</t>
        </is>
      </c>
    </row>
    <row r="89">
      <c r="A89" s="2" t="n"/>
      <c r="B89" s="3" t="inlineStr">
        <is>
          <t>term: use of proceeds; value: finance new stations and operating expenses</t>
        </is>
      </c>
      <c r="C89" s="2" t="inlineStr">
        <is>
          <t>S3</t>
        </is>
      </c>
      <c r="D89" s="2" t="n">
        <v>173</v>
      </c>
      <c r="E89" s="2" t="inlineStr">
        <is>
          <t>F1744</t>
        </is>
      </c>
    </row>
    <row r="90">
      <c r="A90" s="2" t="n"/>
      <c r="B90" s="3" t="inlineStr">
        <is>
          <t>term: rate type; value: fixed 6% per annum, payable quarterly in arrears (unsecured bonds issued February 2026)</t>
        </is>
      </c>
      <c r="C90" s="2" t="inlineStr">
        <is>
          <t>S3</t>
        </is>
      </c>
      <c r="D90" s="2" t="n">
        <v>195</v>
      </c>
      <c r="E90" s="2" t="inlineStr">
        <is>
          <t>F1745</t>
        </is>
      </c>
    </row>
    <row r="91">
      <c r="A91" s="2" t="n"/>
      <c r="B91" s="3" t="inlineStr">
        <is>
          <t>term: holders; value: retail investors (retail bonds issued in 2024; retail bond transactions a stated stakeholder expectation)</t>
        </is>
      </c>
      <c r="C91" s="2" t="inlineStr">
        <is>
          <t>S3</t>
        </is>
      </c>
      <c r="D91" s="2" t="n">
        <v>235</v>
      </c>
      <c r="E91" s="2" t="inlineStr">
        <is>
          <t>F1746</t>
        </is>
      </c>
    </row>
    <row r="92">
      <c r="A92" s="2" t="n"/>
      <c r="B92" s="3" t="inlineStr">
        <is>
          <t>term: maturity; value: bonds mature after 5 years</t>
        </is>
      </c>
      <c r="C92" s="2" t="inlineStr">
        <is>
          <t>S2</t>
        </is>
      </c>
      <c r="D92" s="2" t="n">
        <v>147</v>
      </c>
      <c r="E92" s="2" t="inlineStr">
        <is>
          <t>F967</t>
        </is>
      </c>
    </row>
    <row r="93">
      <c r="A93" s="2" t="n"/>
      <c r="B93" s="3" t="inlineStr">
        <is>
          <t>term: security; value: none, bonds unsecured</t>
        </is>
      </c>
      <c r="C93" s="2" t="inlineStr">
        <is>
          <t>S2</t>
        </is>
      </c>
      <c r="D93" s="2" t="n">
        <v>147</v>
      </c>
      <c r="E93" s="2" t="inlineStr">
        <is>
          <t>F968</t>
        </is>
      </c>
    </row>
    <row r="94">
      <c r="A94" s="2" t="n"/>
      <c r="B94" s="2" t="inlineStr">
        <is>
          <t>term: ranking; value: not subordinated</t>
        </is>
      </c>
      <c r="C94" s="2" t="inlineStr">
        <is>
          <t>S2</t>
        </is>
      </c>
      <c r="D94" s="2" t="n">
        <v>147</v>
      </c>
      <c r="E94" s="2" t="inlineStr">
        <is>
          <t>F969</t>
        </is>
      </c>
    </row>
    <row r="95">
      <c r="A95" s="2" t="n"/>
      <c r="B95" s="3" t="inlineStr">
        <is>
          <t>term: listing; value: not registered on any exchange, trading 'very limited' (company)</t>
        </is>
      </c>
      <c r="C95" s="2" t="inlineStr">
        <is>
          <t>S2</t>
        </is>
      </c>
      <c r="D95" s="2" t="n">
        <v>147</v>
      </c>
      <c r="E95" s="2" t="inlineStr">
        <is>
          <t>F970</t>
        </is>
      </c>
    </row>
    <row r="96">
      <c r="A96" s="2" t="n"/>
      <c r="B96" s="3" t="inlineStr">
        <is>
          <t>term: coupon payment; value: quarterly in arrears (5.5% to 6.0% per annum on 2024 issues)</t>
        </is>
      </c>
      <c r="C96" s="2" t="inlineStr">
        <is>
          <t>S2</t>
        </is>
      </c>
      <c r="D96" s="2" t="n">
        <v>147</v>
      </c>
      <c r="E96" s="2" t="inlineStr">
        <is>
          <t>F971</t>
        </is>
      </c>
    </row>
    <row r="97">
      <c r="A97" s="2" t="n"/>
      <c r="B97" s="3" t="inlineStr">
        <is>
          <t>term: purpose; value: finance new stations and operating expenses</t>
        </is>
      </c>
      <c r="C97" s="2" t="inlineStr">
        <is>
          <t>S2</t>
        </is>
      </c>
      <c r="D97" s="2" t="n">
        <v>147</v>
      </c>
      <c r="E97" s="2" t="inlineStr">
        <is>
          <t>F972</t>
        </is>
      </c>
    </row>
    <row r="98">
      <c r="A98" s="2" t="n"/>
      <c r="B98" s="3" t="inlineStr">
        <is>
          <t>term: rate type (Caisse des Depots loan); value: 4% fixed capitalised in first three years, variable component based on kWh sold after three years, payable annually in arrears</t>
        </is>
      </c>
      <c r="C98" s="2" t="inlineStr">
        <is>
          <t>S2</t>
        </is>
      </c>
      <c r="D98" s="2" t="n">
        <v>147</v>
      </c>
      <c r="E98" s="2" t="inlineStr">
        <is>
          <t>F973</t>
        </is>
      </c>
    </row>
    <row r="99">
      <c r="A99" s="2" t="n"/>
      <c r="B99" s="3" t="inlineStr">
        <is>
          <t>term: repayment (German grant loan); value: interest-free liability unwound over the term, reduced through fee-sharing arrangement</t>
        </is>
      </c>
      <c r="C99" s="2" t="inlineStr">
        <is>
          <t>S2</t>
        </is>
      </c>
      <c r="D99" s="2" t="n">
        <v>147</v>
      </c>
      <c r="E99" s="2" t="inlineStr">
        <is>
          <t>F974</t>
        </is>
      </c>
    </row>
    <row r="100">
      <c r="A100" s="2" t="n"/>
      <c r="B100" s="3" t="inlineStr">
        <is>
          <t>term: holders; value: retail investors (retail bond transactions, direct mail, retail investor fairs, marketing for new bond issuances)</t>
        </is>
      </c>
      <c r="C100" s="2" t="inlineStr">
        <is>
          <t>S2</t>
        </is>
      </c>
      <c r="D100" s="2" t="n">
        <v>202</v>
      </c>
      <c r="E100" s="2" t="inlineStr">
        <is>
          <t>F975</t>
        </is>
      </c>
    </row>
    <row r="101">
      <c r="A101" s="2" t="n"/>
      <c r="B101" s="3" t="inlineStr">
        <is>
          <t>term: maturity; value: 5 years after issue (bonds of June and October 2023)</t>
        </is>
      </c>
      <c r="C101" s="2" t="inlineStr">
        <is>
          <t>S1</t>
        </is>
      </c>
      <c r="D101" s="2" t="n">
        <v>136</v>
      </c>
      <c r="E101" s="2" t="inlineStr">
        <is>
          <t>F466</t>
        </is>
      </c>
    </row>
    <row r="102">
      <c r="A102" s="2" t="n"/>
      <c r="B102" s="3" t="inlineStr">
        <is>
          <t>term: security; value: none, no securities for the bonds</t>
        </is>
      </c>
      <c r="C102" s="2" t="inlineStr">
        <is>
          <t>S1</t>
        </is>
      </c>
      <c r="D102" s="2" t="n">
        <v>136</v>
      </c>
      <c r="E102" s="2" t="inlineStr">
        <is>
          <t>F467</t>
        </is>
      </c>
    </row>
    <row r="103">
      <c r="A103" s="2" t="n"/>
      <c r="B103" s="2" t="inlineStr">
        <is>
          <t>term: ranking; value: not subordinated</t>
        </is>
      </c>
      <c r="C103" s="2" t="inlineStr">
        <is>
          <t>S1</t>
        </is>
      </c>
      <c r="D103" s="2" t="n">
        <v>136</v>
      </c>
      <c r="E103" s="2" t="inlineStr">
        <is>
          <t>F468</t>
        </is>
      </c>
    </row>
    <row r="104">
      <c r="A104" s="2" t="n"/>
      <c r="B104" s="3" t="inlineStr">
        <is>
          <t>term: listing; value: not registered on any exchange, trading very limited</t>
        </is>
      </c>
      <c r="C104" s="2" t="inlineStr">
        <is>
          <t>S1</t>
        </is>
      </c>
      <c r="D104" s="2" t="n">
        <v>136</v>
      </c>
      <c r="E104" s="2" t="inlineStr">
        <is>
          <t>F469</t>
        </is>
      </c>
    </row>
    <row r="105">
      <c r="A105" s="2" t="n"/>
      <c r="B105" s="3" t="inlineStr">
        <is>
          <t>term: coupon payment; value: quarterly in arrears (5.5% June 2023 bond, 6.0% October 2023 bond)</t>
        </is>
      </c>
      <c r="C105" s="2" t="inlineStr">
        <is>
          <t>S1</t>
        </is>
      </c>
      <c r="D105" s="2" t="n">
        <v>136</v>
      </c>
      <c r="E105" s="2" t="inlineStr">
        <is>
          <t>F470</t>
        </is>
      </c>
    </row>
    <row r="106">
      <c r="A106" s="2" t="n"/>
      <c r="B106" s="3" t="inlineStr">
        <is>
          <t>term: holders; value: retail investors (retail bond transactions, marketing for new bond issuances)</t>
        </is>
      </c>
      <c r="C106" s="2" t="inlineStr">
        <is>
          <t>S1</t>
        </is>
      </c>
      <c r="D106" s="2" t="n">
        <v>199</v>
      </c>
      <c r="E106" s="2" t="inlineStr">
        <is>
          <t>F471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90" customWidth="1" min="3" max="3"/>
    <col width="40" customWidth="1" min="4" max="4"/>
    <col width="16" customWidth="1" min="5" max="5"/>
  </cols>
  <sheetData>
    <row r="1">
      <c r="A1" s="1" t="inlineStr">
        <is>
          <t>Year</t>
        </is>
      </c>
      <c r="B1" s="1" t="inlineStr">
        <is>
          <t>Metric</t>
        </is>
      </c>
      <c r="C1" s="1" t="inlineStr">
        <is>
          <t>Guidance as stated</t>
        </is>
      </c>
      <c r="D1" s="1" t="inlineStr">
        <is>
          <t>Reported</t>
        </is>
      </c>
      <c r="E1" s="1" t="inlineStr">
        <is>
          <t>Facts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10" customWidth="1" min="2" max="2"/>
    <col width="10" customWidth="1" min="3" max="3"/>
  </cols>
  <sheetData>
    <row r="1">
      <c r="A1" s="1" t="inlineStr">
        <is>
          <t>Topic</t>
        </is>
      </c>
      <c r="B1" s="1" t="inlineStr">
        <is>
          <t>Fact</t>
        </is>
      </c>
      <c r="C1" s="1" t="inlineStr">
        <is>
          <t>Fact id</t>
        </is>
      </c>
    </row>
    <row r="2">
      <c r="A2" s="2" t="inlineStr">
        <is>
          <t>person: Victor van Dijk</t>
        </is>
      </c>
      <c r="B2" s="2" t="inlineStr">
        <is>
          <t>VP Strategy, appointed March 2026.</t>
        </is>
      </c>
      <c r="C2" s="2" t="inlineStr">
        <is>
          <t>F1893</t>
        </is>
      </c>
    </row>
    <row r="3">
      <c r="A3" s="2" t="inlineStr">
        <is>
          <t>person: Michiel Langezaal</t>
        </is>
      </c>
      <c r="B3" s="3" t="inlineStr">
        <is>
          <t>Co-founder and CEO, Management Board; President of ChargeUp Europe.</t>
        </is>
      </c>
      <c r="C3" s="2" t="inlineStr">
        <is>
          <t>F1894</t>
        </is>
      </c>
    </row>
    <row r="4">
      <c r="A4" s="2" t="inlineStr">
        <is>
          <t>person: Francoise Poggi</t>
        </is>
      </c>
      <c r="B4" s="3" t="inlineStr">
        <is>
          <t>Chief Operating Officer, Management Board.</t>
        </is>
      </c>
      <c r="C4" s="2" t="inlineStr">
        <is>
          <t>F1895</t>
        </is>
      </c>
    </row>
    <row r="5">
      <c r="A5" s="2" t="inlineStr">
        <is>
          <t>person: Remco Samuels</t>
        </is>
      </c>
      <c r="B5" s="3" t="inlineStr">
        <is>
          <t>CFO a.i. since March 2026 (not a Management Board signatory of the interim statements).</t>
        </is>
      </c>
      <c r="C5" s="2" t="inlineStr">
        <is>
          <t>F1896</t>
        </is>
      </c>
    </row>
    <row r="6">
      <c r="A6" s="2" t="inlineStr">
        <is>
          <t>person: Patricia Allam</t>
        </is>
      </c>
      <c r="B6" s="2" t="inlineStr">
        <is>
          <t>Head of Funding and Investor Relations.</t>
        </is>
      </c>
      <c r="C6" s="2" t="inlineStr">
        <is>
          <t>F1897</t>
        </is>
      </c>
    </row>
    <row r="7">
      <c r="A7" s="2" t="inlineStr">
        <is>
          <t>person: Matt Ersin</t>
        </is>
      </c>
      <c r="B7" s="3" t="inlineStr">
        <is>
          <t>Director of Government and Public Affairs; elected first Chair of the Green Industrial Grids Association (GIGA) in 2025.</t>
        </is>
      </c>
      <c r="C7" s="2" t="inlineStr">
        <is>
          <t>F1263</t>
        </is>
      </c>
    </row>
    <row r="8">
      <c r="A8" s="2" t="inlineStr">
        <is>
          <t>person: Martijn Repko</t>
        </is>
      </c>
      <c r="B8" s="3" t="inlineStr">
        <is>
          <t>Country Director Netherlands (as of the 2025 annual report).</t>
        </is>
      </c>
      <c r="C8" s="2" t="inlineStr">
        <is>
          <t>F1264</t>
        </is>
      </c>
    </row>
    <row r="9">
      <c r="A9" s="2" t="inlineStr">
        <is>
          <t>person: Pierre Courgeon</t>
        </is>
      </c>
      <c r="B9" s="3" t="inlineStr">
        <is>
          <t>Country Director France (as of the 2025 annual report).</t>
        </is>
      </c>
      <c r="C9" s="2" t="inlineStr">
        <is>
          <t>F1265</t>
        </is>
      </c>
    </row>
    <row r="10">
      <c r="A10" s="2" t="inlineStr">
        <is>
          <t>owners</t>
        </is>
      </c>
      <c r="B10" s="3" t="inlineStr">
        <is>
          <t>Wilhelmina-Dok B.V. (Bart Lubbers) holds 36.7% of outstanding certificates of shares at end 2025 (2024: 36.7%).</t>
        </is>
      </c>
      <c r="C10" s="2" t="inlineStr">
        <is>
          <t>F1508</t>
        </is>
      </c>
    </row>
    <row r="11">
      <c r="A11" s="2" t="inlineStr">
        <is>
          <t>owners</t>
        </is>
      </c>
      <c r="B11" s="3" t="inlineStr">
        <is>
          <t>Carraig Aonair Holding B.V. (Michiel Langezaal) holds 21.3% of outstanding certificates of shares at end 2025 (2024: 21.3%).</t>
        </is>
      </c>
      <c r="C11" s="2" t="inlineStr">
        <is>
          <t>F1509</t>
        </is>
      </c>
    </row>
    <row r="12">
      <c r="A12" s="2" t="inlineStr">
        <is>
          <t>owners</t>
        </is>
      </c>
      <c r="B12" s="3" t="inlineStr">
        <is>
          <t>Breesaap B.V. holds 5.8% of the shares in Fastned B.V.; Bart Lubbers has a 33% share in Breesaap B.V.</t>
        </is>
      </c>
      <c r="C12" s="2" t="inlineStr">
        <is>
          <t>F1510</t>
        </is>
      </c>
    </row>
    <row r="13">
      <c r="A13" s="2" t="inlineStr">
        <is>
          <t>lenders</t>
        </is>
      </c>
      <c r="B13" s="3" t="inlineStr">
        <is>
          <t>31 December 2025: bank guarantee facility covenants (minimum tangible equity; tangible equity / total assets), thresholds not disclosed, outcome: complied with all covenants, no waiver.</t>
        </is>
      </c>
      <c r="C13" s="2" t="inlineStr">
        <is>
          <t>F1281</t>
        </is>
      </c>
    </row>
    <row r="14">
      <c r="A14" s="2" t="inlineStr">
        <is>
          <t>lenders</t>
        </is>
      </c>
      <c r="B14" s="3" t="inlineStr">
        <is>
          <t>31 Dec 2024: covenants under the bank guarantee facility, all met as stated by the company; ratios and thresholds not disclosed.</t>
        </is>
      </c>
      <c r="C14" s="2" t="inlineStr">
        <is>
          <t>F669</t>
        </is>
      </c>
    </row>
    <row r="15">
      <c r="A15" s="2" t="inlineStr">
        <is>
          <t>lenders</t>
        </is>
      </c>
      <c r="B15" s="3" t="inlineStr">
        <is>
          <t>instrument: retail bonds (programme since inception); amount: 45.0; outcome: repaid at maturity</t>
        </is>
      </c>
      <c r="C15" s="2" t="inlineStr">
        <is>
          <t>F2018</t>
        </is>
      </c>
    </row>
    <row r="16">
      <c r="A16" s="2" t="inlineStr">
        <is>
          <t>lenders</t>
        </is>
      </c>
      <c r="B16" s="3" t="inlineStr">
        <is>
          <t>instrument: earlier retail bond issues; amount: 2.3; due: 2026; outcome: extended into the Feb-Mar 2026 6% series</t>
        </is>
      </c>
      <c r="C16" s="2" t="inlineStr">
        <is>
          <t>F2020</t>
        </is>
      </c>
    </row>
    <row r="17">
      <c r="A17" s="2" t="inlineStr">
        <is>
          <t>lenders</t>
        </is>
      </c>
      <c r="B17" s="3" t="inlineStr">
        <is>
          <t>instrument: earlier retail bond issues; amount: 1.4; due: 2026-2027; outcome: extended into the May-Jun 2026 6% series</t>
        </is>
      </c>
      <c r="C17" s="2" t="inlineStr">
        <is>
          <t>F2021</t>
        </is>
      </c>
    </row>
    <row r="18">
      <c r="A18" s="2" t="inlineStr">
        <is>
          <t>lenders</t>
        </is>
      </c>
      <c r="B18" s="3" t="inlineStr">
        <is>
          <t>instrument: 6% corporate bond; amount: 9.2; due: 2025-07-28; outcome: €6.9m repaid in cash, €2.3m extended into new bonds</t>
        </is>
      </c>
      <c r="C18" s="2" t="inlineStr">
        <is>
          <t>F1623</t>
        </is>
      </c>
    </row>
    <row r="19">
      <c r="A19" s="2" t="inlineStr">
        <is>
          <t>changes</t>
        </is>
      </c>
      <c r="B19" s="3" t="inlineStr">
        <is>
          <t>role: CFO a.i.; person: Remco Samuels; joined: 2026-03; reason as stated: welcomed as CFO a.i.</t>
        </is>
      </c>
      <c r="C19" s="2" t="inlineStr">
        <is>
          <t>F2030</t>
        </is>
      </c>
    </row>
    <row r="20">
      <c r="A20" s="2" t="inlineStr">
        <is>
          <t>changes</t>
        </is>
      </c>
      <c r="B20" s="3" t="inlineStr">
        <is>
          <t>role: VP Strategy; person: Victor van Dijk; joined: 2026-03</t>
        </is>
      </c>
      <c r="C20" s="2" t="inlineStr">
        <is>
          <t>F2031</t>
        </is>
      </c>
    </row>
    <row r="21">
      <c r="A21" s="2" t="inlineStr">
        <is>
          <t>changes</t>
        </is>
      </c>
      <c r="B21" s="3" t="inlineStr">
        <is>
          <t>role: Country Directors France, Switzerland and Denmark; joined: spring 2026; reason as stated: strengthened country leadership, more execution decisions delegated in-country</t>
        </is>
      </c>
      <c r="C21" s="2" t="inlineStr">
        <is>
          <t>F2032</t>
        </is>
      </c>
    </row>
    <row r="22">
      <c r="A22" s="2" t="inlineStr">
        <is>
          <t>changes</t>
        </is>
      </c>
      <c r="B22" s="3" t="inlineStr">
        <is>
          <t>role: Group Chief Operating Officer; person: Francoise Poggi; joined: 2024-11-29</t>
        </is>
      </c>
      <c r="C22" s="2" t="inlineStr">
        <is>
          <t>F1652</t>
        </is>
      </c>
    </row>
    <row r="23">
      <c r="A23" s="2" t="inlineStr">
        <is>
          <t>changes</t>
        </is>
      </c>
      <c r="B23" s="3" t="inlineStr">
        <is>
          <t>CFO role held ad interim (Remco Samuels, CFO a.i.) since March 2026; interim statements signed by CEO and COO only.</t>
        </is>
      </c>
      <c r="C23" s="2" t="inlineStr">
        <is>
          <t>F1898</t>
        </is>
      </c>
    </row>
    <row r="24">
      <c r="A24" s="2" t="inlineStr">
        <is>
          <t>pay</t>
        </is>
      </c>
      <c r="B24" s="3" t="inlineStr">
        <is>
          <t>person or body: Management Board average total compensation; amount: 0.181; year: 2025 (2024: 0.161); internal pay ratio 2.18 (2024: 1.95)</t>
        </is>
      </c>
      <c r="C24" s="2" t="inlineStr">
        <is>
          <t>F1656</t>
        </is>
      </c>
    </row>
    <row r="25">
      <c r="A25" s="2" t="inlineStr">
        <is>
          <t>pay</t>
        </is>
      </c>
      <c r="B25" s="3" t="inlineStr">
        <is>
          <t>person or body: Mr Langezaal (CEO); amount: 0.136; year: 2025 (fixed 0.120, other benefits 0.016, no pension, no options)</t>
        </is>
      </c>
      <c r="C25" s="2" t="inlineStr">
        <is>
          <t>F1657</t>
        </is>
      </c>
    </row>
    <row r="26">
      <c r="A26" s="2" t="inlineStr">
        <is>
          <t>board</t>
        </is>
      </c>
      <c r="B26" s="3" t="inlineStr">
        <is>
          <t>name: Michiel Langezaal; body: management; role: CEO (co-founder); since: 2012 (founder)</t>
        </is>
      </c>
      <c r="C26" s="2" t="inlineStr">
        <is>
          <t>F1945</t>
        </is>
      </c>
    </row>
    <row r="27">
      <c r="A27" s="2" t="inlineStr">
        <is>
          <t>board</t>
        </is>
      </c>
      <c r="B27" s="3" t="inlineStr">
        <is>
          <t>name: Francoise Poggi; body: management; role: COO</t>
        </is>
      </c>
      <c r="C27" s="2" t="inlineStr">
        <is>
          <t>F1946</t>
        </is>
      </c>
    </row>
    <row r="28">
      <c r="A28" s="2" t="inlineStr">
        <is>
          <t>board</t>
        </is>
      </c>
      <c r="B28" s="3" t="inlineStr">
        <is>
          <t>name: Michiel Langezaal; body: management; role: Co-Founder and CEO</t>
        </is>
      </c>
      <c r="C28" s="2" t="inlineStr">
        <is>
          <t>F1479</t>
        </is>
      </c>
    </row>
    <row r="29">
      <c r="A29" s="2" t="inlineStr">
        <is>
          <t>board</t>
        </is>
      </c>
      <c r="B29" s="3" t="inlineStr">
        <is>
          <t>name: Bart Lubbers; body: supervisory; independent: no; committees: Audit; Remuneration and Nomination</t>
        </is>
      </c>
      <c r="C29" s="2" t="inlineStr">
        <is>
          <t>F1480</t>
        </is>
      </c>
    </row>
    <row r="30">
      <c r="A30" s="2" t="inlineStr">
        <is>
          <t>board</t>
        </is>
      </c>
      <c r="B30" s="3" t="inlineStr">
        <is>
          <t>name: Victor van Dijk; body: management; role: Management Board member (title not stated in these pages; 4,543 options held at 31 Dec 2025)</t>
        </is>
      </c>
      <c r="C30" s="2" t="inlineStr">
        <is>
          <t>F1481</t>
        </is>
      </c>
    </row>
    <row r="31">
      <c r="A31" s="2" t="inlineStr">
        <is>
          <t>board</t>
        </is>
      </c>
      <c r="B31" s="3" t="inlineStr">
        <is>
          <t>name: Francoise Poggi; body: management; role: Group Chief Operating Officer; since: 2024-11-29</t>
        </is>
      </c>
      <c r="C31" s="2" t="inlineStr">
        <is>
          <t>F1482</t>
        </is>
      </c>
    </row>
    <row r="32">
      <c r="A32" s="2" t="inlineStr">
        <is>
          <t>board</t>
        </is>
      </c>
      <c r="B32" s="3" t="inlineStr">
        <is>
          <t>name: Liselotte Kooi; body: supervisory; role: Chair (receives the Chair fee of EUR 50,887); independent: yes (one of the two members not named as non-independent); committees: Audit; Remuneration and Nomination</t>
        </is>
      </c>
      <c r="C32" s="2" t="inlineStr">
        <is>
          <t>F1483</t>
        </is>
      </c>
    </row>
    <row r="33">
      <c r="A33" s="2" t="inlineStr">
        <is>
          <t>board</t>
        </is>
      </c>
      <c r="B33" s="3" t="inlineStr">
        <is>
          <t>name: Nancy Kabalt; body: supervisory; independent: yes (one of the two members not named as non-independent); committees: Audit; Remuneration and Nomination</t>
        </is>
      </c>
      <c r="C33" s="2" t="inlineStr">
        <is>
          <t>F1484</t>
        </is>
      </c>
    </row>
    <row r="34">
      <c r="A34" s="2" t="inlineStr">
        <is>
          <t>board</t>
        </is>
      </c>
      <c r="B34" s="3" t="inlineStr">
        <is>
          <t>name: Jerome Janssen; body: supervisory; independent: no (while Schroders holds 10% or more of the DRs); committees: Audit; Remuneration and Nomination; receives only travel expenses up to EUR 7,500</t>
        </is>
      </c>
      <c r="C34" s="2" t="inlineStr">
        <is>
          <t>F1485</t>
        </is>
      </c>
    </row>
    <row r="35">
      <c r="A35" s="2" t="inlineStr">
        <is>
          <t>board</t>
        </is>
      </c>
      <c r="B35" s="3" t="inlineStr">
        <is>
          <t>name: Maaike Veen; body: FAST Board (trust office); role: Chair (receives the FAST Chair fee of EUR 17,446)</t>
        </is>
      </c>
      <c r="C35" s="2" t="inlineStr">
        <is>
          <t>F1486</t>
        </is>
      </c>
    </row>
    <row r="36">
      <c r="A36" s="2" t="inlineStr">
        <is>
          <t>board</t>
        </is>
      </c>
      <c r="B36" s="3" t="inlineStr">
        <is>
          <t>name: Henk Pals; body: FAST Board (trust office)</t>
        </is>
      </c>
      <c r="C36" s="2" t="inlineStr">
        <is>
          <t>F1487</t>
        </is>
      </c>
    </row>
    <row r="37">
      <c r="A37" s="2" t="inlineStr">
        <is>
          <t>board</t>
        </is>
      </c>
      <c r="B37" s="3" t="inlineStr">
        <is>
          <t>name: Michiel Weghs; body: FAST Board (trust office)</t>
        </is>
      </c>
      <c r="C37" s="2" t="inlineStr">
        <is>
          <t>F1488</t>
        </is>
      </c>
    </row>
    <row r="38">
      <c r="A38" s="2" t="inlineStr">
        <is>
          <t>board</t>
        </is>
      </c>
      <c r="B38" s="3" t="inlineStr">
        <is>
          <t>name: Niels Korthals Altes; body: FAST Board (trust office); since: 2025 (2024 fee nil)</t>
        </is>
      </c>
      <c r="C38" s="2" t="inlineStr">
        <is>
          <t>F1489</t>
        </is>
      </c>
    </row>
    <row r="39">
      <c r="A39" s="2" t="inlineStr">
        <is>
          <t>board</t>
        </is>
      </c>
      <c r="B39" s="3" t="inlineStr">
        <is>
          <t>name: Liselotte Kooi; body: supervisory; role: Chair; since: 2023; independent: yes; committees: Audit Committee, Remuneration and Nomination Committee (term ends 2027)</t>
        </is>
      </c>
      <c r="C39" s="2" t="inlineStr">
        <is>
          <t>F1490</t>
        </is>
      </c>
    </row>
    <row r="40">
      <c r="A40" s="2" t="inlineStr">
        <is>
          <t>board</t>
        </is>
      </c>
      <c r="B40" s="3" t="inlineStr">
        <is>
          <t>name: Bart Lubbers; body: supervisory; role: Member (founder, major shareholder); since: 2019; independent: no; committees: Audit Committee, Remuneration and Nomination Committee (term ends 2027)</t>
        </is>
      </c>
      <c r="C40" s="2" t="inlineStr">
        <is>
          <t>F1491</t>
        </is>
      </c>
    </row>
    <row r="41">
      <c r="A41" s="2" t="inlineStr">
        <is>
          <t>board</t>
        </is>
      </c>
      <c r="B41" s="3" t="inlineStr">
        <is>
          <t>name: Jérôme Janssen; body: supervisory; role: Member (major shareholder, Schroders Capital); since: 2022; independent: no; committees: Audit Committee, Remuneration and Nomination Committee (term ends 2026)</t>
        </is>
      </c>
      <c r="C41" s="2" t="inlineStr">
        <is>
          <t>F1492</t>
        </is>
      </c>
    </row>
    <row r="42">
      <c r="A42" s="2" t="inlineStr">
        <is>
          <t>board</t>
        </is>
      </c>
      <c r="B42" s="3" t="inlineStr">
        <is>
          <t>name: Nancy Kabalt; body: supervisory; role: Member; since: 2021; independent: yes; committees: Audit Committee, Remuneration and Nomination Committee (term ends 2029)</t>
        </is>
      </c>
      <c r="C42" s="2" t="inlineStr">
        <is>
          <t>F1493</t>
        </is>
      </c>
    </row>
    <row r="43">
      <c r="A43" s="2" t="inlineStr">
        <is>
          <t>board</t>
        </is>
      </c>
      <c r="B43" s="3" t="inlineStr">
        <is>
          <t>name: Michiel Langezaal; body: management; role: Chief Executive Officer; since: 2012</t>
        </is>
      </c>
      <c r="C43" s="2" t="inlineStr">
        <is>
          <t>F1494</t>
        </is>
      </c>
    </row>
    <row r="44">
      <c r="A44" s="2" t="inlineStr">
        <is>
          <t>board</t>
        </is>
      </c>
      <c r="B44" s="3" t="inlineStr">
        <is>
          <t>name: Victor van Dijk; body: management; role: Chief Financial Officer; since: 2019</t>
        </is>
      </c>
      <c r="C44" s="2" t="inlineStr">
        <is>
          <t>F1495</t>
        </is>
      </c>
    </row>
    <row r="45">
      <c r="A45" s="2" t="inlineStr">
        <is>
          <t>board</t>
        </is>
      </c>
      <c r="B45" s="3" t="inlineStr">
        <is>
          <t>name: Françoise Poggi; body: management; role: Chief Operating Officer; since: 2024</t>
        </is>
      </c>
      <c r="C45" s="2" t="inlineStr">
        <is>
          <t>F1496</t>
        </is>
      </c>
    </row>
    <row r="46">
      <c r="A46" s="2" t="inlineStr">
        <is>
          <t>board</t>
        </is>
      </c>
      <c r="B46" s="3" t="inlineStr">
        <is>
          <t>name: Michiel Langezaal; body: management; role: CEO</t>
        </is>
      </c>
      <c r="C46" s="2" t="inlineStr">
        <is>
          <t>F1497</t>
        </is>
      </c>
    </row>
    <row r="47">
      <c r="A47" s="2" t="inlineStr">
        <is>
          <t>board</t>
        </is>
      </c>
      <c r="B47" s="3" t="inlineStr">
        <is>
          <t>name: Victor van Dijk; body: management; role: CFO</t>
        </is>
      </c>
      <c r="C47" s="2" t="inlineStr">
        <is>
          <t>F1498</t>
        </is>
      </c>
    </row>
    <row r="48">
      <c r="A48" s="2" t="inlineStr">
        <is>
          <t>board</t>
        </is>
      </c>
      <c r="B48" s="3" t="inlineStr">
        <is>
          <t>name: Françoise Poggi; body: management; role: COO</t>
        </is>
      </c>
      <c r="C48" s="2" t="inlineStr">
        <is>
          <t>F1499</t>
        </is>
      </c>
    </row>
    <row r="49">
      <c r="A49" s="2" t="inlineStr">
        <is>
          <t>board</t>
        </is>
      </c>
      <c r="B49" s="2" t="inlineStr">
        <is>
          <t>name: Liselotte Kooi; body: supervisory</t>
        </is>
      </c>
      <c r="C49" s="2" t="inlineStr">
        <is>
          <t>F1500</t>
        </is>
      </c>
    </row>
    <row r="50">
      <c r="A50" s="2" t="inlineStr">
        <is>
          <t>board</t>
        </is>
      </c>
      <c r="B50" s="2" t="inlineStr">
        <is>
          <t>name: Bart Lubbers; body: supervisory</t>
        </is>
      </c>
      <c r="C50" s="2" t="inlineStr">
        <is>
          <t>F1501</t>
        </is>
      </c>
    </row>
    <row r="51">
      <c r="A51" s="2" t="inlineStr">
        <is>
          <t>board</t>
        </is>
      </c>
      <c r="B51" s="2" t="inlineStr">
        <is>
          <t>name: Nancy Kabalt; body: supervisory</t>
        </is>
      </c>
      <c r="C51" s="2" t="inlineStr">
        <is>
          <t>F1502</t>
        </is>
      </c>
    </row>
    <row r="52">
      <c r="A52" s="2" t="inlineStr">
        <is>
          <t>board</t>
        </is>
      </c>
      <c r="B52" s="2" t="inlineStr">
        <is>
          <t>name: Jérôme Janssen; body: supervisory</t>
        </is>
      </c>
      <c r="C52" s="2" t="inlineStr">
        <is>
          <t>F1503</t>
        </is>
      </c>
    </row>
    <row r="53">
      <c r="A53" s="2" t="inlineStr">
        <is>
          <t>board</t>
        </is>
      </c>
      <c r="B53" s="3" t="inlineStr">
        <is>
          <t>name: Liselotte Kooi; body: supervisory; role: Chair; since: 2023; independent: yes; committees: Audit Committee, Remuneration and Nomination Committee (all members sit on both); term ends 2027</t>
        </is>
      </c>
      <c r="C53" s="2" t="inlineStr">
        <is>
          <t>F762</t>
        </is>
      </c>
    </row>
    <row r="54">
      <c r="A54" s="2" t="inlineStr">
        <is>
          <t>board</t>
        </is>
      </c>
      <c r="B54" s="3" t="inlineStr">
        <is>
          <t>name: Bart Lubbers; body: supervisory; role: member, co-founder; since: 2019; independent: no; committees: Audit Committee, Remuneration and Nomination Committee; term ends 2027</t>
        </is>
      </c>
      <c r="C54" s="2" t="inlineStr">
        <is>
          <t>F763</t>
        </is>
      </c>
    </row>
    <row r="55">
      <c r="A55" s="2" t="inlineStr">
        <is>
          <t>board</t>
        </is>
      </c>
      <c r="B55" s="3" t="inlineStr">
        <is>
          <t>name: Jérôme Janssen; body: supervisory; role: member (Schroders Capital co-head infrastructure equity); since: 2022; independent: no; committees: Audit Committee, Remuneration and Nomination Committee; term ends 2026</t>
        </is>
      </c>
      <c r="C55" s="2" t="inlineStr">
        <is>
          <t>F764</t>
        </is>
      </c>
    </row>
    <row r="56">
      <c r="A56" s="2" t="inlineStr">
        <is>
          <t>board</t>
        </is>
      </c>
      <c r="B56" s="3" t="inlineStr">
        <is>
          <t>name: Nancy Kabalt; body: supervisory; role: member; since: 2021; independent: yes; committees: Audit Committee, Remuneration and Nomination Committee; term ends 2025</t>
        </is>
      </c>
      <c r="C56" s="2" t="inlineStr">
        <is>
          <t>F765</t>
        </is>
      </c>
    </row>
    <row r="57">
      <c r="A57" s="2" t="inlineStr">
        <is>
          <t>board</t>
        </is>
      </c>
      <c r="B57" s="3" t="inlineStr">
        <is>
          <t>name: Maaike Veen; body: FAST Foundation board (trust office holding all shares); role: Chair; since: 2021; term ends 2025</t>
        </is>
      </c>
      <c r="C57" s="2" t="inlineStr">
        <is>
          <t>F766</t>
        </is>
      </c>
    </row>
    <row r="58">
      <c r="A58" s="2" t="inlineStr">
        <is>
          <t>board</t>
        </is>
      </c>
      <c r="B58" s="3" t="inlineStr">
        <is>
          <t>name: Henk Pals; body: FAST Foundation board; role: member (secretary); since: 2019; term ends 2027</t>
        </is>
      </c>
      <c r="C58" s="2" t="inlineStr">
        <is>
          <t>F767</t>
        </is>
      </c>
    </row>
    <row r="59">
      <c r="A59" s="2" t="inlineStr">
        <is>
          <t>board</t>
        </is>
      </c>
      <c r="B59" s="3" t="inlineStr">
        <is>
          <t>name: Michiel Weghs; body: FAST Foundation board; role: member; since: 2023; term ends 2027</t>
        </is>
      </c>
      <c r="C59" s="2" t="inlineStr">
        <is>
          <t>F768</t>
        </is>
      </c>
    </row>
    <row r="60">
      <c r="A60" s="2" t="inlineStr">
        <is>
          <t>board</t>
        </is>
      </c>
      <c r="B60" s="3" t="inlineStr">
        <is>
          <t>name: Michiel Langezaal; body: management; role: CEO, Chair of the Management Board, co-founder; since: 2012</t>
        </is>
      </c>
      <c r="C60" s="2" t="inlineStr">
        <is>
          <t>F769</t>
        </is>
      </c>
    </row>
    <row r="61">
      <c r="A61" s="2" t="inlineStr">
        <is>
          <t>board</t>
        </is>
      </c>
      <c r="B61" s="3" t="inlineStr">
        <is>
          <t>name: Victor van Dijk; body: management; role: CFO; since: 2019</t>
        </is>
      </c>
      <c r="C61" s="2" t="inlineStr">
        <is>
          <t>F770</t>
        </is>
      </c>
    </row>
    <row r="62">
      <c r="A62" s="2" t="inlineStr">
        <is>
          <t>board</t>
        </is>
      </c>
      <c r="B62" s="3" t="inlineStr">
        <is>
          <t>name: Françoise Poggi; body: management; role: COO; since: 2024</t>
        </is>
      </c>
      <c r="C62" s="2" t="inlineStr">
        <is>
          <t>F771</t>
        </is>
      </c>
    </row>
    <row r="63">
      <c r="A63" s="2" t="inlineStr">
        <is>
          <t>board</t>
        </is>
      </c>
      <c r="B63" s="3" t="inlineStr">
        <is>
          <t>name: Bart Lubbers; body: supervisory; role: member; holds 36.7% via Wilhelmina-Dok B.V. and 33% of Breesaap B.V. (5.8%)</t>
        </is>
      </c>
      <c r="C63" s="2" t="inlineStr">
        <is>
          <t>F772</t>
        </is>
      </c>
    </row>
    <row r="64">
      <c r="A64" s="2" t="inlineStr">
        <is>
          <t>board</t>
        </is>
      </c>
      <c r="B64" s="3" t="inlineStr">
        <is>
          <t>name: Nancy Kabalt; body: supervisory; role: member</t>
        </is>
      </c>
      <c r="C64" s="2" t="inlineStr">
        <is>
          <t>F773</t>
        </is>
      </c>
    </row>
    <row r="65">
      <c r="A65" s="2" t="inlineStr">
        <is>
          <t>board</t>
        </is>
      </c>
      <c r="B65" s="3" t="inlineStr">
        <is>
          <t>name: Francoise Poggi; body: management; role: COO; since: 2024-11-29</t>
        </is>
      </c>
      <c r="C65" s="2" t="inlineStr">
        <is>
          <t>F774</t>
        </is>
      </c>
    </row>
    <row r="66">
      <c r="A66" s="2" t="inlineStr">
        <is>
          <t>board</t>
        </is>
      </c>
      <c r="B66" s="3" t="inlineStr">
        <is>
          <t>name: Maaike Veen; body: FAST Board (Fastned Administratie Stichting); role: member; fee EUR 17k 2024</t>
        </is>
      </c>
      <c r="C66" s="2" t="inlineStr">
        <is>
          <t>F775</t>
        </is>
      </c>
    </row>
    <row r="67">
      <c r="A67" s="2" t="inlineStr">
        <is>
          <t>board</t>
        </is>
      </c>
      <c r="B67" s="3" t="inlineStr">
        <is>
          <t>name: Henk Pals; body: FAST Board; role: member; fee EUR 11k 2024</t>
        </is>
      </c>
      <c r="C67" s="2" t="inlineStr">
        <is>
          <t>F776</t>
        </is>
      </c>
    </row>
    <row r="68">
      <c r="A68" s="2" t="inlineStr">
        <is>
          <t>board</t>
        </is>
      </c>
      <c r="B68" s="3" t="inlineStr">
        <is>
          <t>name: Michiel Weghs; body: FAST Board; role: member; fee EUR 11k 2024 (2023: 6k)</t>
        </is>
      </c>
      <c r="C68" s="2" t="inlineStr">
        <is>
          <t>F777</t>
        </is>
      </c>
    </row>
    <row r="69">
      <c r="A69" s="2" t="inlineStr">
        <is>
          <t>board</t>
        </is>
      </c>
      <c r="B69" s="3" t="inlineStr">
        <is>
          <t>name: Liselotte Kooi; body: supervisory; role: chair; since: 2023-06-08 as chair (moved from FAST Board to Supervisory Board in 2023)</t>
        </is>
      </c>
      <c r="C69" s="2" t="inlineStr">
        <is>
          <t>F778</t>
        </is>
      </c>
    </row>
    <row r="70">
      <c r="A70" s="2" t="inlineStr">
        <is>
          <t>board</t>
        </is>
      </c>
      <c r="B70" s="3" t="inlineStr">
        <is>
          <t>name: Jerome Janssen; body: supervisory; role: member; since: 2022; receives no remuneration, travel expenses up to EUR 7.5k</t>
        </is>
      </c>
      <c r="C70" s="2" t="inlineStr">
        <is>
          <t>F779</t>
        </is>
      </c>
    </row>
    <row r="71">
      <c r="A71" s="2" t="inlineStr">
        <is>
          <t>board</t>
        </is>
      </c>
      <c r="B71" s="3" t="inlineStr">
        <is>
          <t>name: Michiel Langezaal; body: management; role: CEO; holds 21.3% via Carraig Aonair Holding B.V.</t>
        </is>
      </c>
      <c r="C71" s="2" t="inlineStr">
        <is>
          <t>F780</t>
        </is>
      </c>
    </row>
    <row r="72">
      <c r="A72" s="2" t="inlineStr">
        <is>
          <t>board</t>
        </is>
      </c>
      <c r="B72" s="3" t="inlineStr">
        <is>
          <t>name: Victor van Dijk; body: management; role: CFO; holds 14,105 options</t>
        </is>
      </c>
      <c r="C72" s="2" t="inlineStr">
        <is>
          <t>F781</t>
        </is>
      </c>
    </row>
    <row r="73">
      <c r="A73" s="2" t="inlineStr">
        <is>
          <t>board</t>
        </is>
      </c>
      <c r="B73" s="3" t="inlineStr">
        <is>
          <t>name: Liselotte Kooi; body: supervisory; role: Chair; since: 2023-06; independent: yes; committees: Audit, Remuneration and Nomination</t>
        </is>
      </c>
      <c r="C73" s="2" t="inlineStr">
        <is>
          <t>F280</t>
        </is>
      </c>
    </row>
    <row r="74">
      <c r="A74" s="2" t="inlineStr">
        <is>
          <t>board</t>
        </is>
      </c>
      <c r="B74" s="3" t="inlineStr">
        <is>
          <t>name: Jérôme Janssen; body: supervisory; role: member, co-head infrastructure equity at Schroders Capital; since: 2022; independent: no; committees: Audit, Remuneration and Nomination</t>
        </is>
      </c>
      <c r="C74" s="2" t="inlineStr">
        <is>
          <t>F281</t>
        </is>
      </c>
    </row>
    <row r="75">
      <c r="A75" s="2" t="inlineStr">
        <is>
          <t>board</t>
        </is>
      </c>
      <c r="B75" s="3" t="inlineStr">
        <is>
          <t>name: Bart Lubbers; body: supervisory; role: member (Chair until June 2023), co-founder; since: 2019; independent: no; committees: Audit, Remuneration and Nomination</t>
        </is>
      </c>
      <c r="C75" s="2" t="inlineStr">
        <is>
          <t>F282</t>
        </is>
      </c>
    </row>
    <row r="76">
      <c r="A76" s="2" t="inlineStr">
        <is>
          <t>board</t>
        </is>
      </c>
      <c r="B76" s="3" t="inlineStr">
        <is>
          <t>name: Nancy Kabalt; body: supervisory; role: member; since: 2021; independent: yes; committees: Audit, Remuneration and Nomination</t>
        </is>
      </c>
      <c r="C76" s="2" t="inlineStr">
        <is>
          <t>F283</t>
        </is>
      </c>
    </row>
    <row r="77">
      <c r="A77" s="2" t="inlineStr">
        <is>
          <t>board</t>
        </is>
      </c>
      <c r="B77" s="3" t="inlineStr">
        <is>
          <t>name: Maaike Veen; body: FAST foundation board (trust office); role: Chair; since: 2021-06-03</t>
        </is>
      </c>
      <c r="C77" s="2" t="inlineStr">
        <is>
          <t>F284</t>
        </is>
      </c>
    </row>
    <row r="78">
      <c r="A78" s="2" t="inlineStr">
        <is>
          <t>board</t>
        </is>
      </c>
      <c r="B78" s="3" t="inlineStr">
        <is>
          <t>name: Henk Pals; body: FAST foundation board (trust office); role: member (secretary); since: 2019-05-24</t>
        </is>
      </c>
      <c r="C78" s="2" t="inlineStr">
        <is>
          <t>F285</t>
        </is>
      </c>
    </row>
    <row r="79">
      <c r="A79" s="2" t="inlineStr">
        <is>
          <t>board</t>
        </is>
      </c>
      <c r="B79" s="3" t="inlineStr">
        <is>
          <t>name: Michiel Weghs; body: FAST foundation board (trust office); role: member; since: 2023-06</t>
        </is>
      </c>
      <c r="C79" s="2" t="inlineStr">
        <is>
          <t>F286</t>
        </is>
      </c>
    </row>
    <row r="80">
      <c r="A80" s="2" t="inlineStr">
        <is>
          <t>board</t>
        </is>
      </c>
      <c r="B80" s="3" t="inlineStr">
        <is>
          <t>name: Michiel Langezaal; body: management; role: CEO, Chair of the Management Board, co-founder; since: 2012; independent: no</t>
        </is>
      </c>
      <c r="C80" s="2" t="inlineStr">
        <is>
          <t>F287</t>
        </is>
      </c>
    </row>
    <row r="81">
      <c r="A81" s="2" t="inlineStr">
        <is>
          <t>board</t>
        </is>
      </c>
      <c r="B81" s="3" t="inlineStr">
        <is>
          <t>name: Victor van Dijk; body: management; role: CFO, statutory director; since: 2019; independent: no</t>
        </is>
      </c>
      <c r="C81" s="2" t="inlineStr">
        <is>
          <t>F288</t>
        </is>
      </c>
    </row>
    <row r="82">
      <c r="A82" s="2" t="inlineStr">
        <is>
          <t>board</t>
        </is>
      </c>
      <c r="B82" s="3" t="inlineStr">
        <is>
          <t>name: Bart Lubbers; body: supervisory; role: member; independent: no (37.0% of DRs via Wilhelmina-Dok B.V.)</t>
        </is>
      </c>
      <c r="C82" s="2" t="inlineStr">
        <is>
          <t>F289</t>
        </is>
      </c>
    </row>
    <row r="83">
      <c r="A83" s="2" t="inlineStr">
        <is>
          <t>board</t>
        </is>
      </c>
      <c r="B83" s="3" t="inlineStr">
        <is>
          <t>name: Nancy Kabalt; body: supervisory; role: member</t>
        </is>
      </c>
      <c r="C83" s="2" t="inlineStr">
        <is>
          <t>F290</t>
        </is>
      </c>
    </row>
    <row r="84">
      <c r="A84" s="2" t="inlineStr">
        <is>
          <t>board</t>
        </is>
      </c>
      <c r="B84" s="3" t="inlineStr">
        <is>
          <t>name: Liselotte Kooi; body: supervisory; role: chair; since: 2023-06-08 (chair); committees: not stated (also on the FAST Board)</t>
        </is>
      </c>
      <c r="C84" s="2" t="inlineStr">
        <is>
          <t>F291</t>
        </is>
      </c>
    </row>
    <row r="85">
      <c r="A85" s="2" t="inlineStr">
        <is>
          <t>board</t>
        </is>
      </c>
      <c r="B85" s="3" t="inlineStr">
        <is>
          <t>name: Maaike Veen; body: FAST Board (Fastned Administratie Stichting); role: member</t>
        </is>
      </c>
      <c r="C85" s="2" t="inlineStr">
        <is>
          <t>F292</t>
        </is>
      </c>
    </row>
    <row r="86">
      <c r="A86" s="2" t="inlineStr">
        <is>
          <t>board</t>
        </is>
      </c>
      <c r="B86" s="3" t="inlineStr">
        <is>
          <t>name: Henk Pals; body: FAST Board; role: member</t>
        </is>
      </c>
      <c r="C86" s="2" t="inlineStr">
        <is>
          <t>F293</t>
        </is>
      </c>
    </row>
    <row r="87">
      <c r="A87" s="2" t="inlineStr">
        <is>
          <t>board</t>
        </is>
      </c>
      <c r="B87" s="3" t="inlineStr">
        <is>
          <t>name: Michiel Weghs; body: FAST Board; role: member; since: 2023-06-08</t>
        </is>
      </c>
      <c r="C87" s="2" t="inlineStr">
        <is>
          <t>F294</t>
        </is>
      </c>
    </row>
    <row r="88">
      <c r="A88" s="2" t="inlineStr">
        <is>
          <t>board</t>
        </is>
      </c>
      <c r="B88" s="3" t="inlineStr">
        <is>
          <t>name: Jérôme Janssen; body: supervisory; role: member; since: 2022; committees: not stated (no remuneration, travel expenses up to EUR 7.5k)</t>
        </is>
      </c>
      <c r="C88" s="2" t="inlineStr">
        <is>
          <t>F295</t>
        </is>
      </c>
    </row>
    <row r="89">
      <c r="A89" s="2" t="inlineStr">
        <is>
          <t>board</t>
        </is>
      </c>
      <c r="B89" s="3" t="inlineStr">
        <is>
          <t>name: Michiel Langezaal; body: management; role: CEO</t>
        </is>
      </c>
      <c r="C89" s="2" t="inlineStr">
        <is>
          <t>F296</t>
        </is>
      </c>
    </row>
    <row r="90">
      <c r="A90" s="2" t="inlineStr">
        <is>
          <t>board</t>
        </is>
      </c>
      <c r="B90" s="3" t="inlineStr">
        <is>
          <t>name: Victor van Dijk; body: management; role: CFO</t>
        </is>
      </c>
      <c r="C90" s="2" t="inlineStr">
        <is>
          <t>F297</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10" customWidth="1" min="2" max="2"/>
    <col width="8" customWidth="1" min="3" max="3"/>
    <col width="6" customWidth="1" min="4" max="4"/>
    <col width="8" customWidth="1" min="5" max="5"/>
  </cols>
  <sheetData>
    <row r="1">
      <c r="A1" s="1" t="inlineStr">
        <is>
          <t>Period</t>
        </is>
      </c>
      <c r="B1" s="1" t="inlineStr">
        <is>
          <t>Risk as the company states it</t>
        </is>
      </c>
      <c r="C1" s="1" t="inlineStr">
        <is>
          <t>Source</t>
        </is>
      </c>
      <c r="D1" s="1" t="inlineStr">
        <is>
          <t>Page</t>
        </is>
      </c>
      <c r="E1" s="1" t="inlineStr">
        <is>
          <t>Fact</t>
        </is>
      </c>
    </row>
    <row r="2">
      <c r="A2" s="2" t="n"/>
      <c r="B2" s="3" t="inlineStr">
        <is>
          <t>Operating cash flow H1 2026 includes EUR -6.3m timing of payments from the German highway authority and EUR -5.3m higher inventory from the delayed Q1 e-credit sale.</t>
        </is>
      </c>
      <c r="C2" s="2" t="inlineStr">
        <is>
          <t>S4</t>
        </is>
      </c>
      <c r="D2" s="2" t="n">
        <v>19</v>
      </c>
      <c r="E2" s="2" t="inlineStr">
        <is>
          <t>F1879</t>
        </is>
      </c>
    </row>
    <row r="3">
      <c r="A3" s="2" t="n"/>
      <c r="B3" s="3" t="inlineStr">
        <is>
          <t>Management reports no material change to the risk profile presented in the 2025 Annual Report (pages 74-84).</t>
        </is>
      </c>
      <c r="C3" s="2" t="inlineStr">
        <is>
          <t>S4</t>
        </is>
      </c>
      <c r="D3" s="2" t="n">
        <v>23</v>
      </c>
      <c r="E3" s="2" t="inlineStr">
        <is>
          <t>F1880</t>
        </is>
      </c>
    </row>
    <row r="4">
      <c r="A4" s="2" t="n"/>
      <c r="B4" s="3" t="inlineStr">
        <is>
          <t>Area of attention: dependence on key material suppliers and third parties; geopolitical developments and critical-material availability named as supply-chain risks.</t>
        </is>
      </c>
      <c r="C4" s="2" t="inlineStr">
        <is>
          <t>S4</t>
        </is>
      </c>
      <c r="D4" s="2" t="n">
        <v>23</v>
      </c>
      <c r="E4" s="2" t="inlineStr">
        <is>
          <t>F1881</t>
        </is>
      </c>
    </row>
    <row r="5">
      <c r="A5" s="2" t="n"/>
      <c r="B5" s="3" t="inlineStr">
        <is>
          <t>Area of attention: grid capacity constraints and permit delays affect timing of station development in an increasing number of markets; timing largely outside Fastned's control.</t>
        </is>
      </c>
      <c r="C5" s="2" t="inlineStr">
        <is>
          <t>S4</t>
        </is>
      </c>
      <c r="D5" s="2" t="n">
        <v>23</v>
      </c>
      <c r="E5" s="2" t="inlineStr">
        <is>
          <t>F1882</t>
        </is>
      </c>
    </row>
    <row r="6">
      <c r="A6" s="2" t="n"/>
      <c r="B6" s="3" t="inlineStr">
        <is>
          <t>Area of attention: external fraud (fraudulent charge-card use, invoice fraud), exposure expected to increase with new products.</t>
        </is>
      </c>
      <c r="C6" s="2" t="inlineStr">
        <is>
          <t>S4</t>
        </is>
      </c>
      <c r="D6" s="2" t="n">
        <v>23</v>
      </c>
      <c r="E6" s="2" t="inlineStr">
        <is>
          <t>F1883</t>
        </is>
      </c>
    </row>
    <row r="7">
      <c r="A7" s="2" t="n"/>
      <c r="B7" s="3" t="inlineStr">
        <is>
          <t>Area of attention: health and safety in construction, maintenance and operation of stations.</t>
        </is>
      </c>
      <c r="C7" s="2" t="inlineStr">
        <is>
          <t>S4</t>
        </is>
      </c>
      <c r="D7" s="2" t="n">
        <v>23</v>
      </c>
      <c r="E7" s="2" t="inlineStr">
        <is>
          <t>F1884</t>
        </is>
      </c>
    </row>
    <row r="8">
      <c r="A8" s="2" t="n"/>
      <c r="B8" s="3" t="inlineStr">
        <is>
          <t>Area of attention: scalable risk-management and internal-control framework; company plans to strengthen the framework after H1 2026 audits.</t>
        </is>
      </c>
      <c r="C8" s="2" t="inlineStr">
        <is>
          <t>S4</t>
        </is>
      </c>
      <c r="D8" s="2" t="n">
        <v>23</v>
      </c>
      <c r="E8" s="2" t="inlineStr">
        <is>
          <t>F1885</t>
        </is>
      </c>
    </row>
    <row r="9">
      <c r="A9" s="2" t="n"/>
      <c r="B9" s="3" t="inlineStr">
        <is>
          <t>Current interest-bearing loans and borrowings EUR 16.0m at 30 June 2026 (31 Dec 2025: 12.4) against cash of 100.7; no amounts under the green facility repayable within twelve months.</t>
        </is>
      </c>
      <c r="C9" s="2" t="inlineStr">
        <is>
          <t>S4</t>
        </is>
      </c>
      <c r="D9" s="2" t="n">
        <v>27</v>
      </c>
      <c r="E9" s="2" t="inlineStr">
        <is>
          <t>F1886</t>
        </is>
      </c>
    </row>
    <row r="10">
      <c r="A10" s="2" t="n"/>
      <c r="B10" s="3" t="inlineStr">
        <is>
          <t>Fast Places Limited (51%) is not consolidated: shared power under the joint arrangement limits Fastned's ability to direct the relevant activities.</t>
        </is>
      </c>
      <c r="C10" s="2" t="inlineStr">
        <is>
          <t>S4</t>
        </is>
      </c>
      <c r="D10" s="2" t="n">
        <v>32</v>
      </c>
      <c r="E10" s="2" t="inlineStr">
        <is>
          <t>F1887</t>
        </is>
      </c>
    </row>
    <row r="11">
      <c r="A11" s="2" t="n"/>
      <c r="B11" s="3" t="inlineStr">
        <is>
          <t>Directors state the 12-18 month liquidity forecasts show 'adequate funds' and adopt the going concern basis; losses in early years funded by borrowings and certificate issues via FAST Foundation.</t>
        </is>
      </c>
      <c r="C11" s="2" t="inlineStr">
        <is>
          <t>S4</t>
        </is>
      </c>
      <c r="D11" s="2" t="n">
        <v>33</v>
      </c>
      <c r="E11" s="2" t="inlineStr">
        <is>
          <t>F1888</t>
        </is>
      </c>
    </row>
    <row r="12">
      <c r="A12" s="2" t="n"/>
      <c r="B12" s="3" t="inlineStr">
        <is>
          <t>Company states it invests in new stations, chargers and grid connections only if financing for those investments is secured.</t>
        </is>
      </c>
      <c r="C12" s="2" t="inlineStr">
        <is>
          <t>S4</t>
        </is>
      </c>
      <c r="D12" s="2" t="n">
        <v>33</v>
      </c>
      <c r="E12" s="2" t="inlineStr">
        <is>
          <t>F1889</t>
        </is>
      </c>
    </row>
    <row r="13">
      <c r="A13" s="2" t="n"/>
      <c r="B13" s="3" t="inlineStr">
        <is>
          <t>Approximately EUR 5m of Q1 2026 Dutch e-credit sales could not be recognised at 30 June 2026 because the national government registry was not operational.</t>
        </is>
      </c>
      <c r="C13" s="2" t="inlineStr">
        <is>
          <t>S4</t>
        </is>
      </c>
      <c r="D13" s="2" t="n">
        <v>35</v>
      </c>
      <c r="E13" s="2" t="inlineStr">
        <is>
          <t>F1890</t>
        </is>
      </c>
    </row>
    <row r="14">
      <c r="A14" s="2" t="n"/>
      <c r="B14" s="3" t="inlineStr">
        <is>
          <t>Company states the EV charging market is not sufficiently developed for long-term margins per country to be known with certainty.</t>
        </is>
      </c>
      <c r="C14" s="2" t="inlineStr">
        <is>
          <t>S4</t>
        </is>
      </c>
      <c r="D14" s="2" t="n">
        <v>36</v>
      </c>
      <c r="E14" s="2" t="inlineStr">
        <is>
          <t>F1891</t>
        </is>
      </c>
    </row>
    <row r="15">
      <c r="A15" s="2" t="n"/>
      <c r="B15" s="3" t="inlineStr">
        <is>
          <t>Majority of cash held at one bank under Dutch Central Bank supervision with an A or equivalent long-term rating; no restricted cash.</t>
        </is>
      </c>
      <c r="C15" s="2" t="inlineStr">
        <is>
          <t>S4</t>
        </is>
      </c>
      <c r="D15" s="2" t="n">
        <v>46</v>
      </c>
      <c r="E15" s="2" t="inlineStr">
        <is>
          <t>F1892</t>
        </is>
      </c>
    </row>
    <row r="16">
      <c r="A16" s="2" t="n"/>
      <c r="B16" s="3" t="inlineStr">
        <is>
          <t>Build pace in 2025 remains below the rate required for the 1,000-station target by 2030 (company statement).</t>
        </is>
      </c>
      <c r="C16" s="2" t="inlineStr">
        <is>
          <t>S3</t>
        </is>
      </c>
      <c r="D16" s="2" t="n">
        <v>9</v>
      </c>
      <c r="E16" s="2" t="inlineStr">
        <is>
          <t>F1224</t>
        </is>
      </c>
    </row>
    <row r="17">
      <c r="A17" s="2" t="n"/>
      <c r="B17" s="3" t="inlineStr">
        <is>
          <t>Delays in several markets in 2025 from grid connection queues and planning processes; grid capacity, permitting and site availability named as the primary limits on expansion pace.</t>
        </is>
      </c>
      <c r="C17" s="2" t="inlineStr">
        <is>
          <t>S3</t>
        </is>
      </c>
      <c r="D17" s="2" t="n">
        <v>14</v>
      </c>
      <c r="E17" s="2" t="inlineStr">
        <is>
          <t>F1225</t>
        </is>
      </c>
    </row>
    <row r="18">
      <c r="A18" s="2" t="n"/>
      <c r="B18" s="3" t="inlineStr">
        <is>
          <t>Talent: the company names the shortage of highly-skilled EV-charging talent a 'material risk'; staff turnover 12.9% in 2025 (2024: 13%).</t>
        </is>
      </c>
      <c r="C18" s="2" t="inlineStr">
        <is>
          <t>S3</t>
        </is>
      </c>
      <c r="D18" s="2" t="n">
        <v>55</v>
      </c>
      <c r="E18" s="2" t="inlineStr">
        <is>
          <t>F1226</t>
        </is>
      </c>
    </row>
    <row r="19">
      <c r="A19" s="2" t="n"/>
      <c r="B19" s="3" t="inlineStr">
        <is>
          <t>Internal control formalisation backlog accumulated during the start-up and scale-up phase; controls to be formalised and evidenced in 2026.</t>
        </is>
      </c>
      <c r="C19" s="2" t="inlineStr">
        <is>
          <t>S3</t>
        </is>
      </c>
      <c r="D19" s="2" t="n">
        <v>80</v>
      </c>
      <c r="E19" s="2" t="inlineStr">
        <is>
          <t>F1227</t>
        </is>
      </c>
    </row>
    <row r="20">
      <c r="A20" s="2" t="n"/>
      <c r="B20" s="3" t="inlineStr">
        <is>
          <t>Risk Radar 2025 shows a 'widening risk landscape' vs 2024 (management's words): increases in network development, external fraud, physical security, contractual liabilities and third-party risks.</t>
        </is>
      </c>
      <c r="C20" s="2" t="inlineStr">
        <is>
          <t>S3</t>
        </is>
      </c>
      <c r="D20" s="2" t="n">
        <v>80</v>
      </c>
      <c r="E20" s="2" t="inlineStr">
        <is>
          <t>F1228</t>
        </is>
      </c>
    </row>
    <row r="21">
      <c r="A21" s="2" t="n"/>
      <c r="B21" s="3" t="inlineStr">
        <is>
          <t>Management names securing funding for network expansion and refinancing obligations 'a principal risk'; net growth-capital risk assessed by management as 'low to moderate', up slightly vs 2024.</t>
        </is>
      </c>
      <c r="C21" s="2" t="inlineStr">
        <is>
          <t>S3</t>
        </is>
      </c>
      <c r="D21" s="2" t="n">
        <v>81</v>
      </c>
      <c r="E21" s="2" t="inlineStr">
        <is>
          <t>F1229</t>
        </is>
      </c>
    </row>
    <row r="22">
      <c r="A22" s="2" t="n"/>
      <c r="B22" s="3" t="inlineStr">
        <is>
          <t>Market competition: net risk assessed by management as 'moderate' and increasing, citing more crowded tenders, more capital-rich competitors and consolidation.</t>
        </is>
      </c>
      <c r="C22" s="2" t="inlineStr">
        <is>
          <t>S3</t>
        </is>
      </c>
      <c r="D22" s="2" t="n">
        <v>81</v>
      </c>
      <c r="E22" s="2" t="inlineStr">
        <is>
          <t>F1230</t>
        </is>
      </c>
    </row>
    <row r="23">
      <c r="A23" s="2" t="n"/>
      <c r="B23" s="3" t="inlineStr">
        <is>
          <t>Network development: grid capacity constraints called one of the biggest challenges in 2025; net risk assessed by management as 'moderate/high' with an increasing trend.</t>
        </is>
      </c>
      <c r="C23" s="2" t="inlineStr">
        <is>
          <t>S3</t>
        </is>
      </c>
      <c r="D23" s="2" t="n">
        <v>81</v>
      </c>
      <c r="E23" s="2" t="inlineStr">
        <is>
          <t>F1231</t>
        </is>
      </c>
    </row>
    <row r="24">
      <c r="A24" s="2" t="n"/>
      <c r="B24" s="3" t="inlineStr">
        <is>
          <t>Cost control: increasing grid, construction and maintenance costs in 2025; net risk assessed by management as 'moderate', slightly increased.</t>
        </is>
      </c>
      <c r="C24" s="2" t="inlineStr">
        <is>
          <t>S3</t>
        </is>
      </c>
      <c r="D24" s="2" t="n">
        <v>81</v>
      </c>
      <c r="E24" s="2" t="inlineStr">
        <is>
          <t>F1232</t>
        </is>
      </c>
    </row>
    <row r="25">
      <c r="A25" s="2" t="n"/>
      <c r="B25" s="3" t="inlineStr">
        <is>
          <t>Climate-related risks did not appear as strategic risks in the 2025 assessment; no time horizons of climate hazards identified.</t>
        </is>
      </c>
      <c r="C25" s="2" t="inlineStr">
        <is>
          <t>S3</t>
        </is>
      </c>
      <c r="D25" s="2" t="n">
        <v>81</v>
      </c>
      <c r="E25" s="2" t="inlineStr">
        <is>
          <t>F1233</t>
        </is>
      </c>
    </row>
    <row r="26">
      <c r="A26" s="2" t="n"/>
      <c r="B26" s="3" t="inlineStr">
        <is>
          <t>External fraud: increasing charge card fraud and non-payment of invoices by customers across countries in 2025; net risk assessed by management as 'moderate/high'.</t>
        </is>
      </c>
      <c r="C26" s="2" t="inlineStr">
        <is>
          <t>S3</t>
        </is>
      </c>
      <c r="D26" s="2" t="n">
        <v>82</v>
      </c>
      <c r="E26" s="2" t="inlineStr">
        <is>
          <t>F1234</t>
        </is>
      </c>
    </row>
    <row r="27">
      <c r="A27" s="2" t="n"/>
      <c r="B27" s="3" t="inlineStr">
        <is>
          <t>Contractual and commercial liabilities: net risk assessed by management as 'moderate/high' and increasing, from new countries, tenders and joint ventures.</t>
        </is>
      </c>
      <c r="C27" s="2" t="inlineStr">
        <is>
          <t>S3</t>
        </is>
      </c>
      <c r="D27" s="2" t="n">
        <v>82</v>
      </c>
      <c r="E27" s="2" t="inlineStr">
        <is>
          <t>F1235</t>
        </is>
      </c>
    </row>
    <row r="28">
      <c r="A28" s="2" t="n"/>
      <c r="B28" s="3" t="inlineStr">
        <is>
          <t>Reliance on third-party suppliers and contractors for construction, maintenance and IT; net risk assessed by management as 'moderate', unchanged.</t>
        </is>
      </c>
      <c r="C28" s="2" t="inlineStr">
        <is>
          <t>S3</t>
        </is>
      </c>
      <c r="D28" s="2" t="n">
        <v>83</v>
      </c>
      <c r="E28" s="2" t="inlineStr">
        <is>
          <t>F1236</t>
        </is>
      </c>
    </row>
    <row r="29">
      <c r="A29" s="2" t="n"/>
      <c r="B29" s="3" t="inlineStr">
        <is>
          <t>Physical security: increasing cable thefts at stations; net risk assessed by management as 'low to moderate', slightly increasing.</t>
        </is>
      </c>
      <c r="C29" s="2" t="inlineStr">
        <is>
          <t>S3</t>
        </is>
      </c>
      <c r="D29" s="2" t="n">
        <v>84</v>
      </c>
      <c r="E29" s="2" t="inlineStr">
        <is>
          <t>F1237</t>
        </is>
      </c>
    </row>
    <row r="30">
      <c r="A30" s="2" t="n"/>
      <c r="B30" s="3" t="inlineStr">
        <is>
          <t>Information resilience: net risk assessed by management as 'moderate'; NIS2 applies; ISO 27001 certification to be pursued from 2026.</t>
        </is>
      </c>
      <c r="C30" s="2" t="inlineStr">
        <is>
          <t>S3</t>
        </is>
      </c>
      <c r="D30" s="2" t="n">
        <v>84</v>
      </c>
      <c r="E30" s="2" t="inlineStr">
        <is>
          <t>F1238</t>
        </is>
      </c>
    </row>
    <row r="31">
      <c r="A31" s="2" t="n"/>
      <c r="B31" s="3" t="inlineStr">
        <is>
          <t>Brand: limitations on applying the full brand concept in some tenders; net risk assessed by management as 'moderate'.</t>
        </is>
      </c>
      <c r="C31" s="2" t="inlineStr">
        <is>
          <t>S3</t>
        </is>
      </c>
      <c r="D31" s="2" t="n">
        <v>84</v>
      </c>
      <c r="E31" s="2" t="inlineStr">
        <is>
          <t>F1239</t>
        </is>
      </c>
    </row>
    <row r="32">
      <c r="A32" s="2" t="n"/>
      <c r="B32" s="3" t="inlineStr">
        <is>
          <t>The Management Board states that internal control of key processes 'still has serious deficiencies, such as insufficient segregation of duties and formalization' (Management Board statement 2025).</t>
        </is>
      </c>
      <c r="C32" s="2" t="inlineStr">
        <is>
          <t>S3</t>
        </is>
      </c>
      <c r="D32" s="2" t="n">
        <v>111</v>
      </c>
      <c r="E32" s="2" t="inlineStr">
        <is>
          <t>F1240</t>
        </is>
      </c>
    </row>
    <row r="33">
      <c r="A33" s="2" t="n"/>
      <c r="B33" s="3" t="inlineStr">
        <is>
          <t>Exchange differences on translating foreign operations were -€2.0m in 2025 (2024: +€1.2m) through OCI; total comprehensive income -€32.2m.</t>
        </is>
      </c>
      <c r="C33" s="2" t="inlineStr">
        <is>
          <t>S3</t>
        </is>
      </c>
      <c r="D33" s="2" t="n">
        <v>117</v>
      </c>
      <c r="E33" s="2" t="inlineStr">
        <is>
          <t>F1241</t>
        </is>
      </c>
    </row>
    <row r="34">
      <c r="A34" s="2" t="n"/>
      <c r="B34" s="3" t="inlineStr">
        <is>
          <t>Going concern: the Group incurs losses funded mainly by borrowings and certificate issuance via FAST; equity €91.9m (2024: €122.7m) and cash €69.9m (2024: €117.4m) at year end.</t>
        </is>
      </c>
      <c r="C34" s="2" t="inlineStr">
        <is>
          <t>S3</t>
        </is>
      </c>
      <c r="D34" s="2" t="n">
        <v>122</v>
      </c>
      <c r="E34" s="2" t="inlineStr">
        <is>
          <t>F1242</t>
        </is>
      </c>
    </row>
    <row r="35">
      <c r="A35" s="2" t="n"/>
      <c r="B35" s="3" t="inlineStr">
        <is>
          <t>Management's liquidity forecasts for the upcoming 18 months show 'adequate funds' for Fastned to continue as a going concern (management's wording).</t>
        </is>
      </c>
      <c r="C35" s="2" t="inlineStr">
        <is>
          <t>S3</t>
        </is>
      </c>
      <c r="D35" s="2" t="n">
        <v>122</v>
      </c>
      <c r="E35" s="2" t="inlineStr">
        <is>
          <t>F1243</t>
        </is>
      </c>
    </row>
    <row r="36">
      <c r="A36" s="2" t="n"/>
      <c r="B36" s="3" t="inlineStr">
        <is>
          <t>RWS concessions expire from 2028 to 2036; for recently opened stations the remaining term is shorter than the asset useful life, a risk of accelerated depreciation; useful lives were kept unchanged at 31 Dec 2025.</t>
        </is>
      </c>
      <c r="C36" s="2" t="inlineStr">
        <is>
          <t>S3</t>
        </is>
      </c>
      <c r="D36" s="2" t="n">
        <v>142</v>
      </c>
      <c r="E36" s="2" t="inlineStr">
        <is>
          <t>F1244</t>
        </is>
      </c>
    </row>
    <row r="37">
      <c r="A37" s="2" t="n"/>
      <c r="B37" s="3" t="inlineStr">
        <is>
          <t>Company estimate of accelerated depreciation if RWS concessions end on schedule: €15m (no sites retained), €9m (37.5% retained), €7m (end dates postponed about 2 years, 37.5% retained), spread over 2027-2039.</t>
        </is>
      </c>
      <c r="C37" s="2" t="inlineStr">
        <is>
          <t>S3</t>
        </is>
      </c>
      <c r="D37" s="2" t="n">
        <v>143</v>
      </c>
      <c r="E37" s="2" t="inlineStr">
        <is>
          <t>F1245</t>
        </is>
      </c>
    </row>
    <row r="38">
      <c r="A38" s="2" t="n"/>
      <c r="B38" s="3" t="inlineStr">
        <is>
          <t>German grant conditions: complete construction within contractual deadlines, operate the facilities 12 years (8 + 4), pay €0.15 per kWh supplied up to the subsidy value; failure triggers a pro-rated repayment of the remaining subsidy.</t>
        </is>
      </c>
      <c r="C38" s="2" t="inlineStr">
        <is>
          <t>S3</t>
        </is>
      </c>
      <c r="D38" s="2" t="n">
        <v>165</v>
      </c>
      <c r="E38" s="2" t="inlineStr">
        <is>
          <t>F1246</t>
        </is>
      </c>
    </row>
    <row r="39">
      <c r="A39" s="2" t="n"/>
      <c r="B39" s="3" t="inlineStr">
        <is>
          <t>Impairment sensitivity: a headroom shortfall could exist in the UK CGU if WACC rises 2 percentage points, UK long-term inflation rises 2 points, or there is no BEV growth after 2027; management calls these 'severe downside stress scenarios'.</t>
        </is>
      </c>
      <c r="C39" s="2" t="inlineStr">
        <is>
          <t>S3</t>
        </is>
      </c>
      <c r="D39" s="2" t="n">
        <v>167</v>
      </c>
      <c r="E39" s="2" t="inlineStr">
        <is>
          <t>F1247</t>
        </is>
      </c>
    </row>
    <row r="40">
      <c r="A40" s="2" t="n"/>
      <c r="B40" s="3" t="inlineStr">
        <is>
          <t>The majority of electricity is bought on the spot wholesale market; sensitivity on the unhedged balance 2025: +1% price = +€170k cost of sales, +5% = +€847k, +10% = +€1.6m.</t>
        </is>
      </c>
      <c r="C40" s="2" t="inlineStr">
        <is>
          <t>S3</t>
        </is>
      </c>
      <c r="D40" s="2" t="n">
        <v>178</v>
      </c>
      <c r="E40" s="2" t="inlineStr">
        <is>
          <t>F1248</t>
        </is>
      </c>
    </row>
    <row r="41">
      <c r="A41" s="2" t="n"/>
      <c r="B41" s="3" t="inlineStr">
        <is>
          <t>Receivables and contract assets from service concession revenue are due from one counterparty, Die Autobahn GmbH des Bundes; no instances of non-payment or default.</t>
        </is>
      </c>
      <c r="C41" s="2" t="inlineStr">
        <is>
          <t>S3</t>
        </is>
      </c>
      <c r="D41" s="2" t="n">
        <v>178</v>
      </c>
      <c r="E41" s="2" t="inlineStr">
        <is>
          <t>F1249</t>
        </is>
      </c>
    </row>
    <row r="42">
      <c r="A42" s="2" t="n"/>
      <c r="B42" s="3" t="inlineStr">
        <is>
          <t>Interest-rate sensitivity on cash balances: +50bp = +€466k profit, -50bp = -€376k (2024: +€22k and -€735k).</t>
        </is>
      </c>
      <c r="C42" s="2" t="inlineStr">
        <is>
          <t>S3</t>
        </is>
      </c>
      <c r="D42" s="2" t="n">
        <v>179</v>
      </c>
      <c r="E42" s="2" t="inlineStr">
        <is>
          <t>F1250</t>
        </is>
      </c>
    </row>
    <row r="43">
      <c r="A43" s="2" t="n"/>
      <c r="B43" s="3" t="inlineStr">
        <is>
          <t>FX: UK, Swiss and Danish subsidiaries are funded with intercompany loans from Fastned B.V.; a 1% exchange-rate move changes the balance by €886k (2024: €621k).</t>
        </is>
      </c>
      <c r="C43" s="2" t="inlineStr">
        <is>
          <t>S3</t>
        </is>
      </c>
      <c r="D43" s="2" t="n">
        <v>179</v>
      </c>
      <c r="E43" s="2" t="inlineStr">
        <is>
          <t>F1251</t>
        </is>
      </c>
    </row>
    <row r="44">
      <c r="A44" s="2" t="n"/>
      <c r="B44" s="3" t="inlineStr">
        <is>
          <t>At end 2025 Fastned states it held a 'significant cash surplus' (€69.9m) safeguarding against liquidity risk; a liquidity planning tool monitors shortage of funds.</t>
        </is>
      </c>
      <c r="C44" s="2" t="inlineStr">
        <is>
          <t>S3</t>
        </is>
      </c>
      <c r="D44" s="2" t="n">
        <v>179</v>
      </c>
      <c r="E44" s="2" t="inlineStr">
        <is>
          <t>F1252</t>
        </is>
      </c>
    </row>
    <row r="45">
      <c r="A45" s="2" t="n"/>
      <c r="B45" s="3" t="inlineStr">
        <is>
          <t>PPAs could become onerous if power prices fall significantly; assessed annually against third-party electricity cost forecasts; €69.4k of unused PPA electricity was sold on the spot market in 2025.</t>
        </is>
      </c>
      <c r="C45" s="2" t="inlineStr">
        <is>
          <t>S3</t>
        </is>
      </c>
      <c r="D45" s="2" t="n">
        <v>180</v>
      </c>
      <c r="E45" s="2" t="inlineStr">
        <is>
          <t>F1253</t>
        </is>
      </c>
    </row>
    <row r="46">
      <c r="A46" s="2" t="n"/>
      <c r="B46" s="3" t="inlineStr">
        <is>
          <t>Refinancing: €282.7m of interest-bearing loans and borrowings fall due in 1-5 years from 31 Dec 2025 (bonds 2027-2030, secured loans 2031-2032); contractual interest on loans €58.8m over the remaining terms.</t>
        </is>
      </c>
      <c r="C46" s="2" t="inlineStr">
        <is>
          <t>S3</t>
        </is>
      </c>
      <c r="D46" s="2" t="n">
        <v>181</v>
      </c>
      <c r="E46" s="2" t="inlineStr">
        <is>
          <t>F1254</t>
        </is>
      </c>
    </row>
    <row r="47">
      <c r="A47" s="2" t="n"/>
      <c r="B47" s="3" t="inlineStr">
        <is>
          <t>The parent's loan to Fastned UK Ltd (nominal EUR 70.9m, 6.15%, due 31 December 2029) carries a EUR 25.2m provision at 31 December 2025, net EUR 45.7m (2024: EUR 34.4m).</t>
        </is>
      </c>
      <c r="C47" s="2" t="inlineStr">
        <is>
          <t>S3</t>
        </is>
      </c>
      <c r="D47" s="2" t="n">
        <v>211</v>
      </c>
      <c r="E47" s="2" t="inlineStr">
        <is>
          <t>F1255</t>
        </is>
      </c>
    </row>
    <row r="48">
      <c r="A48" s="2" t="n"/>
      <c r="B48" s="3" t="inlineStr">
        <is>
          <t>Going concern: management's liquidity forecasts for the 18 months after balance sheet date show 'adequate funds' (management, per BDO); BDO concluded 'no material uncertainty' exists for the twelve months after signing on 18 March 2026.</t>
        </is>
      </c>
      <c r="C48" s="2" t="inlineStr">
        <is>
          <t>S3</t>
        </is>
      </c>
      <c r="D48" s="2" t="n">
        <v>218</v>
      </c>
      <c r="E48" s="2" t="inlineStr">
        <is>
          <t>F1256</t>
        </is>
      </c>
    </row>
    <row r="49">
      <c r="A49" s="2" t="n"/>
      <c r="B49" s="3" t="inlineStr">
        <is>
          <t>BDO states the growth strategy 'can only be achieved by raising additional funding': continued access to the capital market for new bond issues, the ability to repay or refinance existing bonds and loans, and compliance with lender conditions including conditions on government grants.</t>
        </is>
      </c>
      <c r="C49" s="2" t="inlineStr">
        <is>
          <t>S3</t>
        </is>
      </c>
      <c r="D49" s="2" t="n">
        <v>218</v>
      </c>
      <c r="E49" s="2" t="inlineStr">
        <is>
          <t>F1257</t>
        </is>
      </c>
    </row>
    <row r="50">
      <c r="A50" s="2" t="n"/>
      <c r="B50" s="3" t="inlineStr">
        <is>
          <t>Cash-flow forecasts depend on management estimates the auditor calls 'uncertain': future kWh volume sold, EV-sector growth and BEV penetration in Fastned's countries, and projected investments in stations.</t>
        </is>
      </c>
      <c r="C50" s="2" t="inlineStr">
        <is>
          <t>S3</t>
        </is>
      </c>
      <c r="D50" s="2" t="n">
        <v>218</v>
      </c>
      <c r="E50" s="2" t="inlineStr">
        <is>
          <t>F1258</t>
        </is>
      </c>
    </row>
    <row r="51">
      <c r="A51" s="2" t="n"/>
      <c r="B51" s="3" t="inlineStr">
        <is>
          <t>BDO's going-concern work covered the ability to repay or refinance existing bonds and other loans within twelve months of signing, proceeds from the green loan facility entered into in 2026 and compliance with lender conditions.</t>
        </is>
      </c>
      <c r="C51" s="2" t="inlineStr">
        <is>
          <t>S3</t>
        </is>
      </c>
      <c r="D51" s="2" t="n">
        <v>219</v>
      </c>
      <c r="E51" s="2" t="inlineStr">
        <is>
          <t>F1259</t>
        </is>
      </c>
    </row>
    <row r="52">
      <c r="A52" s="2" t="n"/>
      <c r="B52" s="3" t="inlineStr">
        <is>
          <t>A significant portion of the Dutch network operates under concessions granted in 2013 with a 15-year duration, expiring from 2028 to 2036; for recently opened stations the remaining concession term is shorter than the technical useful life of the assets.</t>
        </is>
      </c>
      <c r="C52" s="2" t="inlineStr">
        <is>
          <t>S3</t>
        </is>
      </c>
      <c r="D52" s="2" t="n">
        <v>225</v>
      </c>
      <c r="E52" s="2" t="inlineStr">
        <is>
          <t>F1260</t>
        </is>
      </c>
    </row>
    <row r="53">
      <c r="A53" s="2" t="n"/>
      <c r="B53" s="3" t="inlineStr">
        <is>
          <t>Company-stated factors that could cause results to differ: BEV adoption in the Netherlands and other countries, brand, innovation, investment choices, supply chain, electricity cost, IT, financial, regulatory, tax and legal matters.</t>
        </is>
      </c>
      <c r="C53" s="2" t="inlineStr">
        <is>
          <t>S3</t>
        </is>
      </c>
      <c r="D53" s="2" t="n">
        <v>232</v>
      </c>
      <c r="E53" s="2" t="inlineStr">
        <is>
          <t>F1261</t>
        </is>
      </c>
    </row>
    <row r="54">
      <c r="A54" s="2" t="n"/>
      <c r="B54" s="3" t="inlineStr">
        <is>
          <t>Market risk: EV sales slowed in Germany and France in 2024; BEV share of new registrations in Germany fell from 18.4% to 13.5% (ACEA).</t>
        </is>
      </c>
      <c r="C54" s="2" t="inlineStr">
        <is>
          <t>S2</t>
        </is>
      </c>
      <c r="D54" s="2" t="n">
        <v>32</v>
      </c>
      <c r="E54" s="2" t="inlineStr">
        <is>
          <t>F635</t>
        </is>
      </c>
    </row>
    <row r="55">
      <c r="A55" s="2" t="n"/>
      <c r="B55" s="3" t="inlineStr">
        <is>
          <t>Cost pressure: network operation costs per charger rose 33% to €18.9k on higher grid fees, maintenance and other direct costs.</t>
        </is>
      </c>
      <c r="C55" s="2" t="inlineStr">
        <is>
          <t>S2</t>
        </is>
      </c>
      <c r="D55" s="2" t="n">
        <v>40</v>
      </c>
      <c r="E55" s="2" t="inlineStr">
        <is>
          <t>F636</t>
        </is>
      </c>
    </row>
    <row r="56">
      <c r="A56" s="2" t="n"/>
      <c r="B56" s="3" t="inlineStr">
        <is>
          <t>Working capital: operating cash flow €(7.6)m was influenced by adverse working capital changes of €(7.1)m from sales growth and timing effects.</t>
        </is>
      </c>
      <c r="C56" s="2" t="inlineStr">
        <is>
          <t>S2</t>
        </is>
      </c>
      <c r="D56" s="2" t="n">
        <v>41</v>
      </c>
      <c r="E56" s="2" t="inlineStr">
        <is>
          <t>F637</t>
        </is>
      </c>
    </row>
    <row r="57">
      <c r="A57" s="2" t="n"/>
      <c r="B57" s="3" t="inlineStr">
        <is>
          <t>Risk appetite: Fastned states a 'low-to moderate' appetite for most risk categories; framework adopted from ISO 31000:2018.</t>
        </is>
      </c>
      <c r="C57" s="2" t="inlineStr">
        <is>
          <t>S2</t>
        </is>
      </c>
      <c r="D57" s="2" t="n">
        <v>63</v>
      </c>
      <c r="E57" s="2" t="inlineStr">
        <is>
          <t>F638</t>
        </is>
      </c>
    </row>
    <row r="58">
      <c r="A58" s="2" t="n"/>
      <c r="B58" s="3" t="inlineStr">
        <is>
          <t>Funding risk: company states 2024 bond issues of about €82m cover financial commitments for 'the next 12 to 18 months'; alternative financing to be explored for mid- to long-term growth and refinancing (risk trend 'unchanged (low)').</t>
        </is>
      </c>
      <c r="C58" s="2" t="inlineStr">
        <is>
          <t>S2</t>
        </is>
      </c>
      <c r="D58" s="2" t="n">
        <v>66</v>
      </c>
      <c r="E58" s="2" t="inlineStr">
        <is>
          <t>F639</t>
        </is>
      </c>
    </row>
    <row r="59">
      <c r="A59" s="2" t="n"/>
      <c r="B59" s="3" t="inlineStr">
        <is>
          <t>Concession risk: uncertainty in the Netherlands about renewing current concessions at end-of-contract from 2028 onwards; main challenge is build pace.</t>
        </is>
      </c>
      <c r="C59" s="2" t="inlineStr">
        <is>
          <t>S2</t>
        </is>
      </c>
      <c r="D59" s="2" t="n">
        <v>66</v>
      </c>
      <c r="E59" s="2" t="inlineStr">
        <is>
          <t>F640</t>
        </is>
      </c>
    </row>
    <row r="60">
      <c r="A60" s="2" t="n"/>
      <c r="B60" s="3" t="inlineStr">
        <is>
          <t>Cyber risk trend 'increased (moderate)'; Fastned aligns with NIS 2 and joined the Dutch EV Charging ISAC (company statement).</t>
        </is>
      </c>
      <c r="C60" s="2" t="inlineStr">
        <is>
          <t>S2</t>
        </is>
      </c>
      <c r="D60" s="2" t="n">
        <v>67</v>
      </c>
      <c r="E60" s="2" t="inlineStr">
        <is>
          <t>F641</t>
        </is>
      </c>
    </row>
    <row r="61">
      <c r="A61" s="2" t="n"/>
      <c r="B61" s="3" t="inlineStr">
        <is>
          <t>Money-laundering risk assessed as 'low' by the company; all payments flow through EU banks with KYC and sanctions checks; bond issues named as a possible channel.</t>
        </is>
      </c>
      <c r="C61" s="2" t="inlineStr">
        <is>
          <t>S2</t>
        </is>
      </c>
      <c r="D61" s="2" t="n">
        <v>68</v>
      </c>
      <c r="E61" s="2" t="inlineStr">
        <is>
          <t>F642</t>
        </is>
      </c>
    </row>
    <row r="62">
      <c r="A62" s="2" t="n"/>
      <c r="B62" s="3" t="inlineStr">
        <is>
          <t>Non-compliance risk trend 'increased (moderate)': Fastned meets the legal definition of a 'large company' and faces AFIR, CSRD and NIS2; tender and contract obligations could result in penalties or grant repayments.</t>
        </is>
      </c>
      <c r="C62" s="2" t="inlineStr">
        <is>
          <t>S2</t>
        </is>
      </c>
      <c r="D62" s="2" t="n">
        <v>69</v>
      </c>
      <c r="E62" s="2" t="inlineStr">
        <is>
          <t>F643</t>
        </is>
      </c>
    </row>
    <row r="63">
      <c r="A63" s="2" t="n"/>
      <c r="B63" s="3" t="inlineStr">
        <is>
          <t>Health &amp; safety risk trend 'unchanged (moderate/high)'; goal to inspect all stations within two years.</t>
        </is>
      </c>
      <c r="C63" s="2" t="inlineStr">
        <is>
          <t>S2</t>
        </is>
      </c>
      <c r="D63" s="2" t="n">
        <v>69</v>
      </c>
      <c r="E63" s="2" t="inlineStr">
        <is>
          <t>F644</t>
        </is>
      </c>
    </row>
    <row r="64">
      <c r="A64" s="2" t="n"/>
      <c r="B64" s="3" t="inlineStr">
        <is>
          <t>Grid risk: EU grid capacity limits cause longer lead times for new connections, particularly in the Netherlands, slowing rollout and upgrades (risk trend 'unchanged (moderate)').</t>
        </is>
      </c>
      <c r="C64" s="2" t="inlineStr">
        <is>
          <t>S2</t>
        </is>
      </c>
      <c r="D64" s="2" t="n">
        <v>70</v>
      </c>
      <c r="E64" s="2" t="inlineStr">
        <is>
          <t>F645</t>
        </is>
      </c>
    </row>
    <row r="65">
      <c r="A65" s="2" t="n"/>
      <c r="B65" s="3" t="inlineStr">
        <is>
          <t>Supply chain risk: China-US-EU trade tensions; Fastned secures production slots and diversifies suppliers and contractors (risk trend 'unchanged (moderate)').</t>
        </is>
      </c>
      <c r="C65" s="2" t="inlineStr">
        <is>
          <t>S2</t>
        </is>
      </c>
      <c r="D65" s="2" t="n">
        <v>70</v>
      </c>
      <c r="E65" s="2" t="inlineStr">
        <is>
          <t>F646</t>
        </is>
      </c>
    </row>
    <row r="66">
      <c r="A66" s="2" t="n"/>
      <c r="B66" s="3" t="inlineStr">
        <is>
          <t>Going concern: the Group incurs losses in its first years; deficits are funded mainly by borrowings and share-certificate issues via FAST; equity €119.9m and cash €117.4m at balance sheet date (company statement).</t>
        </is>
      </c>
      <c r="C66" s="2" t="inlineStr">
        <is>
          <t>S2</t>
        </is>
      </c>
      <c r="D66" s="2" t="n">
        <v>106</v>
      </c>
      <c r="E66" s="2" t="inlineStr">
        <is>
          <t>F647</t>
        </is>
      </c>
    </row>
    <row r="67">
      <c r="A67" s="2" t="n"/>
      <c r="B67" s="3" t="inlineStr">
        <is>
          <t>Management states the 18-month liquidity forecast shows 'adequate funds' for going concern; capex can be reduced in the first part of the forecast period (company statement).</t>
        </is>
      </c>
      <c r="C67" s="2" t="inlineStr">
        <is>
          <t>S2</t>
        </is>
      </c>
      <c r="D67" s="2" t="n">
        <v>106</v>
      </c>
      <c r="E67" s="2" t="inlineStr">
        <is>
          <t>F648</t>
        </is>
      </c>
    </row>
    <row r="68">
      <c r="A68" s="2" t="n"/>
      <c r="B68" s="3" t="inlineStr">
        <is>
          <t>Dutch highway concessions: policy and procedures for future tenders of locations approaching concession end-date not yet determined by the government; station useful lives (15 or 8 years) involve management judgement on this.</t>
        </is>
      </c>
      <c r="C68" s="2" t="inlineStr">
        <is>
          <t>S2</t>
        </is>
      </c>
      <c r="D68" s="2" t="n">
        <v>115</v>
      </c>
      <c r="E68" s="2" t="inlineStr">
        <is>
          <t>F649</t>
        </is>
      </c>
    </row>
    <row r="69">
      <c r="A69" s="2" t="n"/>
      <c r="B69" s="3" t="inlineStr">
        <is>
          <t>Decommissioning provision EUR 17.6m (2023: 13.3m): removal cost EUR 20-131k per station, 2-29 years to expiry, inflation 2.0%, discount 2.60% (20-year Eurozone bond); +1% discount rate = EUR 1.5m lower, +1% inflation = EUR 1.8m higher.</t>
        </is>
      </c>
      <c r="C69" s="2" t="inlineStr">
        <is>
          <t>S2</t>
        </is>
      </c>
      <c r="D69" s="2" t="n">
        <v>123</v>
      </c>
      <c r="E69" s="2" t="inlineStr">
        <is>
          <t>F650</t>
        </is>
      </c>
    </row>
    <row r="70">
      <c r="A70" s="2" t="n"/>
      <c r="B70" s="3" t="inlineStr">
        <is>
          <t>Impairment test run for all CGUs at YE2024 because 'updated BEV adoption forecasts were lower versus previous forecasts, especially in the near term'; management reports 'significant headroom', no CGU impairment; EUR 1.5m ABB chargers impaired separately.</t>
        </is>
      </c>
      <c r="C70" s="2" t="inlineStr">
        <is>
          <t>S2</t>
        </is>
      </c>
      <c r="D70" s="2" t="n">
        <v>143</v>
      </c>
      <c r="E70" s="2" t="inlineStr">
        <is>
          <t>F651</t>
        </is>
      </c>
    </row>
    <row r="71">
      <c r="A71" s="2" t="n"/>
      <c r="B71" s="3" t="inlineStr">
        <is>
          <t>Commodity price risk: majority of electricity bought on the spot wholesale market; no financial instruments for commodity risk; mitigation via fixed-price PPAs, forwards and fixed-price contracts.</t>
        </is>
      </c>
      <c r="C71" s="2" t="inlineStr">
        <is>
          <t>S2</t>
        </is>
      </c>
      <c r="D71" s="2" t="n">
        <v>151</v>
      </c>
      <c r="E71" s="2" t="inlineStr">
        <is>
          <t>F652</t>
        </is>
      </c>
    </row>
    <row r="72">
      <c r="A72" s="2" t="n"/>
      <c r="B72" s="3" t="inlineStr">
        <is>
          <t>Interest-rate risk described by the company as 'low' because long-term debt is at fixed rates; surplus cash on short-term deposits at floating rates.</t>
        </is>
      </c>
      <c r="C72" s="2" t="inlineStr">
        <is>
          <t>S2</t>
        </is>
      </c>
      <c r="D72" s="2" t="n">
        <v>151</v>
      </c>
      <c r="E72" s="2" t="inlineStr">
        <is>
          <t>F653</t>
        </is>
      </c>
    </row>
    <row r="73">
      <c r="A73" s="2" t="n"/>
      <c r="B73" s="3" t="inlineStr">
        <is>
          <t>FX: a 1% move in exchange rates changes the intercompany loan balances to UK, CH and DK entities by EUR 621k at 31 Dec 2024.</t>
        </is>
      </c>
      <c r="C73" s="2" t="inlineStr">
        <is>
          <t>S2</t>
        </is>
      </c>
      <c r="D73" s="2" t="n">
        <v>152</v>
      </c>
      <c r="E73" s="2" t="inlineStr">
        <is>
          <t>F654</t>
        </is>
      </c>
    </row>
    <row r="74">
      <c r="A74" s="2" t="n"/>
      <c r="B74" s="3" t="inlineStr">
        <is>
          <t>Liquidity: company states it 'held a significant cash surplus' at period end and can adjust building pace and network expansion costs to available liquidity.</t>
        </is>
      </c>
      <c r="C74" s="2" t="inlineStr">
        <is>
          <t>S2</t>
        </is>
      </c>
      <c r="D74" s="2" t="n">
        <v>152</v>
      </c>
      <c r="E74" s="2" t="inlineStr">
        <is>
          <t>F655</t>
        </is>
      </c>
    </row>
    <row r="75">
      <c r="A75" s="2" t="n"/>
      <c r="B75" s="3" t="inlineStr">
        <is>
          <t>Contractual undiscounted liabilities at 31 Dec 2024: borrowings EUR 226.5m (21.9m within 12 months, 204.5m in 1-5 years), interest on borrowings EUR 31.5m, leases EUR 37.7m, payables EUR 22.0m, total EUR 317.6m.</t>
        </is>
      </c>
      <c r="C75" s="2" t="inlineStr">
        <is>
          <t>S2</t>
        </is>
      </c>
      <c r="D75" s="2" t="n">
        <v>153</v>
      </c>
      <c r="E75" s="2" t="inlineStr">
        <is>
          <t>F656</t>
        </is>
      </c>
    </row>
    <row r="76">
      <c r="A76" s="2" t="n"/>
      <c r="B76" s="3" t="inlineStr">
        <is>
          <t>Credit risk: trade receivables EUR 17.9m gross at YE2024 with EUR 1.1m provision (2023: 0.8m); EUR 0.8m gross more than 150 days overdue; collections largely by direct debit and cards from private individuals.</t>
        </is>
      </c>
      <c r="C76" s="2" t="inlineStr">
        <is>
          <t>S2</t>
        </is>
      </c>
      <c r="D76" s="2" t="n">
        <v>155</v>
      </c>
      <c r="E76" s="2" t="inlineStr">
        <is>
          <t>F657</t>
        </is>
      </c>
    </row>
    <row r="77">
      <c r="A77" s="2" t="n"/>
      <c r="B77" s="3" t="inlineStr">
        <is>
          <t>Going concern: per the auditor, management's liquidity forecasts for the 18 months after balance sheet date show 'adequate funds'; the growth strategy 'can only be achieved by raising additional funding'.</t>
        </is>
      </c>
      <c r="C77" s="2" t="inlineStr">
        <is>
          <t>S2</t>
        </is>
      </c>
      <c r="D77" s="2" t="n">
        <v>188</v>
      </c>
      <c r="E77" s="2" t="inlineStr">
        <is>
          <t>F658</t>
        </is>
      </c>
    </row>
    <row r="78">
      <c r="A78" s="2" t="n"/>
      <c r="B78" s="3" t="inlineStr">
        <is>
          <t>Refinancing dependence stated by the auditor: continued access to the capital market for new bond issues, ability to repay or refinance existing bonds and loans, compliance with lender conditions including conditions on government grants.</t>
        </is>
      </c>
      <c r="C78" s="2" t="inlineStr">
        <is>
          <t>S2</t>
        </is>
      </c>
      <c r="D78" s="2" t="n">
        <v>188</v>
      </c>
      <c r="E78" s="2" t="inlineStr">
        <is>
          <t>F659</t>
        </is>
      </c>
    </row>
    <row r="79">
      <c r="A79" s="2" t="n"/>
      <c r="B79" s="3" t="inlineStr">
        <is>
          <t>Auditor concluded 'no material uncertainty exists that may cast significant doubt' on going concern for twelve months after 26 March 2025.</t>
        </is>
      </c>
      <c r="C79" s="2" t="inlineStr">
        <is>
          <t>S2</t>
        </is>
      </c>
      <c r="D79" s="2" t="n">
        <v>189</v>
      </c>
      <c r="E79" s="2" t="inlineStr">
        <is>
          <t>F660</t>
        </is>
      </c>
    </row>
    <row r="80">
      <c r="A80" s="2" t="n"/>
      <c r="B80" s="3" t="inlineStr">
        <is>
          <t>Cautionary statement names principal risk factors: BEV adoption, brand, innovation, investment choices, customer relationships, talent, supply chain, electricity cost, IT, transformation projects, economic/political risks, financial risks, ethics, regulatory/tax/legal matters.</t>
        </is>
      </c>
      <c r="C80" s="2" t="inlineStr">
        <is>
          <t>S2</t>
        </is>
      </c>
      <c r="D80" s="2" t="n">
        <v>198</v>
      </c>
      <c r="E80" s="2" t="inlineStr">
        <is>
          <t>F661</t>
        </is>
      </c>
    </row>
    <row r="81">
      <c r="A81" s="2" t="n"/>
      <c r="B81" s="3" t="inlineStr">
        <is>
          <t>Regulatory: EV subsidies phased out in Germany slowed Q4 2023 EV sales; tender conditions and concession renewals under review; management trend 'unchanged (moderate)'.</t>
        </is>
      </c>
      <c r="C81" s="2" t="inlineStr">
        <is>
          <t>S1</t>
        </is>
      </c>
      <c r="D81" s="2" t="n">
        <v>28</v>
      </c>
      <c r="E81" s="2" t="inlineStr">
        <is>
          <t>F168</t>
        </is>
      </c>
    </row>
    <row r="82">
      <c r="A82" s="2" t="n"/>
      <c r="B82" s="3" t="inlineStr">
        <is>
          <t>Management states a 'low-to-moderate' risk appetite for most categories; ISO 31000-based framework; internal audit function created in 2023 within Risk &amp; Audit.</t>
        </is>
      </c>
      <c r="C82" s="2" t="inlineStr">
        <is>
          <t>S1</t>
        </is>
      </c>
      <c r="D82" s="2" t="n">
        <v>50</v>
      </c>
      <c r="E82" s="2" t="inlineStr">
        <is>
          <t>F169</t>
        </is>
      </c>
    </row>
    <row r="83">
      <c r="A83" s="2" t="n"/>
      <c r="B83" s="3" t="inlineStr">
        <is>
          <t>Brand and IP: unique station design but intellectual property protection is 'challenging' (management); brand visibility a new moderate risk in 2023.</t>
        </is>
      </c>
      <c r="C83" s="2" t="inlineStr">
        <is>
          <t>S1</t>
        </is>
      </c>
      <c r="D83" s="2" t="n">
        <v>53</v>
      </c>
      <c r="E83" s="2" t="inlineStr">
        <is>
          <t>F170</t>
        </is>
      </c>
    </row>
    <row r="84">
      <c r="A84" s="2" t="n"/>
      <c r="B84" s="3" t="inlineStr">
        <is>
          <t>Grid constraints: longer lead times for grid connections, particularly in the Netherlands; mitigation by early requests, over-sized capacity, load balancing and batteries; management trend 'unchanged (moderate)'.</t>
        </is>
      </c>
      <c r="C84" s="2" t="inlineStr">
        <is>
          <t>S1</t>
        </is>
      </c>
      <c r="D84" s="2" t="n">
        <v>54</v>
      </c>
      <c r="E84" s="2" t="inlineStr">
        <is>
          <t>F171</t>
        </is>
      </c>
    </row>
    <row r="85">
      <c r="A85" s="2" t="n"/>
      <c r="B85" s="3" t="inlineStr">
        <is>
          <t>Supply chain: dependency on charger suppliers and constructors; diversification incl. charger supplier EVBox; production slots for chargers secured; management trend 'decreased to moderate'.</t>
        </is>
      </c>
      <c r="C85" s="2" t="inlineStr">
        <is>
          <t>S1</t>
        </is>
      </c>
      <c r="D85" s="2" t="n">
        <v>54</v>
      </c>
      <c r="E85" s="2" t="inlineStr">
        <is>
          <t>F172</t>
        </is>
      </c>
    </row>
    <row r="86">
      <c r="A86" s="2" t="n"/>
      <c r="B86" s="3" t="inlineStr">
        <is>
          <t>Health and safety: management raised the risk to 'moderate/high' in 2023 with more construction sites; H&amp;S audit done, H&amp;S manager hired, external audit again in 2024.</t>
        </is>
      </c>
      <c r="C86" s="2" t="inlineStr">
        <is>
          <t>S1</t>
        </is>
      </c>
      <c r="D86" s="2" t="n">
        <v>54</v>
      </c>
      <c r="E86" s="2" t="inlineStr">
        <is>
          <t>F173</t>
        </is>
      </c>
    </row>
    <row r="87">
      <c r="A87" s="2" t="n"/>
      <c r="B87" s="3" t="inlineStr">
        <is>
          <t>Funding: management rates the funding risk 'low' and states the capital position covers expansion and financial commitments for the 'coming 12-18 months'; outstanding bonds need refinancing.</t>
        </is>
      </c>
      <c r="C87" s="2" t="inlineStr">
        <is>
          <t>S1</t>
        </is>
      </c>
      <c r="D87" s="2" t="n">
        <v>55</v>
      </c>
      <c r="E87" s="2" t="inlineStr">
        <is>
          <t>F174</t>
        </is>
      </c>
    </row>
    <row r="88">
      <c r="A88" s="2" t="n"/>
      <c r="B88" s="3" t="inlineStr">
        <is>
          <t>Talent: management raised the risk to 'moderate/high'; shortages in design, software development and maintenance; first HR director hired November 2023.</t>
        </is>
      </c>
      <c r="C88" s="2" t="inlineStr">
        <is>
          <t>S1</t>
        </is>
      </c>
      <c r="D88" s="2" t="n">
        <v>55</v>
      </c>
      <c r="E88" s="2" t="inlineStr">
        <is>
          <t>F175</t>
        </is>
      </c>
    </row>
    <row r="89">
      <c r="A89" s="2" t="n"/>
      <c r="B89" s="3" t="inlineStr">
        <is>
          <t>Energy price: gross margin exposed to the energy spot market; adaptive pricing and alternative procurement (PPA) used; 2023 had a record number of negative-price hours.</t>
        </is>
      </c>
      <c r="C89" s="2" t="inlineStr">
        <is>
          <t>S1</t>
        </is>
      </c>
      <c r="D89" s="2" t="n">
        <v>56</v>
      </c>
      <c r="E89" s="2" t="inlineStr">
        <is>
          <t>F176</t>
        </is>
      </c>
    </row>
    <row r="90">
      <c r="A90" s="2" t="n"/>
      <c r="B90" s="3" t="inlineStr">
        <is>
          <t>Inflation and interest rates: 2023 geopolitical tensions kept inflation and interest rates high, affecting material and labour prices (management).</t>
        </is>
      </c>
      <c r="C90" s="2" t="inlineStr">
        <is>
          <t>S1</t>
        </is>
      </c>
      <c r="D90" s="2" t="n">
        <v>56</v>
      </c>
      <c r="E90" s="2" t="inlineStr">
        <is>
          <t>F177</t>
        </is>
      </c>
    </row>
    <row r="91">
      <c r="A91" s="2" t="n"/>
      <c r="B91" s="3" t="inlineStr">
        <is>
          <t>Cyber: Fastned may be classed as key infrastructure under NIS 2.0; VPN, penetration test and IAM rolled out in 2023; working towards ISO 27k certification; management trend 'decreased to low/moderate'.</t>
        </is>
      </c>
      <c r="C91" s="2" t="inlineStr">
        <is>
          <t>S1</t>
        </is>
      </c>
      <c r="D91" s="2" t="n">
        <v>57</v>
      </c>
      <c r="E91" s="2" t="inlineStr">
        <is>
          <t>F178</t>
        </is>
      </c>
    </row>
    <row r="92">
      <c r="A92" s="2" t="n"/>
      <c r="B92" s="3" t="inlineStr">
        <is>
          <t>Money laundering: management's internal assessment rates the potential impact 'low'; all payments flow through EU banks with KYC and sanctions checks; bond issuance named as a possible vehicle.</t>
        </is>
      </c>
      <c r="C92" s="2" t="inlineStr">
        <is>
          <t>S1</t>
        </is>
      </c>
      <c r="D92" s="2" t="n">
        <v>59</v>
      </c>
      <c r="E92" s="2" t="inlineStr">
        <is>
          <t>F179</t>
        </is>
      </c>
    </row>
    <row r="93">
      <c r="A93" s="2" t="n"/>
      <c r="B93" s="3" t="inlineStr">
        <is>
          <t>FX: foreign operations (UK, CH, DK) translated; translation differences in OCI +EUR 0.6m in 2023 (2022: -0.5m); currency effect on cash -EUR 0.1m (2022: -0.5m).</t>
        </is>
      </c>
      <c r="C93" s="2" t="inlineStr">
        <is>
          <t>S1</t>
        </is>
      </c>
      <c r="D93" s="2" t="n">
        <v>92</v>
      </c>
      <c r="E93" s="2" t="inlineStr">
        <is>
          <t>F180</t>
        </is>
      </c>
    </row>
    <row r="94">
      <c r="A94" s="2" t="n"/>
      <c r="B94" s="3" t="inlineStr">
        <is>
          <t>Going concern: management's 18-month liquidity forecast shows 'adequate funds' (management, note 1); losses funded by borrowings and DR issuance; cash EUR 126.6m and equity EUR 146.2m at end 2023.</t>
        </is>
      </c>
      <c r="C94" s="2" t="inlineStr">
        <is>
          <t>S1</t>
        </is>
      </c>
      <c r="D94" s="2" t="n">
        <v>97</v>
      </c>
      <c r="E94" s="2" t="inlineStr">
        <is>
          <t>F181</t>
        </is>
      </c>
    </row>
    <row r="95">
      <c r="A95" s="2" t="n"/>
      <c r="B95" s="3" t="inlineStr">
        <is>
          <t>Concession renewal: uncertainty about renewing Dutch highway concessions at end of contract; government policy for future tenders of Dutch highway locations approaching concession end-date not yet determined (useful-life judgement).</t>
        </is>
      </c>
      <c r="C95" s="2" t="inlineStr">
        <is>
          <t>S1</t>
        </is>
      </c>
      <c r="D95" s="2" t="n">
        <v>107</v>
      </c>
      <c r="E95" s="2" t="inlineStr">
        <is>
          <t>F182</t>
        </is>
      </c>
    </row>
    <row r="96">
      <c r="A96" s="2" t="n"/>
      <c r="B96" s="3" t="inlineStr">
        <is>
          <t>FX: UK, CH and DK subsidiaries are funded with intercompany loans from Fastned B.V.; a 1% FX move changes the balance at 31 Dec 2023 by EUR 340k.</t>
        </is>
      </c>
      <c r="C96" s="2" t="inlineStr">
        <is>
          <t>S1</t>
        </is>
      </c>
      <c r="D96" s="2" t="n">
        <v>140</v>
      </c>
      <c r="E96" s="2" t="inlineStr">
        <is>
          <t>F183</t>
        </is>
      </c>
    </row>
    <row r="97">
      <c r="A97" s="2" t="n"/>
      <c r="B97" s="3" t="inlineStr">
        <is>
          <t>Electricity is purchased on the spot wholesale market and not hedged; management states Fastned 'has the ability to increase sales prices' to pass on electricity price rises.</t>
        </is>
      </c>
      <c r="C97" s="2" t="inlineStr">
        <is>
          <t>S1</t>
        </is>
      </c>
      <c r="D97" s="2" t="n">
        <v>140</v>
      </c>
      <c r="E97" s="2" t="inlineStr">
        <is>
          <t>F184</t>
        </is>
      </c>
    </row>
    <row r="98">
      <c r="A98" s="2" t="n"/>
      <c r="B98" s="3" t="inlineStr">
        <is>
          <t>Receivables from charge card providers are invoiced monthly and spread over a small number of providers; a large portion of revenue is collected by direct debit or cards from private individuals.</t>
        </is>
      </c>
      <c r="C98" s="2" t="inlineStr">
        <is>
          <t>S1</t>
        </is>
      </c>
      <c r="D98" s="2" t="n">
        <v>140</v>
      </c>
      <c r="E98" s="2" t="inlineStr">
        <is>
          <t>F185</t>
        </is>
      </c>
    </row>
    <row r="99">
      <c r="A99" s="2" t="n"/>
      <c r="B99" s="3" t="inlineStr">
        <is>
          <t>Management describes a 'significant cash surplus' at year-end 2023 as the safeguard against liquidity risk; a liquidity planning tool monitors shortage of funds.</t>
        </is>
      </c>
      <c r="C99" s="2" t="inlineStr">
        <is>
          <t>S1</t>
        </is>
      </c>
      <c r="D99" s="2" t="n">
        <v>141</v>
      </c>
      <c r="E99" s="2" t="inlineStr">
        <is>
          <t>F186</t>
        </is>
      </c>
    </row>
    <row r="100">
      <c r="A100" s="2" t="n"/>
      <c r="B100" s="3" t="inlineStr">
        <is>
          <t>Contractual undiscounted maturities at 31 Dec 2023: borrowings 7,304k within 3 months, 9,659k in 3-12 months, 144,036k in 1-5 years; interest on borrowings 23,676k in total.</t>
        </is>
      </c>
      <c r="C100" s="2" t="inlineStr">
        <is>
          <t>S1</t>
        </is>
      </c>
      <c r="D100" s="2" t="n">
        <v>141</v>
      </c>
      <c r="E100" s="2" t="inlineStr">
        <is>
          <t>F187</t>
        </is>
      </c>
    </row>
    <row r="101">
      <c r="A101" s="2" t="n"/>
      <c r="B101" s="3" t="inlineStr">
        <is>
          <t>Trade receivables EUR 11,164k gross at 31 Dec 2023, 7,409k not past due, provision EUR 831k (2022: 131k); terms generally 14 days.</t>
        </is>
      </c>
      <c r="C101" s="2" t="inlineStr">
        <is>
          <t>S1</t>
        </is>
      </c>
      <c r="D101" s="2" t="n">
        <v>142</v>
      </c>
      <c r="E101" s="2" t="inlineStr">
        <is>
          <t>F188</t>
        </is>
      </c>
    </row>
    <row r="102">
      <c r="A102" s="2" t="n"/>
      <c r="B102" s="3" t="inlineStr">
        <is>
          <t>Cash and cash equivalents are mainly concentrated at two banks under Dutch Central Bank supervision with 'an A or equivalent long term rating' (note 14.6 says one bank).</t>
        </is>
      </c>
      <c r="C102" s="2" t="inlineStr">
        <is>
          <t>S1</t>
        </is>
      </c>
      <c r="D102" s="2" t="n">
        <v>143</v>
      </c>
      <c r="E102" s="2" t="inlineStr">
        <is>
          <t>F189</t>
        </is>
      </c>
    </row>
    <row r="103">
      <c r="A103" s="2" t="n"/>
      <c r="B103" s="3" t="inlineStr">
        <is>
          <t>Going concern: the auditor reports management's liquidity forecasts for 18 months show 'adequate funds'; the auditor concluded that 'no material uncertainty exists' for twelve months after signing.</t>
        </is>
      </c>
      <c r="C103" s="2" t="inlineStr">
        <is>
          <t>S1</t>
        </is>
      </c>
      <c r="D103" s="2" t="n">
        <v>180</v>
      </c>
      <c r="E103" s="2" t="inlineStr">
        <is>
          <t>F190</t>
        </is>
      </c>
    </row>
    <row r="104">
      <c r="A104" s="2" t="n"/>
      <c r="B104" s="3" t="inlineStr">
        <is>
          <t>Auditor: going concern depends on continued access to capital markets and the ability to repay or refinance the existing bonds.</t>
        </is>
      </c>
      <c r="C104" s="2" t="inlineStr">
        <is>
          <t>S1</t>
        </is>
      </c>
      <c r="D104" s="2" t="n">
        <v>180</v>
      </c>
      <c r="E104" s="2" t="inlineStr">
        <is>
          <t>F191</t>
        </is>
      </c>
    </row>
    <row r="105">
      <c r="A105" s="2" t="n"/>
      <c r="B105" s="3" t="inlineStr">
        <is>
          <t>Auditor inspected correspondence with regulators including the AFM and 'did not identify a potential non-compliance risk' with laws and regulations.</t>
        </is>
      </c>
      <c r="C105" s="2" t="inlineStr">
        <is>
          <t>S1</t>
        </is>
      </c>
      <c r="D105" s="2" t="n">
        <v>181</v>
      </c>
      <c r="E105" s="2" t="inlineStr">
        <is>
          <t>F192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8" customWidth="1" min="3" max="3"/>
    <col width="30" customWidth="1" min="4" max="4"/>
    <col width="10" customWidth="1" min="5" max="5"/>
    <col width="10" customWidth="1" min="6" max="6"/>
    <col width="7" customWidth="1" min="7" max="7"/>
    <col width="60" customWidth="1" min="8" max="8"/>
    <col width="7" customWidth="1" min="9" max="9"/>
    <col width="6" customWidth="1" min="10" max="10"/>
    <col width="60" customWidth="1" min="11" max="11"/>
    <col width="8" customWidth="1" min="12" max="12"/>
    <col width="14" customWidth="1" min="13" max="13"/>
    <col width="30" customWidth="1" min="14" max="14"/>
    <col width="40" customWidth="1" min="15" max="15"/>
  </cols>
  <sheetData>
    <row r="1">
      <c r="A1" s="1" t="inlineStr">
        <is>
          <t>fact_id</t>
        </is>
      </c>
      <c r="B1" s="1" t="inlineStr">
        <is>
          <t>block</t>
        </is>
      </c>
      <c r="C1" s="1" t="inlineStr">
        <is>
          <t>field</t>
        </is>
      </c>
      <c r="D1" s="1" t="inlineStr">
        <is>
          <t>label</t>
        </is>
      </c>
      <c r="E1" s="1" t="inlineStr">
        <is>
          <t>period</t>
        </is>
      </c>
      <c r="F1" s="1" t="inlineStr">
        <is>
          <t>value</t>
        </is>
      </c>
      <c r="G1" s="1" t="inlineStr">
        <is>
          <t>unit</t>
        </is>
      </c>
      <c r="H1" s="1" t="inlineStr">
        <is>
          <t>text</t>
        </is>
      </c>
      <c r="I1" s="1" t="inlineStr">
        <is>
          <t>source</t>
        </is>
      </c>
      <c r="J1" s="1" t="inlineStr">
        <is>
          <t>page</t>
        </is>
      </c>
      <c r="K1" s="1" t="inlineStr">
        <is>
          <t>quote</t>
        </is>
      </c>
      <c r="L1" s="1" t="inlineStr">
        <is>
          <t>status</t>
        </is>
      </c>
      <c r="M1" s="1" t="inlineStr">
        <is>
          <t>reviewer</t>
        </is>
      </c>
      <c r="N1" s="1" t="inlineStr">
        <is>
          <t>note</t>
        </is>
      </c>
      <c r="O1" s="1" t="inlineStr">
        <is>
          <t>link</t>
        </is>
      </c>
    </row>
    <row r="2">
      <c r="A2" s="2" t="inlineStr">
        <is>
          <t>F001</t>
        </is>
      </c>
      <c r="B2" s="2" t="inlineStr">
        <is>
          <t>identity</t>
        </is>
      </c>
      <c r="C2" s="2" t="inlineStr">
        <is>
          <t>legal_name</t>
        </is>
      </c>
      <c r="D2" s="2" t="inlineStr">
        <is>
          <t>Legal name</t>
        </is>
      </c>
      <c r="E2" s="2" t="n"/>
      <c r="F2" s="2" t="n"/>
      <c r="G2" s="2" t="n"/>
      <c r="H2" s="2" t="inlineStr">
        <is>
          <t>Fastned B.V.</t>
        </is>
      </c>
      <c r="I2" s="2" t="inlineStr">
        <is>
          <t>S1</t>
        </is>
      </c>
      <c r="J2" s="2" t="n">
        <v>177</v>
      </c>
      <c r="K2" s="3" t="inlineStr">
        <is>
          <t>We have audited the financial statements 2023 of Fastned B.V.</t>
        </is>
      </c>
      <c r="L2" s="2" t="inlineStr">
        <is>
          <t>ok</t>
        </is>
      </c>
      <c r="M2" s="2" t="inlineStr">
        <is>
          <t>Sam Lakmaker</t>
        </is>
      </c>
      <c r="N2" s="2" t="n"/>
      <c r="O2" s="3" t="inlineStr">
        <is>
          <t>https://vanillabonds.com/dossier-data/pdf/fastned/fastned-2023-annual-report.pdf#page=177</t>
        </is>
      </c>
    </row>
    <row r="3">
      <c r="A3" s="2" t="inlineStr">
        <is>
          <t>F002</t>
        </is>
      </c>
      <c r="B3" s="2" t="inlineStr">
        <is>
          <t>identity</t>
        </is>
      </c>
      <c r="C3" s="2" t="inlineStr">
        <is>
          <t>legal_form</t>
        </is>
      </c>
      <c r="D3" s="2" t="inlineStr">
        <is>
          <t>Legal form</t>
        </is>
      </c>
      <c r="E3" s="2" t="n"/>
      <c r="F3" s="2" t="n"/>
      <c r="G3" s="2" t="n"/>
      <c r="H3" s="2" t="inlineStr">
        <is>
          <t>Dutch B.V. (private limited company)</t>
        </is>
      </c>
      <c r="I3" s="2" t="inlineStr">
        <is>
          <t>S1</t>
        </is>
      </c>
      <c r="J3" s="2" t="n">
        <v>61</v>
      </c>
      <c r="K3" s="3" t="inlineStr">
        <is>
          <t>Fastned B.V. (the “Company”) is a private liability company incorporated under Dutch law and listed on Euronext Amsterdam in the Netherlands.</t>
        </is>
      </c>
      <c r="L3" s="2" t="inlineStr">
        <is>
          <t>pend</t>
        </is>
      </c>
      <c r="M3" s="2" t="n"/>
      <c r="N3" s="2" t="n"/>
      <c r="O3" s="3" t="inlineStr">
        <is>
          <t>https://vanillabonds.com/dossier-data/pdf/fastned/fastned-2023-annual-report.pdf#page=61</t>
        </is>
      </c>
    </row>
    <row r="4">
      <c r="A4" s="2" t="inlineStr">
        <is>
          <t>F003</t>
        </is>
      </c>
      <c r="B4" s="2" t="inlineStr">
        <is>
          <t>identity</t>
        </is>
      </c>
      <c r="C4" s="2" t="inlineStr">
        <is>
          <t>legal_form</t>
        </is>
      </c>
      <c r="D4" s="2" t="inlineStr">
        <is>
          <t>Legal form</t>
        </is>
      </c>
      <c r="E4" s="2" t="n"/>
      <c r="F4" s="2" t="n"/>
      <c r="G4" s="2" t="n"/>
      <c r="H4" s="2" t="inlineStr">
        <is>
          <t>Dutch B.V. (besloten vennootschap)</t>
        </is>
      </c>
      <c r="I4" s="2" t="inlineStr">
        <is>
          <t>S1</t>
        </is>
      </c>
      <c r="J4" s="2" t="n">
        <v>177</v>
      </c>
      <c r="K4" s="3" t="inlineStr">
        <is>
          <t>We have audited the financial statements 2023 of Fastned B.V. (“Fastned” or the “Company”) based in Amsterdam.</t>
        </is>
      </c>
      <c r="L4" s="2" t="inlineStr">
        <is>
          <t>pend</t>
        </is>
      </c>
      <c r="M4" s="2" t="n"/>
      <c r="N4" s="2" t="n"/>
      <c r="O4" s="3" t="inlineStr">
        <is>
          <t>https://vanillabonds.com/dossier-data/pdf/fastned/fastned-2023-annual-report.pdf#page=177</t>
        </is>
      </c>
    </row>
    <row r="5">
      <c r="A5" s="2" t="inlineStr">
        <is>
          <t>F004</t>
        </is>
      </c>
      <c r="B5" s="2" t="inlineStr">
        <is>
          <t>identity</t>
        </is>
      </c>
      <c r="C5" s="2" t="inlineStr">
        <is>
          <t>registry</t>
        </is>
      </c>
      <c r="D5" s="2" t="inlineStr">
        <is>
          <t>Commercial register / registration no.</t>
        </is>
      </c>
      <c r="E5" s="2" t="n"/>
      <c r="F5" s="2" t="n"/>
      <c r="G5" s="2" t="n"/>
      <c r="H5" s="2" t="inlineStr">
        <is>
          <t>KvK 54606179</t>
        </is>
      </c>
      <c r="I5" s="2" t="inlineStr">
        <is>
          <t>S1</t>
        </is>
      </c>
      <c r="J5" s="2" t="n">
        <v>97</v>
      </c>
      <c r="K5" s="3" t="inlineStr">
        <is>
          <t>registered with the Dutch trade register under number 54606179</t>
        </is>
      </c>
      <c r="L5" s="2" t="inlineStr">
        <is>
          <t>pend</t>
        </is>
      </c>
      <c r="M5" s="2" t="n"/>
      <c r="N5" s="2" t="n"/>
      <c r="O5" s="3" t="inlineStr">
        <is>
          <t>https://vanillabonds.com/dossier-data/pdf/fastned/fastned-2023-annual-report.pdf#page=97</t>
        </is>
      </c>
    </row>
    <row r="6">
      <c r="A6" s="2" t="inlineStr">
        <is>
          <t>F005</t>
        </is>
      </c>
      <c r="B6" s="2" t="inlineStr">
        <is>
          <t>identity</t>
        </is>
      </c>
      <c r="C6" s="2" t="inlineStr">
        <is>
          <t>founded</t>
        </is>
      </c>
      <c r="D6" s="2" t="inlineStr">
        <is>
          <t>Founded</t>
        </is>
      </c>
      <c r="E6" s="2" t="n"/>
      <c r="F6" s="2" t="n"/>
      <c r="G6" s="2" t="n"/>
      <c r="H6" s="2" t="inlineStr">
        <is>
          <t>2012</t>
        </is>
      </c>
      <c r="I6" s="2" t="inlineStr">
        <is>
          <t>S1</t>
        </is>
      </c>
      <c r="J6" s="2" t="n">
        <v>8</v>
      </c>
      <c r="K6" s="3" t="inlineStr">
        <is>
          <t>When we founded Fastned in 2012, we were seen as pioneers and some questioned if we would ever be profitable.</t>
        </is>
      </c>
      <c r="L6" s="2" t="inlineStr">
        <is>
          <t>pend</t>
        </is>
      </c>
      <c r="M6" s="2" t="n"/>
      <c r="N6" s="2" t="n"/>
      <c r="O6" s="3" t="inlineStr">
        <is>
          <t>https://vanillabonds.com/dossier-data/pdf/fastned/fastned-2023-annual-report.pdf#page=8</t>
        </is>
      </c>
    </row>
    <row r="7">
      <c r="A7" s="2" t="inlineStr">
        <is>
          <t>F006</t>
        </is>
      </c>
      <c r="B7" s="2" t="inlineStr">
        <is>
          <t>identity</t>
        </is>
      </c>
      <c r="C7" s="2" t="inlineStr">
        <is>
          <t>registered_office</t>
        </is>
      </c>
      <c r="D7" s="2" t="inlineStr">
        <is>
          <t>Registered office</t>
        </is>
      </c>
      <c r="E7" s="2" t="n"/>
      <c r="F7" s="2" t="n"/>
      <c r="G7" s="2" t="n"/>
      <c r="H7" s="3" t="inlineStr">
        <is>
          <t>Mondriaantoren, Amstelplein 44, Amsterdam</t>
        </is>
      </c>
      <c r="I7" s="2" t="inlineStr">
        <is>
          <t>S1</t>
        </is>
      </c>
      <c r="J7" s="2" t="n">
        <v>97</v>
      </c>
      <c r="K7" s="3" t="inlineStr">
        <is>
          <t>The registered office is located at Mondriaantoren, floor 21 &amp; 22, Amstelplein 44 in Amsterdam.</t>
        </is>
      </c>
      <c r="L7" s="2" t="inlineStr">
        <is>
          <t>pend</t>
        </is>
      </c>
      <c r="M7" s="2" t="n"/>
      <c r="N7" s="2" t="n"/>
      <c r="O7" s="3" t="inlineStr">
        <is>
          <t>https://vanillabonds.com/dossier-data/pdf/fastned/fastned-2023-annual-report.pdf#page=97</t>
        </is>
      </c>
    </row>
    <row r="8">
      <c r="A8" s="2" t="inlineStr">
        <is>
          <t>F007</t>
        </is>
      </c>
      <c r="B8" s="2" t="inlineStr">
        <is>
          <t>identity</t>
        </is>
      </c>
      <c r="C8" s="2" t="inlineStr">
        <is>
          <t>registered_office</t>
        </is>
      </c>
      <c r="D8" s="2" t="inlineStr">
        <is>
          <t>Registered office</t>
        </is>
      </c>
      <c r="E8" s="2" t="n"/>
      <c r="F8" s="2" t="n"/>
      <c r="G8" s="2" t="n"/>
      <c r="H8" s="2" t="inlineStr">
        <is>
          <t>Amsterdam, Amstelplein 44, 1096 BC</t>
        </is>
      </c>
      <c r="I8" s="2" t="inlineStr">
        <is>
          <t>S1</t>
        </is>
      </c>
      <c r="J8" s="2" t="n">
        <v>203</v>
      </c>
      <c r="K8" s="3" t="inlineStr">
        <is>
          <t>Mondriaantoren, floor 21 &amp; 22, Amstelplein 44, 1096 BC Amsterdam</t>
        </is>
      </c>
      <c r="L8" s="2" t="inlineStr">
        <is>
          <t>pend</t>
        </is>
      </c>
      <c r="M8" s="2" t="n"/>
      <c r="N8" s="2" t="n"/>
      <c r="O8" s="3" t="inlineStr">
        <is>
          <t>https://vanillabonds.com/dossier-data/pdf/fastned/fastned-2023-annual-report.pdf#page=203</t>
        </is>
      </c>
    </row>
    <row r="9">
      <c r="A9" s="2" t="inlineStr">
        <is>
          <t>F008</t>
        </is>
      </c>
      <c r="B9" s="2" t="inlineStr">
        <is>
          <t>identity</t>
        </is>
      </c>
      <c r="C9" s="2" t="inlineStr">
        <is>
          <t>country</t>
        </is>
      </c>
      <c r="D9" s="2" t="inlineStr">
        <is>
          <t>Country of incorporation (ISO-2)</t>
        </is>
      </c>
      <c r="E9" s="2" t="n"/>
      <c r="F9" s="2" t="n"/>
      <c r="G9" s="2" t="n"/>
      <c r="H9" s="2" t="inlineStr">
        <is>
          <t>NL</t>
        </is>
      </c>
      <c r="I9" s="2" t="inlineStr">
        <is>
          <t>S1</t>
        </is>
      </c>
      <c r="J9" s="2" t="n">
        <v>177</v>
      </c>
      <c r="K9" s="3" t="inlineStr">
        <is>
          <t>(“Fastned” or the “Company”) based in Amsterdam.</t>
        </is>
      </c>
      <c r="L9" s="2" t="inlineStr">
        <is>
          <t>ok</t>
        </is>
      </c>
      <c r="M9" s="2" t="inlineStr">
        <is>
          <t>Sam Lakmaker</t>
        </is>
      </c>
      <c r="N9" s="2" t="n"/>
      <c r="O9" s="3" t="inlineStr">
        <is>
          <t>https://vanillabonds.com/dossier-data/pdf/fastned/fastned-2023-annual-report.pdf#page=177</t>
        </is>
      </c>
    </row>
    <row r="10">
      <c r="A10" s="2" t="inlineStr">
        <is>
          <t>F009</t>
        </is>
      </c>
      <c r="B10" s="2" t="inlineStr">
        <is>
          <t>identity</t>
        </is>
      </c>
      <c r="C10" s="2" t="inlineStr">
        <is>
          <t>sector</t>
        </is>
      </c>
      <c r="D10" s="2" t="inlineStr">
        <is>
          <t>Sector</t>
        </is>
      </c>
      <c r="E10" s="2" t="n"/>
      <c r="F10" s="2" t="n"/>
      <c r="G10" s="2" t="n"/>
      <c r="H10" s="2" t="inlineStr">
        <is>
          <t>EV fast charging station operator</t>
        </is>
      </c>
      <c r="I10" s="2" t="inlineStr">
        <is>
          <t>S1</t>
        </is>
      </c>
      <c r="J10" s="2" t="n">
        <v>97</v>
      </c>
      <c r="K10" s="3" t="inlineStr">
        <is>
          <t>The principal activity of Fastned B.V. and subsidiaries (the Group) consist of the exploitation of fast charging facilities for fully electric and hybrid cars.</t>
        </is>
      </c>
      <c r="L10" s="2" t="inlineStr">
        <is>
          <t>pend</t>
        </is>
      </c>
      <c r="M10" s="2" t="n"/>
      <c r="N10" s="2" t="n"/>
      <c r="O10" s="3" t="inlineStr">
        <is>
          <t>https://vanillabonds.com/dossier-data/pdf/fastned/fastned-2023-annual-report.pdf#page=97</t>
        </is>
      </c>
    </row>
    <row r="11">
      <c r="A11" s="2" t="inlineStr">
        <is>
          <t>F010</t>
        </is>
      </c>
      <c r="B11" s="2" t="inlineStr">
        <is>
          <t>identity</t>
        </is>
      </c>
      <c r="C11" s="2" t="inlineStr">
        <is>
          <t>sector</t>
        </is>
      </c>
      <c r="D11" s="2" t="inlineStr">
        <is>
          <t>Sector</t>
        </is>
      </c>
      <c r="E11" s="2" t="n"/>
      <c r="F11" s="2" t="n"/>
      <c r="G11" s="2" t="n"/>
      <c r="H11" s="3" t="inlineStr">
        <is>
          <t>EV fast-charging station construction and operation</t>
        </is>
      </c>
      <c r="I11" s="2" t="inlineStr">
        <is>
          <t>S1</t>
        </is>
      </c>
      <c r="J11" s="2" t="n">
        <v>117</v>
      </c>
      <c r="K11" s="3" t="inlineStr">
        <is>
          <t>Construction and operating charging stations</t>
        </is>
      </c>
      <c r="L11" s="2" t="inlineStr">
        <is>
          <t>pend</t>
        </is>
      </c>
      <c r="M11" s="2" t="n"/>
      <c r="N11" s="2" t="n"/>
      <c r="O11" s="3" t="inlineStr">
        <is>
          <t>https://vanillabonds.com/dossier-data/pdf/fastned/fastned-2023-annual-report.pdf#page=117</t>
        </is>
      </c>
    </row>
    <row r="12">
      <c r="A12" s="2" t="inlineStr">
        <is>
          <t>F011</t>
        </is>
      </c>
      <c r="B12" s="2" t="inlineStr">
        <is>
          <t>identity</t>
        </is>
      </c>
      <c r="C12" s="2" t="inlineStr">
        <is>
          <t>sites</t>
        </is>
      </c>
      <c r="D12" s="2" t="inlineStr">
        <is>
          <t>Sites / countries of operation</t>
        </is>
      </c>
      <c r="E12" s="2" t="n"/>
      <c r="F12" s="2" t="n"/>
      <c r="G12" s="2" t="n"/>
      <c r="H12" s="3" t="inlineStr">
        <is>
          <t>297 stations, 9 countries (NL DE FR BE UK CH DK IT ES)</t>
        </is>
      </c>
      <c r="I12" s="2" t="inlineStr">
        <is>
          <t>S1</t>
        </is>
      </c>
      <c r="J12" s="2" t="n">
        <v>18</v>
      </c>
      <c r="K12" s="2" t="inlineStr">
        <is>
          <t>Fastned is now active in nine countries.</t>
        </is>
      </c>
      <c r="L12" s="2" t="inlineStr">
        <is>
          <t>pend</t>
        </is>
      </c>
      <c r="M12" s="2" t="n"/>
      <c r="N12" s="2" t="n"/>
      <c r="O12" s="3" t="inlineStr">
        <is>
          <t>https://vanillabonds.com/dossier-data/pdf/fastned/fastned-2023-annual-report.pdf#page=18</t>
        </is>
      </c>
    </row>
    <row r="13">
      <c r="A13" s="2" t="inlineStr">
        <is>
          <t>F012</t>
        </is>
      </c>
      <c r="B13" s="2" t="inlineStr">
        <is>
          <t>identity</t>
        </is>
      </c>
      <c r="C13" s="2" t="inlineStr">
        <is>
          <t>sites</t>
        </is>
      </c>
      <c r="D13" s="2" t="inlineStr">
        <is>
          <t>Sites / countries of operation</t>
        </is>
      </c>
      <c r="E13" s="2" t="n"/>
      <c r="F13" s="2" t="n"/>
      <c r="G13" s="2" t="n"/>
      <c r="H13" s="2" t="inlineStr">
        <is>
          <t>Seven countries of operation</t>
        </is>
      </c>
      <c r="I13" s="2" t="inlineStr">
        <is>
          <t>S1</t>
        </is>
      </c>
      <c r="J13" s="2" t="n">
        <v>122</v>
      </c>
      <c r="K13" s="2" t="inlineStr">
        <is>
          <t>The Group operates in seven countries.</t>
        </is>
      </c>
      <c r="L13" s="2" t="inlineStr">
        <is>
          <t>pend</t>
        </is>
      </c>
      <c r="M13" s="2" t="n"/>
      <c r="N13" s="2" t="n"/>
      <c r="O13" s="3" t="inlineStr">
        <is>
          <t>https://vanillabonds.com/dossier-data/pdf/fastned/fastned-2023-annual-report.pdf#page=122</t>
        </is>
      </c>
    </row>
    <row r="14">
      <c r="A14" s="2" t="inlineStr">
        <is>
          <t>F013</t>
        </is>
      </c>
      <c r="B14" s="2" t="inlineStr">
        <is>
          <t>identity</t>
        </is>
      </c>
      <c r="C14" s="2" t="inlineStr">
        <is>
          <t>sites</t>
        </is>
      </c>
      <c r="D14" s="2" t="inlineStr">
        <is>
          <t>Sites / countries of operation</t>
        </is>
      </c>
      <c r="E14" s="2" t="n"/>
      <c r="F14" s="2" t="n"/>
      <c r="G14" s="2" t="n"/>
      <c r="H14" s="3" t="inlineStr">
        <is>
          <t>Avg FTE 2023: NL 107, DE 17, FR 15, BE 14, UK 12, CH 4, IT/ES/DK 1</t>
        </is>
      </c>
      <c r="I14" s="2" t="inlineStr">
        <is>
          <t>S1</t>
        </is>
      </c>
      <c r="J14" s="2" t="n">
        <v>123</v>
      </c>
      <c r="K14" s="3" t="inlineStr">
        <is>
          <t>In the Netherlands, the average number of employees was 107 (2022: 75). The other countries are split as follow: Belgium 14 (2022: 6), Switzerland 4 (2022: 2), Germany 17 (2022: 12), France 15</t>
        </is>
      </c>
      <c r="L14" s="2" t="inlineStr">
        <is>
          <t>pend</t>
        </is>
      </c>
      <c r="M14" s="2" t="n"/>
      <c r="N14" s="2" t="n"/>
      <c r="O14" s="3" t="inlineStr">
        <is>
          <t>https://vanillabonds.com/dossier-data/pdf/fastned/fastned-2023-annual-report.pdf#page=123</t>
        </is>
      </c>
    </row>
    <row r="15">
      <c r="A15" s="2" t="inlineStr">
        <is>
          <t>F014</t>
        </is>
      </c>
      <c r="B15" s="2" t="inlineStr">
        <is>
          <t>identity</t>
        </is>
      </c>
      <c r="C15" s="2" t="inlineStr">
        <is>
          <t>employees</t>
        </is>
      </c>
      <c r="D15" s="2" t="inlineStr">
        <is>
          <t>Employees (FTE, period end)</t>
        </is>
      </c>
      <c r="E15" s="2" t="inlineStr">
        <is>
          <t>FY2022</t>
        </is>
      </c>
      <c r="F15" s="2" t="n">
        <v>146</v>
      </c>
      <c r="G15" s="2" t="n"/>
      <c r="H15" s="3" t="inlineStr">
        <is>
          <t>Headcount at year-end 2022; FTE not stated.</t>
        </is>
      </c>
      <c r="I15" s="2" t="inlineStr">
        <is>
          <t>S1</t>
        </is>
      </c>
      <c r="J15" s="2" t="n">
        <v>31</v>
      </c>
      <c r="K15" s="3" t="inlineStr">
        <is>
          <t>We added 76 people to the team, as our organisation grew from 146 to 222 employees by year-end, with an average age of 35, ranging from 23 to 61.</t>
        </is>
      </c>
      <c r="L15" s="2" t="inlineStr">
        <is>
          <t>pend</t>
        </is>
      </c>
      <c r="M15" s="2" t="n"/>
      <c r="N15" s="2" t="inlineStr">
        <is>
          <t>conflict: S1·p31 146 vs S1·p123 114</t>
        </is>
      </c>
      <c r="O15" s="3" t="inlineStr">
        <is>
          <t>https://vanillabonds.com/dossier-data/pdf/fastned/fastned-2023-annual-report.pdf#page=31</t>
        </is>
      </c>
    </row>
    <row r="16">
      <c r="A16" s="2" t="inlineStr">
        <is>
          <t>F015</t>
        </is>
      </c>
      <c r="B16" s="2" t="inlineStr">
        <is>
          <t>identity</t>
        </is>
      </c>
      <c r="C16" s="2" t="inlineStr">
        <is>
          <t>employees</t>
        </is>
      </c>
      <c r="D16" s="2" t="inlineStr">
        <is>
          <t>Employees (FTE, period end)</t>
        </is>
      </c>
      <c r="E16" s="2" t="inlineStr">
        <is>
          <t>FY2022</t>
        </is>
      </c>
      <c r="F16" s="2" t="n">
        <v>114</v>
      </c>
      <c r="G16" s="2" t="n"/>
      <c r="H16" s="3" t="inlineStr">
        <is>
          <t>Average number of FTEs of the Group in 2022 (average, not period end)</t>
        </is>
      </c>
      <c r="I16" s="2" t="inlineStr">
        <is>
          <t>S1</t>
        </is>
      </c>
      <c r="J16" s="2" t="n">
        <v>123</v>
      </c>
      <c r="K16" s="3" t="inlineStr">
        <is>
          <t>In 2023, the average number of FTEs of the Group was 172 (2022 : 114).</t>
        </is>
      </c>
      <c r="L16" s="2" t="inlineStr">
        <is>
          <t>pend</t>
        </is>
      </c>
      <c r="M16" s="2" t="n"/>
      <c r="N16" s="2" t="inlineStr">
        <is>
          <t>conflict: S1·p31 146 vs S1·p123 114</t>
        </is>
      </c>
      <c r="O16" s="3" t="inlineStr">
        <is>
          <t>https://vanillabonds.com/dossier-data/pdf/fastned/fastned-2023-annual-report.pdf#page=123</t>
        </is>
      </c>
    </row>
    <row r="17">
      <c r="A17" s="2" t="inlineStr">
        <is>
          <t>F016</t>
        </is>
      </c>
      <c r="B17" s="2" t="inlineStr">
        <is>
          <t>identity</t>
        </is>
      </c>
      <c r="C17" s="2" t="inlineStr">
        <is>
          <t>employees</t>
        </is>
      </c>
      <c r="D17" s="2" t="inlineStr">
        <is>
          <t>Employees (FTE, period end)</t>
        </is>
      </c>
      <c r="E17" s="2" t="inlineStr">
        <is>
          <t>FY2023</t>
        </is>
      </c>
      <c r="F17" s="2" t="n">
        <v>222</v>
      </c>
      <c r="G17" s="2" t="n"/>
      <c r="H17" s="3" t="inlineStr">
        <is>
          <t>Headcount at year-end 2023 (204 full-time, 18 part-time); FTE not stated.</t>
        </is>
      </c>
      <c r="I17" s="2" t="inlineStr">
        <is>
          <t>S1</t>
        </is>
      </c>
      <c r="J17" s="2" t="n">
        <v>31</v>
      </c>
      <c r="K17" s="3" t="inlineStr">
        <is>
          <t>We added 76 people to the team, as our organisation grew from 146 to 222 employees by year-end, with an average age of 35, ranging from 23 to 61.</t>
        </is>
      </c>
      <c r="L17" s="2" t="inlineStr">
        <is>
          <t>pend</t>
        </is>
      </c>
      <c r="M17" s="2" t="n"/>
      <c r="N17" s="3" t="inlineStr">
        <is>
          <t>conflict: S1·p31 222 vs S1·p123 172 vs S2·p134 172</t>
        </is>
      </c>
      <c r="O17" s="3" t="inlineStr">
        <is>
          <t>https://vanillabonds.com/dossier-data/pdf/fastned/fastned-2023-annual-report.pdf#page=31</t>
        </is>
      </c>
    </row>
    <row r="18">
      <c r="A18" s="2" t="inlineStr">
        <is>
          <t>F017</t>
        </is>
      </c>
      <c r="B18" s="2" t="inlineStr">
        <is>
          <t>identity</t>
        </is>
      </c>
      <c r="C18" s="2" t="inlineStr">
        <is>
          <t>employees</t>
        </is>
      </c>
      <c r="D18" s="2" t="inlineStr">
        <is>
          <t>Employees (FTE, period end)</t>
        </is>
      </c>
      <c r="E18" s="2" t="inlineStr">
        <is>
          <t>FY2023</t>
        </is>
      </c>
      <c r="F18" s="2" t="n">
        <v>172</v>
      </c>
      <c r="G18" s="2" t="n"/>
      <c r="H18" s="3" t="inlineStr">
        <is>
          <t>Average number of FTEs of the Group in 2023 (average, not period end)</t>
        </is>
      </c>
      <c r="I18" s="2" t="inlineStr">
        <is>
          <t>S1</t>
        </is>
      </c>
      <c r="J18" s="2" t="n">
        <v>123</v>
      </c>
      <c r="K18" s="3" t="inlineStr">
        <is>
          <t>In 2023, the average number of FTEs of the Group was 172 (2022 : 114).</t>
        </is>
      </c>
      <c r="L18" s="2" t="inlineStr">
        <is>
          <t>pend</t>
        </is>
      </c>
      <c r="M18" s="2" t="n"/>
      <c r="N18" s="3" t="inlineStr">
        <is>
          <t>conflict: S1·p31 222 vs S1·p123 172 vs S2·p134 172</t>
        </is>
      </c>
      <c r="O18" s="3" t="inlineStr">
        <is>
          <t>https://vanillabonds.com/dossier-data/pdf/fastned/fastned-2023-annual-report.pdf#page=123</t>
        </is>
      </c>
    </row>
    <row r="19">
      <c r="A19" s="2" t="inlineStr">
        <is>
          <t>F018</t>
        </is>
      </c>
      <c r="B19" s="2" t="inlineStr">
        <is>
          <t>identity</t>
        </is>
      </c>
      <c r="C19" s="2" t="inlineStr">
        <is>
          <t>ownership</t>
        </is>
      </c>
      <c r="D19" s="2" t="inlineStr">
        <is>
          <t>Ownership / UBO</t>
        </is>
      </c>
      <c r="E19" s="2" t="n"/>
      <c r="F19" s="2" t="n"/>
      <c r="G19" s="2" t="n"/>
      <c r="H19" s="3" t="inlineStr">
        <is>
          <t>FAST holds all shares, DRs listed; Schroders &gt;=10% of DRs</t>
        </is>
      </c>
      <c r="I19" s="2" t="inlineStr">
        <is>
          <t>S1</t>
        </is>
      </c>
      <c r="J19" s="2" t="n">
        <v>64</v>
      </c>
      <c r="K19" s="3" t="inlineStr">
        <is>
          <t>FAST holds all shares of the Company (including those previously held by the founders and other major shareholders) and issues depository receipts (DRs) for these shares to investors and founders.</t>
        </is>
      </c>
      <c r="L19" s="2" t="inlineStr">
        <is>
          <t>pend</t>
        </is>
      </c>
      <c r="M19" s="2" t="n"/>
      <c r="N19" s="2" t="n"/>
      <c r="O19" s="3" t="inlineStr">
        <is>
          <t>https://vanillabonds.com/dossier-data/pdf/fastned/fastned-2023-annual-report.pdf#page=64</t>
        </is>
      </c>
    </row>
    <row r="20">
      <c r="A20" s="2" t="inlineStr">
        <is>
          <t>F019</t>
        </is>
      </c>
      <c r="B20" s="2" t="inlineStr">
        <is>
          <t>identity</t>
        </is>
      </c>
      <c r="C20" s="2" t="inlineStr">
        <is>
          <t>ownership</t>
        </is>
      </c>
      <c r="D20" s="2" t="inlineStr">
        <is>
          <t>Ownership / UBO</t>
        </is>
      </c>
      <c r="E20" s="2" t="n"/>
      <c r="F20" s="2" t="n"/>
      <c r="G20" s="2" t="n"/>
      <c r="H20" s="3" t="inlineStr">
        <is>
          <t>Shares held by FAST (Fastned Administratie Stichting)</t>
        </is>
      </c>
      <c r="I20" s="2" t="inlineStr">
        <is>
          <t>S1</t>
        </is>
      </c>
      <c r="J20" s="2" t="n">
        <v>118</v>
      </c>
      <c r="K20" s="3" t="inlineStr">
        <is>
          <t>Shares in Fastned B.V. are held by FAST (Fastned Administratie Stichting), Amsterdam.</t>
        </is>
      </c>
      <c r="L20" s="2" t="inlineStr">
        <is>
          <t>pend</t>
        </is>
      </c>
      <c r="M20" s="2" t="n"/>
      <c r="N20" s="2" t="n"/>
      <c r="O20" s="3" t="inlineStr">
        <is>
          <t>https://vanillabonds.com/dossier-data/pdf/fastned/fastned-2023-annual-report.pdf#page=118</t>
        </is>
      </c>
    </row>
    <row r="21">
      <c r="A21" s="2" t="inlineStr">
        <is>
          <t>F020</t>
        </is>
      </c>
      <c r="B21" s="2" t="inlineStr">
        <is>
          <t>identity</t>
        </is>
      </c>
      <c r="C21" s="2" t="inlineStr">
        <is>
          <t>ownership</t>
        </is>
      </c>
      <c r="D21" s="2" t="inlineStr">
        <is>
          <t>Ownership / UBO</t>
        </is>
      </c>
      <c r="E21" s="2" t="n"/>
      <c r="F21" s="2" t="n"/>
      <c r="G21" s="2" t="n"/>
      <c r="H21" s="3" t="inlineStr">
        <is>
          <t>Wilhelmina-Dok B.V. (Bart Lubbers) 37.0% of DRs (2022: 39.2%)</t>
        </is>
      </c>
      <c r="I21" s="2" t="inlineStr">
        <is>
          <t>S1</t>
        </is>
      </c>
      <c r="J21" s="2" t="n">
        <v>118</v>
      </c>
      <c r="K21" s="3" t="inlineStr">
        <is>
          <t>Wilhelmina-Dok B.V. (Bart Lubbers) 37.0 39.2</t>
        </is>
      </c>
      <c r="L21" s="2" t="inlineStr">
        <is>
          <t>pend</t>
        </is>
      </c>
      <c r="M21" s="2" t="n"/>
      <c r="N21" s="2" t="n"/>
      <c r="O21" s="3" t="inlineStr">
        <is>
          <t>https://vanillabonds.com/dossier-data/pdf/fastned/fastned-2023-annual-report.pdf#page=118</t>
        </is>
      </c>
    </row>
    <row r="22">
      <c r="A22" s="2" t="inlineStr">
        <is>
          <t>F021</t>
        </is>
      </c>
      <c r="B22" s="2" t="inlineStr">
        <is>
          <t>identity</t>
        </is>
      </c>
      <c r="C22" s="2" t="inlineStr">
        <is>
          <t>ownership</t>
        </is>
      </c>
      <c r="D22" s="2" t="inlineStr">
        <is>
          <t>Ownership / UBO</t>
        </is>
      </c>
      <c r="E22" s="2" t="n"/>
      <c r="F22" s="2" t="n"/>
      <c r="G22" s="2" t="n"/>
      <c r="H22" s="3" t="inlineStr">
        <is>
          <t>Carraig Aonair Holding B.V. (Langezaal) 21.5% (2022: 23.5%)</t>
        </is>
      </c>
      <c r="I22" s="2" t="inlineStr">
        <is>
          <t>S1</t>
        </is>
      </c>
      <c r="J22" s="2" t="n">
        <v>118</v>
      </c>
      <c r="K22" s="3" t="inlineStr">
        <is>
          <t>Carraig Aonair Holding B.V. (Michiel Langezaal) 21.5 23.5</t>
        </is>
      </c>
      <c r="L22" s="2" t="inlineStr">
        <is>
          <t>pend</t>
        </is>
      </c>
      <c r="M22" s="2" t="n"/>
      <c r="N22" s="2" t="n"/>
      <c r="O22" s="3" t="inlineStr">
        <is>
          <t>https://vanillabonds.com/dossier-data/pdf/fastned/fastned-2023-annual-report.pdf#page=118</t>
        </is>
      </c>
    </row>
    <row r="23">
      <c r="A23" s="2" t="inlineStr">
        <is>
          <t>F022</t>
        </is>
      </c>
      <c r="B23" s="2" t="inlineStr">
        <is>
          <t>identity</t>
        </is>
      </c>
      <c r="C23" s="2" t="inlineStr">
        <is>
          <t>ownership</t>
        </is>
      </c>
      <c r="D23" s="2" t="inlineStr">
        <is>
          <t>Ownership / UBO</t>
        </is>
      </c>
      <c r="E23" s="2" t="n"/>
      <c r="F23" s="2" t="n"/>
      <c r="G23" s="2" t="n"/>
      <c r="H23" s="3" t="inlineStr">
        <is>
          <t>Breesaap B.V. 5.9% of shares; Bart Lubbers holds 33% of Breesaap</t>
        </is>
      </c>
      <c r="I23" s="2" t="inlineStr">
        <is>
          <t>S1</t>
        </is>
      </c>
      <c r="J23" s="2" t="n">
        <v>118</v>
      </c>
      <c r="K23" s="3" t="inlineStr">
        <is>
          <t>Furthermore, Bart Lubbers has a 33% share in Breesaap B.V. Breesaap B.V. has 5.9% of shares in Fastned B.V.</t>
        </is>
      </c>
      <c r="L23" s="2" t="inlineStr">
        <is>
          <t>pend</t>
        </is>
      </c>
      <c r="M23" s="2" t="n"/>
      <c r="N23" s="2" t="n"/>
      <c r="O23" s="3" t="inlineStr">
        <is>
          <t>https://vanillabonds.com/dossier-data/pdf/fastned/fastned-2023-annual-report.pdf#page=118</t>
        </is>
      </c>
    </row>
    <row r="24">
      <c r="A24" s="2" t="inlineStr">
        <is>
          <t>F023</t>
        </is>
      </c>
      <c r="B24" s="2" t="inlineStr">
        <is>
          <t>identity</t>
        </is>
      </c>
      <c r="C24" s="2" t="inlineStr">
        <is>
          <t>listing</t>
        </is>
      </c>
      <c r="D24" s="2" t="inlineStr">
        <is>
          <t>Listings (equity, bonds)</t>
        </is>
      </c>
      <c r="E24" s="2" t="n"/>
      <c r="F24" s="2" t="n"/>
      <c r="G24" s="2" t="n"/>
      <c r="H24" s="3" t="inlineStr">
        <is>
          <t>DRs on Euronext Amsterdam; retail bonds EUR 159.9m</t>
        </is>
      </c>
      <c r="I24" s="2" t="inlineStr">
        <is>
          <t>S1</t>
        </is>
      </c>
      <c r="J24" s="2" t="n">
        <v>64</v>
      </c>
      <c r="K24" s="3" t="inlineStr">
        <is>
          <t>All DRs (100% of the Fastned share capital) are listed on Euronext Amsterdam.</t>
        </is>
      </c>
      <c r="L24" s="2" t="inlineStr">
        <is>
          <t>pend</t>
        </is>
      </c>
      <c r="M24" s="2" t="n"/>
      <c r="N24" s="2" t="n"/>
      <c r="O24" s="3" t="inlineStr">
        <is>
          <t>https://vanillabonds.com/dossier-data/pdf/fastned/fastned-2023-annual-report.pdf#page=64</t>
        </is>
      </c>
    </row>
    <row r="25">
      <c r="A25" s="2" t="inlineStr">
        <is>
          <t>F024</t>
        </is>
      </c>
      <c r="B25" s="2" t="inlineStr">
        <is>
          <t>identity</t>
        </is>
      </c>
      <c r="C25" s="2" t="inlineStr">
        <is>
          <t>listing</t>
        </is>
      </c>
      <c r="D25" s="2" t="inlineStr">
        <is>
          <t>Listings (equity, bonds)</t>
        </is>
      </c>
      <c r="E25" s="2" t="n"/>
      <c r="F25" s="2" t="n"/>
      <c r="G25" s="2" t="n"/>
      <c r="H25" s="2" t="inlineStr">
        <is>
          <t>Bonds not registered on any exchange</t>
        </is>
      </c>
      <c r="I25" s="2" t="inlineStr">
        <is>
          <t>S1</t>
        </is>
      </c>
      <c r="J25" s="2" t="n">
        <v>136</v>
      </c>
      <c r="K25" s="3" t="inlineStr">
        <is>
          <t>The bonds are not subordinated and trading is very limited as they are not registered on any exchange.</t>
        </is>
      </c>
      <c r="L25" s="2" t="inlineStr">
        <is>
          <t>pend</t>
        </is>
      </c>
      <c r="M25" s="2" t="n"/>
      <c r="N25" s="2" t="n"/>
      <c r="O25" s="3" t="inlineStr">
        <is>
          <t>https://vanillabonds.com/dossier-data/pdf/fastned/fastned-2023-annual-report.pdf#page=136</t>
        </is>
      </c>
    </row>
    <row r="26">
      <c r="A26" s="2" t="inlineStr">
        <is>
          <t>F025</t>
        </is>
      </c>
      <c r="B26" s="2" t="inlineStr">
        <is>
          <t>identity</t>
        </is>
      </c>
      <c r="C26" s="2" t="inlineStr">
        <is>
          <t>listing</t>
        </is>
      </c>
      <c r="D26" s="2" t="inlineStr">
        <is>
          <t>Listings (equity, bonds)</t>
        </is>
      </c>
      <c r="E26" s="2" t="n"/>
      <c r="F26" s="2" t="n"/>
      <c r="G26" s="2" t="n"/>
      <c r="H26" s="3" t="inlineStr">
        <is>
          <t>Depositary receipts listed on Euronext; bonds unlisted</t>
        </is>
      </c>
      <c r="I26" s="2" t="inlineStr">
        <is>
          <t>S1</t>
        </is>
      </c>
      <c r="J26" s="2" t="n">
        <v>150</v>
      </c>
      <c r="K26" s="2" t="inlineStr">
        <is>
          <t>Share price at Euronext (€) 34.18</t>
        </is>
      </c>
      <c r="L26" s="2" t="inlineStr">
        <is>
          <t>pend</t>
        </is>
      </c>
      <c r="M26" s="2" t="n"/>
      <c r="N26" s="2" t="n"/>
      <c r="O26" s="3" t="inlineStr">
        <is>
          <t>https://vanillabonds.com/dossier-data/pdf/fastned/fastned-2023-annual-report.pdf#page=150</t>
        </is>
      </c>
    </row>
    <row r="27">
      <c r="A27" s="2" t="inlineStr">
        <is>
          <t>F026</t>
        </is>
      </c>
      <c r="B27" s="2" t="inlineStr">
        <is>
          <t>identity</t>
        </is>
      </c>
      <c r="C27" s="2" t="inlineStr">
        <is>
          <t>auditor</t>
        </is>
      </c>
      <c r="D27" s="2" t="inlineStr">
        <is>
          <t>Auditor</t>
        </is>
      </c>
      <c r="E27" s="2" t="n"/>
      <c r="F27" s="2" t="n"/>
      <c r="G27" s="2" t="n"/>
      <c r="H27" s="2" t="inlineStr">
        <is>
          <t>BDO Audit &amp; Assurance B.V.</t>
        </is>
      </c>
      <c r="I27" s="2" t="inlineStr">
        <is>
          <t>S1</t>
        </is>
      </c>
      <c r="J27" s="2" t="n">
        <v>63</v>
      </c>
      <c r="K27" s="3" t="inlineStr">
        <is>
          <t>BDO Audit &amp; Assurance B.V. was appointed as the external independent auditor for the financial years 2023 and 2024.</t>
        </is>
      </c>
      <c r="L27" s="2" t="inlineStr">
        <is>
          <t>pend</t>
        </is>
      </c>
      <c r="M27" s="2" t="n"/>
      <c r="N27" s="2" t="n"/>
      <c r="O27" s="3" t="inlineStr">
        <is>
          <t>https://vanillabonds.com/dossier-data/pdf/fastned/fastned-2023-annual-report.pdf#page=63</t>
        </is>
      </c>
    </row>
    <row r="28">
      <c r="A28" s="2" t="inlineStr">
        <is>
          <t>F027</t>
        </is>
      </c>
      <c r="B28" s="2" t="inlineStr">
        <is>
          <t>identity</t>
        </is>
      </c>
      <c r="C28" s="2" t="inlineStr">
        <is>
          <t>auditor</t>
        </is>
      </c>
      <c r="D28" s="2" t="inlineStr">
        <is>
          <t>Auditor</t>
        </is>
      </c>
      <c r="E28" s="2" t="n"/>
      <c r="F28" s="2" t="n"/>
      <c r="G28" s="2" t="n"/>
      <c r="H28" s="3" t="inlineStr">
        <is>
          <t>BDO Audit &amp; Assurance B.V. (2022: Deloitte Accountants B.V.)</t>
        </is>
      </c>
      <c r="I28" s="2" t="inlineStr">
        <is>
          <t>S1</t>
        </is>
      </c>
      <c r="J28" s="2" t="n">
        <v>156</v>
      </c>
      <c r="K28" s="3" t="inlineStr">
        <is>
          <t>Group auditor for 2023 is BDO Audit &amp; Assurance B.V. (2022: Deloitte Accountants B.V.).</t>
        </is>
      </c>
      <c r="L28" s="2" t="inlineStr">
        <is>
          <t>pend</t>
        </is>
      </c>
      <c r="M28" s="2" t="n"/>
      <c r="N28" s="2" t="n"/>
      <c r="O28" s="3" t="inlineStr">
        <is>
          <t>https://vanillabonds.com/dossier-data/pdf/fastned/fastned-2023-annual-report.pdf#page=156</t>
        </is>
      </c>
    </row>
    <row r="29">
      <c r="A29" s="2" t="inlineStr">
        <is>
          <t>F028</t>
        </is>
      </c>
      <c r="B29" s="2" t="inlineStr">
        <is>
          <t>identity</t>
        </is>
      </c>
      <c r="C29" s="2" t="inlineStr">
        <is>
          <t>audit_opinion</t>
        </is>
      </c>
      <c r="D29" s="2" t="inlineStr">
        <is>
          <t>Audit opinion</t>
        </is>
      </c>
      <c r="E29" s="2" t="inlineStr">
        <is>
          <t>FY2023</t>
        </is>
      </c>
      <c r="F29" s="2" t="n"/>
      <c r="G29" s="2" t="n"/>
      <c r="H29" s="2" t="inlineStr">
        <is>
          <t>unqualified</t>
        </is>
      </c>
      <c r="I29" s="2" t="inlineStr">
        <is>
          <t>S1</t>
        </is>
      </c>
      <c r="J29" s="2" t="n">
        <v>78</v>
      </c>
      <c r="K29" s="3" t="inlineStr">
        <is>
          <t>Attached to these statements is the unqualified independent auditor’s report from BDO Audit &amp; Assurance B.V..</t>
        </is>
      </c>
      <c r="L29" s="2" t="inlineStr">
        <is>
          <t>pend</t>
        </is>
      </c>
      <c r="M29" s="2" t="n"/>
      <c r="N29" s="2" t="n"/>
      <c r="O29" s="3" t="inlineStr">
        <is>
          <t>https://vanillabonds.com/dossier-data/pdf/fastned/fastned-2023-annual-report.pdf#page=78</t>
        </is>
      </c>
    </row>
    <row r="30">
      <c r="A30" s="2" t="inlineStr">
        <is>
          <t>F029</t>
        </is>
      </c>
      <c r="B30" s="2" t="inlineStr">
        <is>
          <t>identity</t>
        </is>
      </c>
      <c r="C30" s="2" t="inlineStr">
        <is>
          <t>audit_opinion</t>
        </is>
      </c>
      <c r="D30" s="2" t="inlineStr">
        <is>
          <t>Audit opinion</t>
        </is>
      </c>
      <c r="E30" s="2" t="inlineStr">
        <is>
          <t>FY2023</t>
        </is>
      </c>
      <c r="F30" s="2" t="n"/>
      <c r="G30" s="2" t="n"/>
      <c r="H30" s="3" t="inlineStr">
        <is>
          <t>unqualified; consolidated statements give a true and fair view under EU-IFRS and Part 9 Book 2 DCC; no emphasis of matter</t>
        </is>
      </c>
      <c r="I30" s="2" t="inlineStr">
        <is>
          <t>S1</t>
        </is>
      </c>
      <c r="J30" s="2" t="n">
        <v>178</v>
      </c>
      <c r="K30" s="3" t="inlineStr">
        <is>
          <t>In our opinion, the accompanying consolidated financial statements give a true and fair view of the financial position of Fastned B.V. as at 31 December 2023</t>
        </is>
      </c>
      <c r="L30" s="2" t="inlineStr">
        <is>
          <t>pend</t>
        </is>
      </c>
      <c r="M30" s="2" t="n"/>
      <c r="N30" s="2" t="n"/>
      <c r="O30" s="3" t="inlineStr">
        <is>
          <t>https://vanillabonds.com/dossier-data/pdf/fastned/fastned-2023-annual-report.pdf#page=178</t>
        </is>
      </c>
    </row>
    <row r="31">
      <c r="A31" s="2" t="inlineStr">
        <is>
          <t>F030</t>
        </is>
      </c>
      <c r="B31" s="2" t="inlineStr">
        <is>
          <t>identity</t>
        </is>
      </c>
      <c r="C31" s="2" t="inlineStr">
        <is>
          <t>accounting_standard</t>
        </is>
      </c>
      <c r="D31" s="2" t="inlineStr">
        <is>
          <t>Accounting standard</t>
        </is>
      </c>
      <c r="E31" s="2" t="n"/>
      <c r="F31" s="2" t="n"/>
      <c r="G31" s="2" t="n"/>
      <c r="H31" s="3" t="inlineStr">
        <is>
          <t>IFRS (EU) and Part 9 Book 2 Dutch Civil Code</t>
        </is>
      </c>
      <c r="I31" s="2" t="inlineStr">
        <is>
          <t>S1</t>
        </is>
      </c>
      <c r="J31" s="2" t="n">
        <v>97</v>
      </c>
      <c r="K31" s="3" t="inlineStr">
        <is>
          <t>prepared in accordance with International Financial Reporting Standards (IFRS) as adopted by the European Union (EU) and also comply with the financial reporting requirements included in Part 9</t>
        </is>
      </c>
      <c r="L31" s="2" t="inlineStr">
        <is>
          <t>pend</t>
        </is>
      </c>
      <c r="M31" s="2" t="n"/>
      <c r="N31" s="2" t="n"/>
      <c r="O31" s="3" t="inlineStr">
        <is>
          <t>https://vanillabonds.com/dossier-data/pdf/fastned/fastned-2023-annual-report.pdf#page=97</t>
        </is>
      </c>
    </row>
    <row r="32">
      <c r="A32" s="2" t="inlineStr">
        <is>
          <t>F031</t>
        </is>
      </c>
      <c r="B32" s="2" t="inlineStr">
        <is>
          <t>identity</t>
        </is>
      </c>
      <c r="C32" s="2" t="inlineStr">
        <is>
          <t>accounting_standard</t>
        </is>
      </c>
      <c r="D32" s="2" t="inlineStr">
        <is>
          <t>Accounting standard</t>
        </is>
      </c>
      <c r="E32" s="2" t="n"/>
      <c r="F32" s="2" t="n"/>
      <c r="G32" s="2" t="n"/>
      <c r="H32" s="3" t="inlineStr">
        <is>
          <t>EU-IFRS and Part 9 of Book 2 Dutch Civil Code</t>
        </is>
      </c>
      <c r="I32" s="2" t="inlineStr">
        <is>
          <t>S1</t>
        </is>
      </c>
      <c r="J32" s="2" t="n">
        <v>160</v>
      </c>
      <c r="K32" s="3" t="inlineStr">
        <is>
          <t>These financial statements have been prepared in accordance with International Financial Reporting Standards (IFRSs) as adopted by the European Union (EU)</t>
        </is>
      </c>
      <c r="L32" s="2" t="inlineStr">
        <is>
          <t>pend</t>
        </is>
      </c>
      <c r="M32" s="2" t="n"/>
      <c r="N32" s="2" t="n"/>
      <c r="O32" s="3" t="inlineStr">
        <is>
          <t>https://vanillabonds.com/dossier-data/pdf/fastned/fastned-2023-annual-report.pdf#page=160</t>
        </is>
      </c>
    </row>
    <row r="33">
      <c r="A33" s="2" t="inlineStr">
        <is>
          <t>F032</t>
        </is>
      </c>
      <c r="B33" s="2" t="inlineStr">
        <is>
          <t>identity</t>
        </is>
      </c>
      <c r="C33" s="2" t="inlineStr">
        <is>
          <t>fiscal_year_end</t>
        </is>
      </c>
      <c r="D33" s="2" t="inlineStr">
        <is>
          <t>Fiscal year end</t>
        </is>
      </c>
      <c r="E33" s="2" t="n"/>
      <c r="F33" s="2" t="n"/>
      <c r="G33" s="2" t="n"/>
      <c r="H33" s="2" t="inlineStr">
        <is>
          <t>31 December</t>
        </is>
      </c>
      <c r="I33" s="2" t="inlineStr">
        <is>
          <t>S1</t>
        </is>
      </c>
      <c r="J33" s="2" t="n">
        <v>160</v>
      </c>
      <c r="K33" s="2" t="inlineStr">
        <is>
          <t>for the year ended 31 December 2023</t>
        </is>
      </c>
      <c r="L33" s="2" t="inlineStr">
        <is>
          <t>pend</t>
        </is>
      </c>
      <c r="M33" s="2" t="n"/>
      <c r="N33" s="2" t="n"/>
      <c r="O33" s="3" t="inlineStr">
        <is>
          <t>https://vanillabonds.com/dossier-data/pdf/fastned/fastned-2023-annual-report.pdf#page=160</t>
        </is>
      </c>
    </row>
    <row r="34">
      <c r="A34" s="2" t="inlineStr">
        <is>
          <t>F033</t>
        </is>
      </c>
      <c r="B34" s="2" t="inlineStr">
        <is>
          <t>business</t>
        </is>
      </c>
      <c r="C34" s="2" t="inlineStr">
        <is>
          <t>business_fact</t>
        </is>
      </c>
      <c r="D34" s="2" t="inlineStr">
        <is>
          <t>Business fact</t>
        </is>
      </c>
      <c r="E34" s="2" t="n"/>
      <c r="F34" s="2" t="n"/>
      <c r="G34" s="2" t="n"/>
      <c r="H34" s="3" t="inlineStr">
        <is>
          <t>2023 volumes: 99.6 GWh sold (+92%), 4.0 million charging sessions (+74%), 1,714 chargers (+39%), 297 stations (+55), 755,289 active customers (+246%).</t>
        </is>
      </c>
      <c r="I34" s="2" t="inlineStr">
        <is>
          <t>S1</t>
        </is>
      </c>
      <c r="J34" s="2" t="n">
        <v>4</v>
      </c>
      <c r="K34" s="3" t="inlineStr">
        <is>
          <t>Volume of energy sold 99.6 GWh +92% vs. 2022</t>
        </is>
      </c>
      <c r="L34" s="2" t="inlineStr">
        <is>
          <t>pend</t>
        </is>
      </c>
      <c r="M34" s="2" t="n"/>
      <c r="N34" s="2" t="n"/>
      <c r="O34" s="3" t="inlineStr">
        <is>
          <t>https://vanillabonds.com/dossier-data/pdf/fastned/fastned-2023-annual-report.pdf#page=4</t>
        </is>
      </c>
    </row>
    <row r="35">
      <c r="A35" s="2" t="inlineStr">
        <is>
          <t>F034</t>
        </is>
      </c>
      <c r="B35" s="2" t="inlineStr">
        <is>
          <t>business</t>
        </is>
      </c>
      <c r="C35" s="2" t="inlineStr">
        <is>
          <t>business_fact</t>
        </is>
      </c>
      <c r="D35" s="2" t="inlineStr">
        <is>
          <t>Business fact</t>
        </is>
      </c>
      <c r="E35" s="2" t="n"/>
      <c r="F35" s="2" t="n"/>
      <c r="G35" s="2" t="n"/>
      <c r="H35" s="3" t="inlineStr">
        <is>
          <t>Station uptime above 99%; Google Maps rating 4.4/5; Net Promoter Score 60 in 2023.</t>
        </is>
      </c>
      <c r="I35" s="2" t="inlineStr">
        <is>
          <t>S1</t>
        </is>
      </c>
      <c r="J35" s="2" t="n">
        <v>19</v>
      </c>
      <c r="K35" s="3" t="inlineStr">
        <is>
          <t>Our rating of 4.4/5 on Google Maps and our 2023 Net Promoter Score of 60 are evidence that our charging experience is highly valued by our customers.</t>
        </is>
      </c>
      <c r="L35" s="2" t="inlineStr">
        <is>
          <t>pend</t>
        </is>
      </c>
      <c r="M35" s="2" t="n"/>
      <c r="N35" s="2" t="n"/>
      <c r="O35" s="3" t="inlineStr">
        <is>
          <t>https://vanillabonds.com/dossier-data/pdf/fastned/fastned-2023-annual-report.pdf#page=19</t>
        </is>
      </c>
    </row>
    <row r="36">
      <c r="A36" s="2" t="inlineStr">
        <is>
          <t>F035</t>
        </is>
      </c>
      <c r="B36" s="2" t="inlineStr">
        <is>
          <t>business</t>
        </is>
      </c>
      <c r="C36" s="2" t="inlineStr">
        <is>
          <t>business_fact</t>
        </is>
      </c>
      <c r="D36" s="2" t="inlineStr">
        <is>
          <t>Business fact</t>
        </is>
      </c>
      <c r="E36" s="2" t="n"/>
      <c r="F36" s="2" t="n"/>
      <c r="G36" s="2" t="n"/>
      <c r="H36" s="3" t="inlineStr">
        <is>
          <t>Awards 2023: Chargemap most reliable network in Europe (390,000 reviews), ZapMap best en-route public charging network UK, Autoblog favourite fast charging network NL.</t>
        </is>
      </c>
      <c r="I36" s="2" t="inlineStr">
        <is>
          <t>S1</t>
        </is>
      </c>
      <c r="J36" s="2" t="n">
        <v>19</v>
      </c>
      <c r="K36" s="3" t="inlineStr">
        <is>
          <t>We've been named the 'best en-route public charging network' by ZapMap in the UK and the 'favourite fast charging network' by Autoblog in the Netherlands for two years in a row.</t>
        </is>
      </c>
      <c r="L36" s="2" t="inlineStr">
        <is>
          <t>pend</t>
        </is>
      </c>
      <c r="M36" s="2" t="n"/>
      <c r="N36" s="2" t="n"/>
      <c r="O36" s="3" t="inlineStr">
        <is>
          <t>https://vanillabonds.com/dossier-data/pdf/fastned/fastned-2023-annual-report.pdf#page=19</t>
        </is>
      </c>
    </row>
    <row r="37">
      <c r="A37" s="2" t="inlineStr">
        <is>
          <t>F036</t>
        </is>
      </c>
      <c r="B37" s="2" t="inlineStr">
        <is>
          <t>business</t>
        </is>
      </c>
      <c r="C37" s="2" t="inlineStr">
        <is>
          <t>business_fact</t>
        </is>
      </c>
      <c r="D37" s="2" t="inlineStr">
        <is>
          <t>Business fact</t>
        </is>
      </c>
      <c r="E37" s="2" t="n"/>
      <c r="F37" s="2" t="n"/>
      <c r="G37" s="2" t="n"/>
      <c r="H37" s="3" t="inlineStr">
        <is>
          <t>Proprietary software platform Revolt runs network operations; app rated 4.7/5 (Apple) and 4.6/5 (Google Play); Apple CarPlay and Android Auto added in 2023.</t>
        </is>
      </c>
      <c r="I37" s="2" t="inlineStr">
        <is>
          <t>S1</t>
        </is>
      </c>
      <c r="J37" s="2" t="n">
        <v>20</v>
      </c>
      <c r="K37" s="3" t="inlineStr">
        <is>
          <t>Revolt, our software platform developed in-house, forms the heart of our operations.</t>
        </is>
      </c>
      <c r="L37" s="2" t="inlineStr">
        <is>
          <t>pend</t>
        </is>
      </c>
      <c r="M37" s="2" t="n"/>
      <c r="N37" s="2" t="n"/>
      <c r="O37" s="3" t="inlineStr">
        <is>
          <t>https://vanillabonds.com/dossier-data/pdf/fastned/fastned-2023-annual-report.pdf#page=20</t>
        </is>
      </c>
    </row>
    <row r="38">
      <c r="A38" s="2" t="inlineStr">
        <is>
          <t>F037</t>
        </is>
      </c>
      <c r="B38" s="2" t="inlineStr">
        <is>
          <t>business</t>
        </is>
      </c>
      <c r="C38" s="2" t="inlineStr">
        <is>
          <t>business_fact</t>
        </is>
      </c>
      <c r="D38" s="2" t="inlineStr">
        <is>
          <t>Business fact</t>
        </is>
      </c>
      <c r="E38" s="2" t="n"/>
      <c r="F38" s="2" t="n"/>
      <c r="G38" s="2" t="n"/>
      <c r="H38" s="3" t="inlineStr">
        <is>
          <t>Stations are designed, built, operated and maintained in-house; 55 new stations across seven countries in 2023; grid congestion slowed construction in NL, FR, BE and UK.</t>
        </is>
      </c>
      <c r="I38" s="2" t="inlineStr">
        <is>
          <t>S1</t>
        </is>
      </c>
      <c r="J38" s="2" t="n">
        <v>21</v>
      </c>
      <c r="K38" s="3" t="inlineStr">
        <is>
          <t>Grid congestion is another factor that has slowed our construction pace in the Netherlands, France, Belgium and in the United Kingdom.</t>
        </is>
      </c>
      <c r="L38" s="2" t="inlineStr">
        <is>
          <t>pend</t>
        </is>
      </c>
      <c r="M38" s="2" t="n"/>
      <c r="N38" s="2" t="n"/>
      <c r="O38" s="3" t="inlineStr">
        <is>
          <t>https://vanillabonds.com/dossier-data/pdf/fastned/fastned-2023-annual-report.pdf#page=21</t>
        </is>
      </c>
    </row>
    <row r="39">
      <c r="A39" s="2" t="inlineStr">
        <is>
          <t>F038</t>
        </is>
      </c>
      <c r="B39" s="2" t="inlineStr">
        <is>
          <t>business</t>
        </is>
      </c>
      <c r="C39" s="2" t="inlineStr">
        <is>
          <t>business_fact</t>
        </is>
      </c>
      <c r="D39" s="2" t="inlineStr">
        <is>
          <t>Business fact</t>
        </is>
      </c>
      <c r="E39" s="2" t="n"/>
      <c r="F39" s="2" t="n"/>
      <c r="G39" s="2" t="n"/>
      <c r="H39" s="3" t="inlineStr">
        <is>
          <t>Employees: 93 new hires and 17 leavers in 2023, turnover 9% (2022: 11%); 18 workers who are not employees; 38 nationalities; women 40% of workforce.</t>
        </is>
      </c>
      <c r="I39" s="2" t="inlineStr">
        <is>
          <t>S1</t>
        </is>
      </c>
      <c r="J39" s="2" t="n">
        <v>32</v>
      </c>
      <c r="K39" s="3" t="inlineStr">
        <is>
          <t>This is backed up by our turnover of 9% in 2023, which is a decrease from 11% in the previous year.</t>
        </is>
      </c>
      <c r="L39" s="2" t="inlineStr">
        <is>
          <t>pend</t>
        </is>
      </c>
      <c r="M39" s="2" t="n"/>
      <c r="N39" s="2" t="n"/>
      <c r="O39" s="3" t="inlineStr">
        <is>
          <t>https://vanillabonds.com/dossier-data/pdf/fastned/fastned-2023-annual-report.pdf#page=32</t>
        </is>
      </c>
    </row>
    <row r="40">
      <c r="A40" s="2" t="inlineStr">
        <is>
          <t>F039</t>
        </is>
      </c>
      <c r="B40" s="2" t="inlineStr">
        <is>
          <t>business</t>
        </is>
      </c>
      <c r="C40" s="2" t="inlineStr">
        <is>
          <t>business_fact</t>
        </is>
      </c>
      <c r="D40" s="2" t="inlineStr">
        <is>
          <t>Business fact</t>
        </is>
      </c>
      <c r="E40" s="2" t="n"/>
      <c r="F40" s="2" t="n"/>
      <c r="G40" s="2" t="n"/>
      <c r="H40" s="3" t="inlineStr">
        <is>
          <t>Operational EBITDA (gross profit from charging less network operation costs, non-IFRS) EUR 23.8m in 2023, 8.1m in 2022, 2.4m in 2021; margin 39% in 2023 (+17 pp).</t>
        </is>
      </c>
      <c r="I40" s="2" t="inlineStr">
        <is>
          <t>S1</t>
        </is>
      </c>
      <c r="J40" s="2" t="n">
        <v>36</v>
      </c>
      <c r="K40" s="2" t="inlineStr">
        <is>
          <t>Operational EBITDA 23.8 8.1 2.4 194 %</t>
        </is>
      </c>
      <c r="L40" s="2" t="inlineStr">
        <is>
          <t>pend</t>
        </is>
      </c>
      <c r="M40" s="2" t="n"/>
      <c r="N40" s="2" t="n"/>
      <c r="O40" s="3" t="inlineStr">
        <is>
          <t>https://vanillabonds.com/dossier-data/pdf/fastned/fastned-2023-annual-report.pdf#page=36</t>
        </is>
      </c>
    </row>
    <row r="41">
      <c r="A41" s="2" t="inlineStr">
        <is>
          <t>F040</t>
        </is>
      </c>
      <c r="B41" s="2" t="inlineStr">
        <is>
          <t>business</t>
        </is>
      </c>
      <c r="C41" s="2" t="inlineStr">
        <is>
          <t>business_fact</t>
        </is>
      </c>
      <c r="D41" s="2" t="inlineStr">
        <is>
          <t>Business fact</t>
        </is>
      </c>
      <c r="E41" s="2" t="n"/>
      <c r="F41" s="2" t="n"/>
      <c r="G41" s="2" t="n"/>
      <c r="H41" s="3" t="inlineStr">
        <is>
          <t>Network expansion costs EUR 15.2m in 2023 (2022: 12.0; 2021: 6.8), up 27% on more employees in expansion.</t>
        </is>
      </c>
      <c r="I41" s="2" t="inlineStr">
        <is>
          <t>S1</t>
        </is>
      </c>
      <c r="J41" s="2" t="n">
        <v>36</v>
      </c>
      <c r="K41" s="3" t="inlineStr">
        <is>
          <t>Network expansion costs (15.2) (12.0) (6.8) 27 %</t>
        </is>
      </c>
      <c r="L41" s="2" t="inlineStr">
        <is>
          <t>pend</t>
        </is>
      </c>
      <c r="M41" s="2" t="n"/>
      <c r="N41" s="2" t="n"/>
      <c r="O41" s="3" t="inlineStr">
        <is>
          <t>https://vanillabonds.com/dossier-data/pdf/fastned/fastned-2023-annual-report.pdf#page=36</t>
        </is>
      </c>
    </row>
    <row r="42">
      <c r="A42" s="2" t="inlineStr">
        <is>
          <t>F041</t>
        </is>
      </c>
      <c r="B42" s="2" t="inlineStr">
        <is>
          <t>business</t>
        </is>
      </c>
      <c r="C42" s="2" t="inlineStr">
        <is>
          <t>business_fact</t>
        </is>
      </c>
      <c r="D42" s="2" t="inlineStr">
        <is>
          <t>Business fact</t>
        </is>
      </c>
      <c r="E42" s="2" t="n"/>
      <c r="F42" s="2" t="n"/>
      <c r="G42" s="2" t="n"/>
      <c r="H42" s="3" t="inlineStr">
        <is>
          <t>Gross profit related to charging EUR 44.9m in 2023 (+119%), margin 74% (2022: 57%).</t>
        </is>
      </c>
      <c r="I42" s="2" t="inlineStr">
        <is>
          <t>S1</t>
        </is>
      </c>
      <c r="J42" s="2" t="n">
        <v>36</v>
      </c>
      <c r="K42" s="3" t="inlineStr">
        <is>
          <t>Gross profit related to charging increased by 119% to €44.9 million.</t>
        </is>
      </c>
      <c r="L42" s="2" t="inlineStr">
        <is>
          <t>pend</t>
        </is>
      </c>
      <c r="M42" s="2" t="n"/>
      <c r="N42" s="2" t="n"/>
      <c r="O42" s="3" t="inlineStr">
        <is>
          <t>https://vanillabonds.com/dossier-data/pdf/fastned/fastned-2023-annual-report.pdf#page=36</t>
        </is>
      </c>
    </row>
    <row r="43">
      <c r="A43" s="2" t="inlineStr">
        <is>
          <t>F042</t>
        </is>
      </c>
      <c r="B43" s="2" t="inlineStr">
        <is>
          <t>business</t>
        </is>
      </c>
      <c r="C43" s="2" t="inlineStr">
        <is>
          <t>business_fact</t>
        </is>
      </c>
      <c r="D43" s="2" t="inlineStr">
        <is>
          <t>Business fact</t>
        </is>
      </c>
      <c r="E43" s="2" t="n"/>
      <c r="F43" s="2" t="n"/>
      <c r="G43" s="2" t="n"/>
      <c r="H43" s="3" t="inlineStr">
        <is>
          <t>Annualised revenue per station EUR 224,000 in 2023 (+31%); volume per station 368 MWh (+49%); Fastned decreased prices in 2023 after energy markets stabilised.</t>
        </is>
      </c>
      <c r="I43" s="2" t="inlineStr">
        <is>
          <t>S1</t>
        </is>
      </c>
      <c r="J43" s="2" t="n">
        <v>36</v>
      </c>
      <c r="K43" s="3" t="inlineStr">
        <is>
          <t>Annualised revenue per station grew to €224,000, an increase of 31% from 2022.</t>
        </is>
      </c>
      <c r="L43" s="2" t="inlineStr">
        <is>
          <t>pend</t>
        </is>
      </c>
      <c r="M43" s="2" t="n"/>
      <c r="N43" s="2" t="n"/>
      <c r="O43" s="3" t="inlineStr">
        <is>
          <t>https://vanillabonds.com/dossier-data/pdf/fastned/fastned-2023-annual-report.pdf#page=36</t>
        </is>
      </c>
    </row>
    <row r="44">
      <c r="A44" s="2" t="inlineStr">
        <is>
          <t>F043</t>
        </is>
      </c>
      <c r="B44" s="2" t="inlineStr">
        <is>
          <t>business</t>
        </is>
      </c>
      <c r="C44" s="2" t="inlineStr">
        <is>
          <t>business_fact</t>
        </is>
      </c>
      <c r="D44" s="2" t="inlineStr">
        <is>
          <t>Business fact</t>
        </is>
      </c>
      <c r="E44" s="2" t="n"/>
      <c r="F44" s="2" t="n"/>
      <c r="G44" s="2" t="n"/>
      <c r="H44" s="3" t="inlineStr">
        <is>
          <t>Network utilisation 12.4% in 2023 (2022: 11.3%); like-for-like utilisation 18.5% in Q4 2023 (Q4 2022: 13.2%).</t>
        </is>
      </c>
      <c r="I44" s="2" t="inlineStr">
        <is>
          <t>S1</t>
        </is>
      </c>
      <c r="J44" s="2" t="n">
        <v>36</v>
      </c>
      <c r="K44" s="3" t="inlineStr">
        <is>
          <t>Network utilisation in 2023 was 12.4% versus 11.3% in 2022, driven by the higher number of sessions in 2023.</t>
        </is>
      </c>
      <c r="L44" s="2" t="inlineStr">
        <is>
          <t>pend</t>
        </is>
      </c>
      <c r="M44" s="2" t="n"/>
      <c r="N44" s="2" t="n"/>
      <c r="O44" s="3" t="inlineStr">
        <is>
          <t>https://vanillabonds.com/dossier-data/pdf/fastned/fastned-2023-annual-report.pdf#page=36</t>
        </is>
      </c>
    </row>
    <row r="45">
      <c r="A45" s="2" t="inlineStr">
        <is>
          <t>F044</t>
        </is>
      </c>
      <c r="B45" s="2" t="inlineStr">
        <is>
          <t>business</t>
        </is>
      </c>
      <c r="C45" s="2" t="inlineStr">
        <is>
          <t>business_fact</t>
        </is>
      </c>
      <c r="D45" s="2" t="inlineStr">
        <is>
          <t>Business fact</t>
        </is>
      </c>
      <c r="E45" s="2" t="n"/>
      <c r="F45" s="2" t="n"/>
      <c r="G45" s="2" t="n"/>
      <c r="H45" s="3" t="inlineStr">
        <is>
          <t>In 2023 Fastned started to capitalise directly attributable staff costs for design and construction; effect on underlying company EBITDA EUR 2.9m in 2023 (notes 3 and 12).</t>
        </is>
      </c>
      <c r="I45" s="2" t="inlineStr">
        <is>
          <t>S1</t>
        </is>
      </c>
      <c r="J45" s="2" t="n">
        <v>37</v>
      </c>
      <c r="K45" s="3" t="inlineStr">
        <is>
          <t>For 2023, the effect of this capitalisation was €2.9 million.</t>
        </is>
      </c>
      <c r="L45" s="2" t="inlineStr">
        <is>
          <t>pend</t>
        </is>
      </c>
      <c r="M45" s="2" t="n"/>
      <c r="N45" s="2" t="n"/>
      <c r="O45" s="3" t="inlineStr">
        <is>
          <t>https://vanillabonds.com/dossier-data/pdf/fastned/fastned-2023-annual-report.pdf#page=37</t>
        </is>
      </c>
    </row>
    <row r="46">
      <c r="A46" s="2" t="inlineStr">
        <is>
          <t>F045</t>
        </is>
      </c>
      <c r="B46" s="2" t="inlineStr">
        <is>
          <t>business</t>
        </is>
      </c>
      <c r="C46" s="2" t="inlineStr">
        <is>
          <t>business_fact</t>
        </is>
      </c>
      <c r="D46" s="2" t="inlineStr">
        <is>
          <t>Business fact</t>
        </is>
      </c>
      <c r="E46" s="2" t="n"/>
      <c r="F46" s="2" t="n"/>
      <c r="G46" s="2" t="n"/>
      <c r="H46" s="3" t="inlineStr">
        <is>
          <t>Network operation costs EUR 21.1m in 2023 (2022: 12.4m, +70%); per charger EUR 14,000 (+12%), grid fees 90% of the increase per charger.</t>
        </is>
      </c>
      <c r="I46" s="2" t="inlineStr">
        <is>
          <t>S1</t>
        </is>
      </c>
      <c r="J46" s="2" t="n">
        <v>37</v>
      </c>
      <c r="K46" s="3" t="inlineStr">
        <is>
          <t>Network operation costs per charger, the more relevant number, increased by 12% to €14,000.</t>
        </is>
      </c>
      <c r="L46" s="2" t="inlineStr">
        <is>
          <t>pend</t>
        </is>
      </c>
      <c r="M46" s="2" t="n"/>
      <c r="N46" s="2" t="n"/>
      <c r="O46" s="3" t="inlineStr">
        <is>
          <t>https://vanillabonds.com/dossier-data/pdf/fastned/fastned-2023-annual-report.pdf#page=37</t>
        </is>
      </c>
    </row>
    <row r="47">
      <c r="A47" s="2" t="inlineStr">
        <is>
          <t>F046</t>
        </is>
      </c>
      <c r="B47" s="2" t="inlineStr">
        <is>
          <t>business</t>
        </is>
      </c>
      <c r="C47" s="2" t="inlineStr">
        <is>
          <t>business_fact</t>
        </is>
      </c>
      <c r="D47" s="2" t="inlineStr">
        <is>
          <t>Business fact</t>
        </is>
      </c>
      <c r="E47" s="2" t="n"/>
      <c r="F47" s="2" t="n"/>
      <c r="G47" s="2" t="n"/>
      <c r="H47" s="3" t="inlineStr">
        <is>
          <t>Share capital: authorised EUR 192,795 (19,279,506 shares of EUR 0.01); 19,152,877 shares issued and outstanding at 31 Dec 2023.</t>
        </is>
      </c>
      <c r="I47" s="2" t="inlineStr">
        <is>
          <t>S1</t>
        </is>
      </c>
      <c r="J47" s="2" t="n">
        <v>63</v>
      </c>
      <c r="K47" s="3" t="inlineStr">
        <is>
          <t>On 31 December 2023, a total of 19,152,877 were issued and outstanding.</t>
        </is>
      </c>
      <c r="L47" s="2" t="inlineStr">
        <is>
          <t>pend</t>
        </is>
      </c>
      <c r="M47" s="2" t="n"/>
      <c r="N47" s="2" t="n"/>
      <c r="O47" s="3" t="inlineStr">
        <is>
          <t>https://vanillabonds.com/dossier-data/pdf/fastned/fastned-2023-annual-report.pdf#page=63</t>
        </is>
      </c>
    </row>
    <row r="48">
      <c r="A48" s="2" t="inlineStr">
        <is>
          <t>F047</t>
        </is>
      </c>
      <c r="B48" s="2" t="inlineStr">
        <is>
          <t>business</t>
        </is>
      </c>
      <c r="C48" s="2" t="inlineStr">
        <is>
          <t>business_fact</t>
        </is>
      </c>
      <c r="D48" s="2" t="inlineStr">
        <is>
          <t>Business fact</t>
        </is>
      </c>
      <c r="E48" s="2" t="n"/>
      <c r="F48" s="2" t="n"/>
      <c r="G48" s="2" t="n"/>
      <c r="H48" s="3" t="inlineStr">
        <is>
          <t>Operational EBITDA per station EUR 88k in 2023 (2022: 39k); network operation costs per charger EUR 14k (2022: 13k).</t>
        </is>
      </c>
      <c r="I48" s="2" t="inlineStr">
        <is>
          <t>S1</t>
        </is>
      </c>
      <c r="J48" s="2" t="n">
        <v>89</v>
      </c>
      <c r="K48" s="2" t="inlineStr">
        <is>
          <t>Operational EBITDA per station 88 39</t>
        </is>
      </c>
      <c r="L48" s="2" t="inlineStr">
        <is>
          <t>pend</t>
        </is>
      </c>
      <c r="M48" s="2" t="n"/>
      <c r="N48" s="2" t="n"/>
      <c r="O48" s="3" t="inlineStr">
        <is>
          <t>https://vanillabonds.com/dossier-data/pdf/fastned/fastned-2023-annual-report.pdf#page=89</t>
        </is>
      </c>
    </row>
    <row r="49">
      <c r="A49" s="2" t="inlineStr">
        <is>
          <t>F048</t>
        </is>
      </c>
      <c r="B49" s="2" t="inlineStr">
        <is>
          <t>business</t>
        </is>
      </c>
      <c r="C49" s="2" t="inlineStr">
        <is>
          <t>business_fact</t>
        </is>
      </c>
      <c r="D49" s="2" t="inlineStr">
        <is>
          <t>Business fact</t>
        </is>
      </c>
      <c r="E49" s="2" t="n"/>
      <c r="F49" s="2" t="n"/>
      <c r="G49" s="2" t="n"/>
      <c r="H49" s="3" t="inlineStr">
        <is>
          <t>Provisions (non-current) EUR 13.3m at end 2023 (2022: EUR 10.0m), note 20.</t>
        </is>
      </c>
      <c r="I49" s="2" t="inlineStr">
        <is>
          <t>S1</t>
        </is>
      </c>
      <c r="J49" s="2" t="n">
        <v>93</v>
      </c>
      <c r="K49" s="2" t="inlineStr">
        <is>
          <t>Provisions 20 13,316 9,979</t>
        </is>
      </c>
      <c r="L49" s="2" t="inlineStr">
        <is>
          <t>pend</t>
        </is>
      </c>
      <c r="M49" s="2" t="n"/>
      <c r="N49" s="2" t="n"/>
      <c r="O49" s="3" t="inlineStr">
        <is>
          <t>https://vanillabonds.com/dossier-data/pdf/fastned/fastned-2023-annual-report.pdf#page=93</t>
        </is>
      </c>
    </row>
    <row r="50">
      <c r="A50" s="2" t="inlineStr">
        <is>
          <t>F049</t>
        </is>
      </c>
      <c r="B50" s="2" t="inlineStr">
        <is>
          <t>business</t>
        </is>
      </c>
      <c r="C50" s="2" t="inlineStr">
        <is>
          <t>business_fact</t>
        </is>
      </c>
      <c r="D50" s="2" t="inlineStr">
        <is>
          <t>Business fact</t>
        </is>
      </c>
      <c r="E50" s="2" t="n"/>
      <c r="F50" s="2" t="n"/>
      <c r="G50" s="2" t="n"/>
      <c r="H50" s="3" t="inlineStr">
        <is>
          <t>Property, plant and equipment EUR 186.0m and right-of-use assets EUR 19.6m at end 2023 (2022: 137.0m and 8.7m).</t>
        </is>
      </c>
      <c r="I50" s="2" t="inlineStr">
        <is>
          <t>S1</t>
        </is>
      </c>
      <c r="J50" s="2" t="n">
        <v>93</v>
      </c>
      <c r="K50" s="3" t="inlineStr">
        <is>
          <t>Property, plant and equipment 12 185,991 136,967</t>
        </is>
      </c>
      <c r="L50" s="2" t="inlineStr">
        <is>
          <t>pend</t>
        </is>
      </c>
      <c r="M50" s="2" t="n"/>
      <c r="N50" s="2" t="n"/>
      <c r="O50" s="3" t="inlineStr">
        <is>
          <t>https://vanillabonds.com/dossier-data/pdf/fastned/fastned-2023-annual-report.pdf#page=93</t>
        </is>
      </c>
    </row>
    <row r="51">
      <c r="A51" s="2" t="inlineStr">
        <is>
          <t>F050</t>
        </is>
      </c>
      <c r="B51" s="2" t="inlineStr">
        <is>
          <t>business</t>
        </is>
      </c>
      <c r="C51" s="2" t="inlineStr">
        <is>
          <t>business_fact</t>
        </is>
      </c>
      <c r="D51" s="2" t="inlineStr">
        <is>
          <t>Business fact</t>
        </is>
      </c>
      <c r="E51" s="2" t="n"/>
      <c r="F51" s="2" t="n"/>
      <c r="G51" s="2" t="n"/>
      <c r="H51" s="3" t="inlineStr">
        <is>
          <t>Trade and other receivables EUR 12.4m (2022: 8.5m), prepayments EUR 7.0m (2022: 5.3m), trade and other payables EUR 15.6m (2022: 21.6m) at end 2023.</t>
        </is>
      </c>
      <c r="I51" s="2" t="inlineStr">
        <is>
          <t>S1</t>
        </is>
      </c>
      <c r="J51" s="2" t="n">
        <v>93</v>
      </c>
      <c r="K51" s="3" t="inlineStr">
        <is>
          <t>Trade and other receivables 15 12,355 8,506</t>
        </is>
      </c>
      <c r="L51" s="2" t="inlineStr">
        <is>
          <t>pend</t>
        </is>
      </c>
      <c r="M51" s="2" t="n"/>
      <c r="N51" s="2" t="n"/>
      <c r="O51" s="3" t="inlineStr">
        <is>
          <t>https://vanillabonds.com/dossier-data/pdf/fastned/fastned-2023-annual-report.pdf#page=93</t>
        </is>
      </c>
    </row>
    <row r="52">
      <c r="A52" s="2" t="inlineStr">
        <is>
          <t>F051</t>
        </is>
      </c>
      <c r="B52" s="2" t="inlineStr">
        <is>
          <t>business</t>
        </is>
      </c>
      <c r="C52" s="2" t="inlineStr">
        <is>
          <t>business_fact</t>
        </is>
      </c>
      <c r="D52" s="2" t="inlineStr">
        <is>
          <t>Business fact</t>
        </is>
      </c>
      <c r="E52" s="2" t="n"/>
      <c r="F52" s="2" t="n"/>
      <c r="G52" s="2" t="n"/>
      <c r="H52" s="3" t="inlineStr">
        <is>
          <t>Financing cash flows 2023 include advances made to other parties of EUR 6.9m (2022: EUR 9.5m), note 14.4.</t>
        </is>
      </c>
      <c r="I52" s="2" t="inlineStr">
        <is>
          <t>S1</t>
        </is>
      </c>
      <c r="J52" s="2" t="n">
        <v>95</v>
      </c>
      <c r="K52" s="3" t="inlineStr">
        <is>
          <t>Receipts (repayments) of advances made to other parties 14.4 (6,930) (9,503)</t>
        </is>
      </c>
      <c r="L52" s="2" t="inlineStr">
        <is>
          <t>pend</t>
        </is>
      </c>
      <c r="M52" s="2" t="n"/>
      <c r="N52" s="2" t="n"/>
      <c r="O52" s="3" t="inlineStr">
        <is>
          <t>https://vanillabonds.com/dossier-data/pdf/fastned/fastned-2023-annual-report.pdf#page=95</t>
        </is>
      </c>
    </row>
    <row r="53">
      <c r="A53" s="2" t="inlineStr">
        <is>
          <t>F052</t>
        </is>
      </c>
      <c r="B53" s="2" t="inlineStr">
        <is>
          <t>business</t>
        </is>
      </c>
      <c r="C53" s="2" t="inlineStr">
        <is>
          <t>business_fact</t>
        </is>
      </c>
      <c r="D53" s="2" t="inlineStr">
        <is>
          <t>Business fact</t>
        </is>
      </c>
      <c r="E53" s="2" t="n"/>
      <c r="F53" s="2" t="n"/>
      <c r="G53" s="2" t="n"/>
      <c r="H53" s="3" t="inlineStr">
        <is>
          <t>Interest paid EUR 9.1m and interest received EUR 2.7m in 2023 (2022: 7.2m and 0.2m), classified as operating cash flows.</t>
        </is>
      </c>
      <c r="I53" s="2" t="inlineStr">
        <is>
          <t>S1</t>
        </is>
      </c>
      <c r="J53" s="2" t="n">
        <v>95</v>
      </c>
      <c r="K53" s="2" t="inlineStr">
        <is>
          <t>Interest paid 13 &amp; 14.4 (9,115) (7,223)</t>
        </is>
      </c>
      <c r="L53" s="2" t="inlineStr">
        <is>
          <t>pend</t>
        </is>
      </c>
      <c r="M53" s="2" t="n"/>
      <c r="N53" s="2" t="n"/>
      <c r="O53" s="3" t="inlineStr">
        <is>
          <t>https://vanillabonds.com/dossier-data/pdf/fastned/fastned-2023-annual-report.pdf#page=95</t>
        </is>
      </c>
    </row>
    <row r="54">
      <c r="A54" s="2" t="inlineStr">
        <is>
          <t>F053</t>
        </is>
      </c>
      <c r="B54" s="2" t="inlineStr">
        <is>
          <t>business</t>
        </is>
      </c>
      <c r="C54" s="2" t="inlineStr">
        <is>
          <t>business_fact</t>
        </is>
      </c>
      <c r="D54" s="2" t="inlineStr">
        <is>
          <t>Business fact</t>
        </is>
      </c>
      <c r="E54" s="2" t="n"/>
      <c r="F54" s="2" t="n"/>
      <c r="G54" s="2" t="n"/>
      <c r="H54" s="3" t="inlineStr">
        <is>
          <t>Share-based payment expense EUR 3.2m in 2023 (2022: nil), credited to equity.</t>
        </is>
      </c>
      <c r="I54" s="2" t="inlineStr">
        <is>
          <t>S1</t>
        </is>
      </c>
      <c r="J54" s="2" t="n">
        <v>95</v>
      </c>
      <c r="K54" s="2" t="inlineStr">
        <is>
          <t>Share-based payments 22 3,238 —</t>
        </is>
      </c>
      <c r="L54" s="2" t="inlineStr">
        <is>
          <t>pend</t>
        </is>
      </c>
      <c r="M54" s="2" t="n"/>
      <c r="N54" s="2" t="n"/>
      <c r="O54" s="3" t="inlineStr">
        <is>
          <t>https://vanillabonds.com/dossier-data/pdf/fastned/fastned-2023-annual-report.pdf#page=95</t>
        </is>
      </c>
    </row>
    <row r="55">
      <c r="A55" s="2" t="inlineStr">
        <is>
          <t>F054</t>
        </is>
      </c>
      <c r="B55" s="2" t="inlineStr">
        <is>
          <t>business</t>
        </is>
      </c>
      <c r="C55" s="2" t="inlineStr">
        <is>
          <t>business_fact</t>
        </is>
      </c>
      <c r="D55" s="2" t="inlineStr">
        <is>
          <t>Business fact</t>
        </is>
      </c>
      <c r="E55" s="2" t="n"/>
      <c r="F55" s="2" t="n"/>
      <c r="G55" s="2" t="n"/>
      <c r="H55" s="3" t="inlineStr">
        <is>
          <t>Revenue sources: electricity sales (standard price per kWh or subscription with monthly fee), maintenance fees from Fastned Terra 1 B.V. until 29 Dec 2023, renewable energy units (HBE), station construction under service concessions.</t>
        </is>
      </c>
      <c r="I55" s="2" t="inlineStr">
        <is>
          <t>S1</t>
        </is>
      </c>
      <c r="J55" s="2" t="n">
        <v>101</v>
      </c>
      <c r="K55" s="3" t="inlineStr">
        <is>
          <t>Fastned operates and maintains chargers from Fastned Terra 1 B.V. up until 29 December 2023.</t>
        </is>
      </c>
      <c r="L55" s="2" t="inlineStr">
        <is>
          <t>pend</t>
        </is>
      </c>
      <c r="M55" s="2" t="n"/>
      <c r="N55" s="2" t="n"/>
      <c r="O55" s="3" t="inlineStr">
        <is>
          <t>https://vanillabonds.com/dossier-data/pdf/fastned/fastned-2023-annual-report.pdf#page=101</t>
        </is>
      </c>
    </row>
    <row r="56">
      <c r="A56" s="2" t="inlineStr">
        <is>
          <t>F055</t>
        </is>
      </c>
      <c r="B56" s="2" t="inlineStr">
        <is>
          <t>business</t>
        </is>
      </c>
      <c r="C56" s="2" t="inlineStr">
        <is>
          <t>business_fact</t>
        </is>
      </c>
      <c r="D56" s="2" t="inlineStr">
        <is>
          <t>Business fact</t>
        </is>
      </c>
      <c r="E56" s="2" t="n"/>
      <c r="F56" s="2" t="n"/>
      <c r="G56" s="2" t="n"/>
      <c r="H56" s="3" t="inlineStr">
        <is>
          <t>Depreciation: charging stations and technical installations over 15 or 8 years, transformers 30 years, other operating assets 5 years, straight-line.</t>
        </is>
      </c>
      <c r="I56" s="2" t="inlineStr">
        <is>
          <t>S1</t>
        </is>
      </c>
      <c r="J56" s="2" t="n">
        <v>107</v>
      </c>
      <c r="K56" s="3" t="inlineStr">
        <is>
          <t>Charging stations and technical installations 6.66% per year/ 15 year or 12.5% per year/ 8 years</t>
        </is>
      </c>
      <c r="L56" s="2" t="inlineStr">
        <is>
          <t>pend</t>
        </is>
      </c>
      <c r="M56" s="2" t="n"/>
      <c r="N56" s="2" t="n"/>
      <c r="O56" s="3" t="inlineStr">
        <is>
          <t>https://vanillabonds.com/dossier-data/pdf/fastned/fastned-2023-annual-report.pdf#page=107</t>
        </is>
      </c>
    </row>
    <row r="57">
      <c r="A57" s="2" t="inlineStr">
        <is>
          <t>F056</t>
        </is>
      </c>
      <c r="B57" s="2" t="inlineStr">
        <is>
          <t>business</t>
        </is>
      </c>
      <c r="C57" s="2" t="inlineStr">
        <is>
          <t>business_fact</t>
        </is>
      </c>
      <c r="D57" s="2" t="inlineStr">
        <is>
          <t>Business fact</t>
        </is>
      </c>
      <c r="E57" s="2" t="n"/>
      <c r="F57" s="2" t="n"/>
      <c r="G57" s="2" t="n"/>
      <c r="H57" s="3" t="inlineStr">
        <is>
          <t>Decommissioning provision assumptions: removal cost EUR 3-131k per station, 1-27 years to expiry, inflation 2.1%, discount rate 2.25% based on the 20-year Eurozone bond.</t>
        </is>
      </c>
      <c r="I57" s="2" t="inlineStr">
        <is>
          <t>S1</t>
        </is>
      </c>
      <c r="J57" s="2" t="n">
        <v>115</v>
      </c>
      <c r="K57" s="3" t="inlineStr">
        <is>
          <t>Discount rate of 2.25% (2022: 2.47%) based on the 20 year Eurozone bond</t>
        </is>
      </c>
      <c r="L57" s="2" t="inlineStr">
        <is>
          <t>pend</t>
        </is>
      </c>
      <c r="M57" s="2" t="n"/>
      <c r="N57" s="2" t="n"/>
      <c r="O57" s="3" t="inlineStr">
        <is>
          <t>https://vanillabonds.com/dossier-data/pdf/fastned/fastned-2023-annual-report.pdf#page=115</t>
        </is>
      </c>
    </row>
    <row r="58">
      <c r="A58" s="2" t="inlineStr">
        <is>
          <t>F057</t>
        </is>
      </c>
      <c r="B58" s="2" t="inlineStr">
        <is>
          <t>business</t>
        </is>
      </c>
      <c r="C58" s="2" t="inlineStr">
        <is>
          <t>business_fact</t>
        </is>
      </c>
      <c r="D58" s="2" t="inlineStr">
        <is>
          <t>Business fact</t>
        </is>
      </c>
      <c r="E58" s="2" t="n"/>
      <c r="F58" s="2" t="n"/>
      <c r="G58" s="2" t="n"/>
      <c r="H58" s="3" t="inlineStr">
        <is>
          <t>Revenue 2023 by type: sales of electricity EUR 56,981k, renewable energy units (HBEs) 3,372k, maintenance and other 157k, UK service-concession construction 4k.</t>
        </is>
      </c>
      <c r="I58" s="2" t="inlineStr">
        <is>
          <t>S1</t>
        </is>
      </c>
      <c r="J58" s="2" t="n">
        <v>118</v>
      </c>
      <c r="K58" s="3" t="inlineStr">
        <is>
          <t>Sales of electricity Goods transferred at a point in time 56,981 32,430</t>
        </is>
      </c>
      <c r="L58" s="2" t="inlineStr">
        <is>
          <t>pend</t>
        </is>
      </c>
      <c r="M58" s="2" t="n"/>
      <c r="N58" s="2" t="n"/>
      <c r="O58" s="3" t="inlineStr">
        <is>
          <t>https://vanillabonds.com/dossier-data/pdf/fastned/fastned-2023-annual-report.pdf#page=118</t>
        </is>
      </c>
    </row>
    <row r="59">
      <c r="A59" s="2" t="inlineStr">
        <is>
          <t>F058</t>
        </is>
      </c>
      <c r="B59" s="2" t="inlineStr">
        <is>
          <t>business</t>
        </is>
      </c>
      <c r="C59" s="2" t="inlineStr">
        <is>
          <t>business_fact</t>
        </is>
      </c>
      <c r="D59" s="2" t="inlineStr">
        <is>
          <t>Business fact</t>
        </is>
      </c>
      <c r="E59" s="2" t="n"/>
      <c r="F59" s="2" t="n"/>
      <c r="G59" s="2" t="n"/>
      <c r="H59" s="3" t="inlineStr">
        <is>
          <t>Seven geographical operating segments; CH, IT, ES and DK are presented together as Other Europe given their limited size.</t>
        </is>
      </c>
      <c r="I59" s="2" t="inlineStr">
        <is>
          <t>S1</t>
        </is>
      </c>
      <c r="J59" s="2" t="n">
        <v>119</v>
      </c>
      <c r="K59" s="3" t="inlineStr">
        <is>
          <t>Given the limited size of the operating segments in Switzerland, Italy, Spain and Denmark these have been presented together as one reportable segment (Other Europe).</t>
        </is>
      </c>
      <c r="L59" s="2" t="inlineStr">
        <is>
          <t>pend</t>
        </is>
      </c>
      <c r="M59" s="2" t="n"/>
      <c r="N59" s="2" t="n"/>
      <c r="O59" s="3" t="inlineStr">
        <is>
          <t>https://vanillabonds.com/dossier-data/pdf/fastned/fastned-2023-annual-report.pdf#page=119</t>
        </is>
      </c>
    </row>
    <row r="60">
      <c r="A60" s="2" t="inlineStr">
        <is>
          <t>F059</t>
        </is>
      </c>
      <c r="B60" s="2" t="inlineStr">
        <is>
          <t>business</t>
        </is>
      </c>
      <c r="C60" s="2" t="inlineStr">
        <is>
          <t>business_fact</t>
        </is>
      </c>
      <c r="D60" s="2" t="inlineStr">
        <is>
          <t>Business fact</t>
        </is>
      </c>
      <c r="E60" s="2" t="n"/>
      <c r="F60" s="2" t="n"/>
      <c r="G60" s="2" t="n"/>
      <c r="H60" s="3" t="inlineStr">
        <is>
          <t>Additions to non-current assets by segment 2023: NL 32,960k, DE 5,148k, UK 9,520k, BE 9,098k, FR 12,315k, Other Europe 8,745k, total EUR 77,786k.</t>
        </is>
      </c>
      <c r="I60" s="2" t="inlineStr">
        <is>
          <t>S1</t>
        </is>
      </c>
      <c r="J60" s="2" t="n">
        <v>120</v>
      </c>
      <c r="K60" s="3" t="inlineStr">
        <is>
          <t>Additions to non-current assets 32,960 5,148 9,520 9,098 12,315 8,745 77,786</t>
        </is>
      </c>
      <c r="L60" s="2" t="inlineStr">
        <is>
          <t>pend</t>
        </is>
      </c>
      <c r="M60" s="2" t="n"/>
      <c r="N60" s="2" t="n"/>
      <c r="O60" s="3" t="inlineStr">
        <is>
          <t>https://vanillabonds.com/dossier-data/pdf/fastned/fastned-2023-annual-report.pdf#page=120</t>
        </is>
      </c>
    </row>
    <row r="61">
      <c r="A61" s="2" t="inlineStr">
        <is>
          <t>F060</t>
        </is>
      </c>
      <c r="B61" s="2" t="inlineStr">
        <is>
          <t>business</t>
        </is>
      </c>
      <c r="C61" s="2" t="inlineStr">
        <is>
          <t>business_fact</t>
        </is>
      </c>
      <c r="D61" s="2" t="inlineStr">
        <is>
          <t>Business fact</t>
        </is>
      </c>
      <c r="E61" s="2" t="n"/>
      <c r="F61" s="2" t="n"/>
      <c r="G61" s="2" t="n"/>
      <c r="H61" s="3" t="inlineStr">
        <is>
          <t>Cost of sales of electricity EUR 15,611k in 2023 (2022: 15,486k) on electricity revenue of 56,981k (2022: 32,430k).</t>
        </is>
      </c>
      <c r="I61" s="2" t="inlineStr">
        <is>
          <t>S1</t>
        </is>
      </c>
      <c r="J61" s="2" t="n">
        <v>123</v>
      </c>
      <c r="K61" s="2" t="inlineStr">
        <is>
          <t>Sales of electricity 15,611 15,486</t>
        </is>
      </c>
      <c r="L61" s="2" t="inlineStr">
        <is>
          <t>pend</t>
        </is>
      </c>
      <c r="M61" s="2" t="n"/>
      <c r="N61" s="2" t="n"/>
      <c r="O61" s="3" t="inlineStr">
        <is>
          <t>https://vanillabonds.com/dossier-data/pdf/fastned/fastned-2023-annual-report.pdf#page=123</t>
        </is>
      </c>
    </row>
    <row r="62">
      <c r="A62" s="2" t="inlineStr">
        <is>
          <t>F061</t>
        </is>
      </c>
      <c r="B62" s="2" t="inlineStr">
        <is>
          <t>business</t>
        </is>
      </c>
      <c r="C62" s="2" t="inlineStr">
        <is>
          <t>business_fact</t>
        </is>
      </c>
      <c r="D62" s="2" t="inlineStr">
        <is>
          <t>Business fact</t>
        </is>
      </c>
      <c r="E62" s="2" t="n"/>
      <c r="F62" s="2" t="n"/>
      <c r="G62" s="2" t="n"/>
      <c r="H62" s="3" t="inlineStr">
        <is>
          <t>Administrative expenses EUR 33,104k in 2023 (2022: 20,431k), incl. wages and salaries 13,055k and depreciation of PP&amp;E 13,736k.</t>
        </is>
      </c>
      <c r="I62" s="2" t="inlineStr">
        <is>
          <t>S1</t>
        </is>
      </c>
      <c r="J62" s="2" t="n">
        <v>123</v>
      </c>
      <c r="K62" s="3" t="inlineStr">
        <is>
          <t>Total administrative expenses 33,104 20,431</t>
        </is>
      </c>
      <c r="L62" s="2" t="inlineStr">
        <is>
          <t>pend</t>
        </is>
      </c>
      <c r="M62" s="2" t="n"/>
      <c r="N62" s="2" t="n"/>
      <c r="O62" s="3" t="inlineStr">
        <is>
          <t>https://vanillabonds.com/dossier-data/pdf/fastned/fastned-2023-annual-report.pdf#page=123</t>
        </is>
      </c>
    </row>
    <row r="63">
      <c r="A63" s="2" t="inlineStr">
        <is>
          <t>F062</t>
        </is>
      </c>
      <c r="B63" s="2" t="inlineStr">
        <is>
          <t>business</t>
        </is>
      </c>
      <c r="C63" s="2" t="inlineStr">
        <is>
          <t>business_fact</t>
        </is>
      </c>
      <c r="D63" s="2" t="inlineStr">
        <is>
          <t>Business fact</t>
        </is>
      </c>
      <c r="E63" s="2" t="n"/>
      <c r="F63" s="2" t="n"/>
      <c r="G63" s="2" t="n"/>
      <c r="H63" s="3" t="inlineStr">
        <is>
          <t>Other operating expenses EUR 11,720k in 2023 (2022: 7,827k), incl. advisory costs 3,105k and marketing 2,520k.</t>
        </is>
      </c>
      <c r="I63" s="2" t="inlineStr">
        <is>
          <t>S1</t>
        </is>
      </c>
      <c r="J63" s="2" t="n">
        <v>124</v>
      </c>
      <c r="K63" s="3" t="inlineStr">
        <is>
          <t>Total other operating expenses 11,720 7,827</t>
        </is>
      </c>
      <c r="L63" s="2" t="inlineStr">
        <is>
          <t>pend</t>
        </is>
      </c>
      <c r="M63" s="2" t="n"/>
      <c r="N63" s="2" t="n"/>
      <c r="O63" s="3" t="inlineStr">
        <is>
          <t>https://vanillabonds.com/dossier-data/pdf/fastned/fastned-2023-annual-report.pdf#page=124</t>
        </is>
      </c>
    </row>
    <row r="64">
      <c r="A64" s="2" t="inlineStr">
        <is>
          <t>F063</t>
        </is>
      </c>
      <c r="B64" s="2" t="inlineStr">
        <is>
          <t>business</t>
        </is>
      </c>
      <c r="C64" s="2" t="inlineStr">
        <is>
          <t>business_fact</t>
        </is>
      </c>
      <c r="D64" s="2" t="inlineStr">
        <is>
          <t>Business fact</t>
        </is>
      </c>
      <c r="E64" s="2" t="n"/>
      <c r="F64" s="2" t="n"/>
      <c r="G64" s="2" t="n"/>
      <c r="H64" s="3" t="inlineStr">
        <is>
          <t>Pensions: defined contribution plans in NL, BE and UK costing EUR 0.6m (2022: 0.4m); no company pension plan yet in DE, CH, FR, ES, IT and DK.</t>
        </is>
      </c>
      <c r="I64" s="2" t="inlineStr">
        <is>
          <t>S1</t>
        </is>
      </c>
      <c r="J64" s="2" t="n">
        <v>124</v>
      </c>
      <c r="K64" s="3" t="inlineStr">
        <is>
          <t>Fastned does not (yet) operate a company pension plan for staff in Germany, Switzerland, France, Spain, Italy and Denmark.</t>
        </is>
      </c>
      <c r="L64" s="2" t="inlineStr">
        <is>
          <t>pend</t>
        </is>
      </c>
      <c r="M64" s="2" t="n"/>
      <c r="N64" s="2" t="n"/>
      <c r="O64" s="3" t="inlineStr">
        <is>
          <t>https://vanillabonds.com/dossier-data/pdf/fastned/fastned-2023-annual-report.pdf#page=124</t>
        </is>
      </c>
    </row>
    <row r="65">
      <c r="A65" s="2" t="inlineStr">
        <is>
          <t>F064</t>
        </is>
      </c>
      <c r="B65" s="2" t="inlineStr">
        <is>
          <t>business</t>
        </is>
      </c>
      <c r="C65" s="2" t="inlineStr">
        <is>
          <t>business_fact</t>
        </is>
      </c>
      <c r="D65" s="2" t="inlineStr">
        <is>
          <t>Business fact</t>
        </is>
      </c>
      <c r="E65" s="2" t="n"/>
      <c r="F65" s="2" t="n"/>
      <c r="G65" s="2" t="n"/>
      <c r="H65" s="3" t="inlineStr">
        <is>
          <t>Finance income of EUR 2,821k in 2023 (2022: 222k) from interest on surplus cash placed in short-term deposits.</t>
        </is>
      </c>
      <c r="I65" s="2" t="inlineStr">
        <is>
          <t>S1</t>
        </is>
      </c>
      <c r="J65" s="2" t="n">
        <v>125</v>
      </c>
      <c r="K65" s="2" t="inlineStr">
        <is>
          <t>Total finance income 2,821 222</t>
        </is>
      </c>
      <c r="L65" s="2" t="inlineStr">
        <is>
          <t>pend</t>
        </is>
      </c>
      <c r="M65" s="2" t="n"/>
      <c r="N65" s="2" t="n"/>
      <c r="O65" s="3" t="inlineStr">
        <is>
          <t>https://vanillabonds.com/dossier-data/pdf/fastned/fastned-2023-annual-report.pdf#page=125</t>
        </is>
      </c>
    </row>
    <row r="66">
      <c r="A66" s="2" t="inlineStr">
        <is>
          <t>F065</t>
        </is>
      </c>
      <c r="B66" s="2" t="inlineStr">
        <is>
          <t>business</t>
        </is>
      </c>
      <c r="C66" s="2" t="inlineStr">
        <is>
          <t>business_fact</t>
        </is>
      </c>
      <c r="D66" s="2" t="inlineStr">
        <is>
          <t>Business fact</t>
        </is>
      </c>
      <c r="E66" s="2" t="n"/>
      <c r="F66" s="2" t="n"/>
      <c r="G66" s="2" t="n"/>
      <c r="H66" s="3" t="inlineStr">
        <is>
          <t>Basic and diluted loss per share EUR -1.00 in 2023 (2022: -1.27) on a weighted average of 19,233,641 shares.</t>
        </is>
      </c>
      <c r="I66" s="2" t="inlineStr">
        <is>
          <t>S1</t>
        </is>
      </c>
      <c r="J66" s="2" t="n">
        <v>128</v>
      </c>
      <c r="K66" s="2" t="inlineStr">
        <is>
          <t>Basic loss per share (1.00) (1.27)</t>
        </is>
      </c>
      <c r="L66" s="2" t="inlineStr">
        <is>
          <t>pend</t>
        </is>
      </c>
      <c r="M66" s="2" t="n"/>
      <c r="N66" s="2" t="n"/>
      <c r="O66" s="3" t="inlineStr">
        <is>
          <t>https://vanillabonds.com/dossier-data/pdf/fastned/fastned-2023-annual-report.pdf#page=128</t>
        </is>
      </c>
    </row>
    <row r="67">
      <c r="A67" s="2" t="inlineStr">
        <is>
          <t>F066</t>
        </is>
      </c>
      <c r="B67" s="2" t="inlineStr">
        <is>
          <t>business</t>
        </is>
      </c>
      <c r="C67" s="2" t="inlineStr">
        <is>
          <t>business_fact</t>
        </is>
      </c>
      <c r="D67" s="2" t="inlineStr">
        <is>
          <t>Business fact</t>
        </is>
      </c>
      <c r="E67" s="2" t="n"/>
      <c r="F67" s="2" t="n"/>
      <c r="G67" s="2" t="n"/>
      <c r="H67" s="3" t="inlineStr">
        <is>
          <t>PP&amp;E net book value EUR 185,991k at 31 Dec 2023 (2022: 136,967k), of which charging stations and technical installations 153,265k and construction in progress 30,436k.</t>
        </is>
      </c>
      <c r="I67" s="2" t="inlineStr">
        <is>
          <t>S1</t>
        </is>
      </c>
      <c r="J67" s="2" t="n">
        <v>130</v>
      </c>
      <c r="K67" s="3" t="inlineStr">
        <is>
          <t>At 31 December 2023 856 30,436 153,265 1,434 185,991</t>
        </is>
      </c>
      <c r="L67" s="2" t="inlineStr">
        <is>
          <t>pend</t>
        </is>
      </c>
      <c r="M67" s="2" t="n"/>
      <c r="N67" s="2" t="n"/>
      <c r="O67" s="3" t="inlineStr">
        <is>
          <t>https://vanillabonds.com/dossier-data/pdf/fastned/fastned-2023-annual-report.pdf#page=130</t>
        </is>
      </c>
    </row>
    <row r="68">
      <c r="A68" s="2" t="inlineStr">
        <is>
          <t>F067</t>
        </is>
      </c>
      <c r="B68" s="2" t="inlineStr">
        <is>
          <t>business</t>
        </is>
      </c>
      <c r="C68" s="2" t="inlineStr">
        <is>
          <t>business_fact</t>
        </is>
      </c>
      <c r="D68" s="2" t="inlineStr">
        <is>
          <t>Business fact</t>
        </is>
      </c>
      <c r="E68" s="2" t="n"/>
      <c r="F68" s="2" t="n"/>
      <c r="G68" s="2" t="n"/>
      <c r="H68" s="3" t="inlineStr">
        <is>
          <t>Government grants received EUR 2.61m in 2023 (2022: 774k); net book value of grants EUR 4.3m (2022: 1.79m).</t>
        </is>
      </c>
      <c r="I68" s="2" t="inlineStr">
        <is>
          <t>S1</t>
        </is>
      </c>
      <c r="J68" s="2" t="n">
        <v>131</v>
      </c>
      <c r="K68" s="3" t="inlineStr">
        <is>
          <t>Government grants received in 2023 amounts to € 2.61 million (2022: €774 thousand). Net book value of the government grants amount to €4.3 million (2022: € 1.79 million).</t>
        </is>
      </c>
      <c r="L68" s="2" t="inlineStr">
        <is>
          <t>pend</t>
        </is>
      </c>
      <c r="M68" s="2" t="n"/>
      <c r="N68" s="2" t="n"/>
      <c r="O68" s="3" t="inlineStr">
        <is>
          <t>https://vanillabonds.com/dossier-data/pdf/fastned/fastned-2023-annual-report.pdf#page=131</t>
        </is>
      </c>
    </row>
    <row r="69">
      <c r="A69" s="2" t="inlineStr">
        <is>
          <t>F068</t>
        </is>
      </c>
      <c r="B69" s="2" t="inlineStr">
        <is>
          <t>business</t>
        </is>
      </c>
      <c r="C69" s="2" t="inlineStr">
        <is>
          <t>business_fact</t>
        </is>
      </c>
      <c r="D69" s="2" t="inlineStr">
        <is>
          <t>Business fact</t>
        </is>
      </c>
      <c r="E69" s="2" t="n"/>
      <c r="F69" s="2" t="n"/>
      <c r="G69" s="2" t="n"/>
      <c r="H69" s="3" t="inlineStr">
        <is>
          <t>As of 2023 directly attributable staff costs are capitalised in PP&amp;E: EUR 2.9m in 2023, previously not estimable reliably.</t>
        </is>
      </c>
      <c r="I69" s="2" t="inlineStr">
        <is>
          <t>S1</t>
        </is>
      </c>
      <c r="J69" s="2" t="n">
        <v>131</v>
      </c>
      <c r="K69" s="3" t="inlineStr">
        <is>
          <t>Additions include the recognition of directly attributable staff costs for an amount of € 2.9 million, which costs couldn't be estimated reliably in the previous years.</t>
        </is>
      </c>
      <c r="L69" s="2" t="inlineStr">
        <is>
          <t>pend</t>
        </is>
      </c>
      <c r="M69" s="2" t="n"/>
      <c r="N69" s="2" t="n"/>
      <c r="O69" s="3" t="inlineStr">
        <is>
          <t>https://vanillabonds.com/dossier-data/pdf/fastned/fastned-2023-annual-report.pdf#page=131</t>
        </is>
      </c>
    </row>
    <row r="70">
      <c r="A70" s="2" t="inlineStr">
        <is>
          <t>F069</t>
        </is>
      </c>
      <c r="B70" s="2" t="inlineStr">
        <is>
          <t>business</t>
        </is>
      </c>
      <c r="C70" s="2" t="inlineStr">
        <is>
          <t>business_fact</t>
        </is>
      </c>
      <c r="D70" s="2" t="inlineStr">
        <is>
          <t>Business fact</t>
        </is>
      </c>
      <c r="E70" s="2" t="n"/>
      <c r="F70" s="2" t="n"/>
      <c r="G70" s="2" t="n"/>
      <c r="H70" s="3" t="inlineStr">
        <is>
          <t>No borrowing costs capitalised in 2023 or 2022; impairment review identified no indication that assets may be impaired.</t>
        </is>
      </c>
      <c r="I70" s="2" t="inlineStr">
        <is>
          <t>S1</t>
        </is>
      </c>
      <c r="J70" s="2" t="n">
        <v>131</v>
      </c>
      <c r="K70" s="3" t="inlineStr">
        <is>
          <t>The review did not identify any indication that assets may be impaired.</t>
        </is>
      </c>
      <c r="L70" s="2" t="inlineStr">
        <is>
          <t>pend</t>
        </is>
      </c>
      <c r="M70" s="2" t="n"/>
      <c r="N70" s="2" t="n"/>
      <c r="O70" s="3" t="inlineStr">
        <is>
          <t>https://vanillabonds.com/dossier-data/pdf/fastned/fastned-2023-annual-report.pdf#page=131</t>
        </is>
      </c>
    </row>
    <row r="71">
      <c r="A71" s="2" t="inlineStr">
        <is>
          <t>F070</t>
        </is>
      </c>
      <c r="B71" s="2" t="inlineStr">
        <is>
          <t>business</t>
        </is>
      </c>
      <c r="C71" s="2" t="inlineStr">
        <is>
          <t>business_fact</t>
        </is>
      </c>
      <c r="D71" s="2" t="inlineStr">
        <is>
          <t>Business fact</t>
        </is>
      </c>
      <c r="E71" s="2" t="n"/>
      <c r="F71" s="2" t="n"/>
      <c r="G71" s="2" t="n"/>
      <c r="H71" s="3" t="inlineStr">
        <is>
          <t>Right-of-use assets EUR 19,569k at 31 Dec 2023 (2022: 8,719k): office 5,610k, land 9,046k, charging stations and equipment 3,493k, vehicles 1,420k.</t>
        </is>
      </c>
      <c r="I71" s="2" t="inlineStr">
        <is>
          <t>S1</t>
        </is>
      </c>
      <c r="J71" s="2" t="n">
        <v>132</v>
      </c>
      <c r="K71" s="3" t="inlineStr">
        <is>
          <t>At 31 December 2023 5,610 9,046 3,493 1,420 19,569</t>
        </is>
      </c>
      <c r="L71" s="2" t="inlineStr">
        <is>
          <t>pend</t>
        </is>
      </c>
      <c r="M71" s="2" t="n"/>
      <c r="N71" s="2" t="n"/>
      <c r="O71" s="3" t="inlineStr">
        <is>
          <t>https://vanillabonds.com/dossier-data/pdf/fastned/fastned-2023-annual-report.pdf#page=132</t>
        </is>
      </c>
    </row>
    <row r="72">
      <c r="A72" s="2" t="inlineStr">
        <is>
          <t>F071</t>
        </is>
      </c>
      <c r="B72" s="2" t="inlineStr">
        <is>
          <t>business</t>
        </is>
      </c>
      <c r="C72" s="2" t="inlineStr">
        <is>
          <t>business_fact</t>
        </is>
      </c>
      <c r="D72" s="2" t="inlineStr">
        <is>
          <t>Business fact</t>
        </is>
      </c>
      <c r="E72" s="2" t="n"/>
      <c r="F72" s="2" t="n"/>
      <c r="G72" s="2" t="n"/>
      <c r="H72" s="3" t="inlineStr">
        <is>
          <t>Lease cash outflow 2023 EUR 3,656k for lease liabilities plus 419k for short-term and low-value leases; average land lease term 16 years (2022: 14).</t>
        </is>
      </c>
      <c r="I72" s="2" t="inlineStr">
        <is>
          <t>S1</t>
        </is>
      </c>
      <c r="J72" s="2" t="n">
        <v>133</v>
      </c>
      <c r="K72" s="3" t="inlineStr">
        <is>
          <t>The total cash outflow in 2023 for leases amounted to €3,656 thousand (2022: €1,803 thousand) for lease liabilities</t>
        </is>
      </c>
      <c r="L72" s="2" t="inlineStr">
        <is>
          <t>pend</t>
        </is>
      </c>
      <c r="M72" s="2" t="n"/>
      <c r="N72" s="2" t="n"/>
      <c r="O72" s="3" t="inlineStr">
        <is>
          <t>https://vanillabonds.com/dossier-data/pdf/fastned/fastned-2023-annual-report.pdf#page=133</t>
        </is>
      </c>
    </row>
    <row r="73">
      <c r="A73" s="2" t="inlineStr">
        <is>
          <t>F072</t>
        </is>
      </c>
      <c r="B73" s="2" t="inlineStr">
        <is>
          <t>business</t>
        </is>
      </c>
      <c r="C73" s="2" t="inlineStr">
        <is>
          <t>business_fact</t>
        </is>
      </c>
      <c r="D73" s="2" t="inlineStr">
        <is>
          <t>Business fact</t>
        </is>
      </c>
      <c r="E73" s="2" t="n"/>
      <c r="F73" s="2" t="n"/>
      <c r="G73" s="2" t="n"/>
      <c r="H73" s="3" t="inlineStr">
        <is>
          <t>2023 financing cash flows on borrowings: loan issue 48,094k net of repayments, interest paid 6,795k; interest charge 7,152k; bond extensions net nil.</t>
        </is>
      </c>
      <c r="I73" s="2" t="inlineStr">
        <is>
          <t>S1</t>
        </is>
      </c>
      <c r="J73" s="2" t="n">
        <v>137</v>
      </c>
      <c r="K73" s="3" t="inlineStr">
        <is>
          <t>112,906 7,152 48,094 (6,795) (357) — 160,999</t>
        </is>
      </c>
      <c r="L73" s="2" t="inlineStr">
        <is>
          <t>pend</t>
        </is>
      </c>
      <c r="M73" s="2" t="n"/>
      <c r="N73" s="2" t="n"/>
      <c r="O73" s="3" t="inlineStr">
        <is>
          <t>https://vanillabonds.com/dossier-data/pdf/fastned/fastned-2023-annual-report.pdf#page=137</t>
        </is>
      </c>
    </row>
    <row r="74">
      <c r="A74" s="2" t="inlineStr">
        <is>
          <t>F073</t>
        </is>
      </c>
      <c r="B74" s="2" t="inlineStr">
        <is>
          <t>business</t>
        </is>
      </c>
      <c r="C74" s="2" t="inlineStr">
        <is>
          <t>business_fact</t>
        </is>
      </c>
      <c r="D74" s="2" t="inlineStr">
        <is>
          <t>Business fact</t>
        </is>
      </c>
      <c r="E74" s="2" t="n"/>
      <c r="F74" s="2" t="n"/>
      <c r="G74" s="2" t="n"/>
      <c r="H74" s="3" t="inlineStr">
        <is>
          <t>2022 financing cash flows on borrowings: loan issue 26,640k net of repayments, interest paid 5,757k; interest charge 5,828k.</t>
        </is>
      </c>
      <c r="I74" s="2" t="inlineStr">
        <is>
          <t>S1</t>
        </is>
      </c>
      <c r="J74" s="2" t="n">
        <v>138</v>
      </c>
      <c r="K74" s="3" t="inlineStr">
        <is>
          <t>86,265 5,828 26,640 (5,757) (70) — 112,906</t>
        </is>
      </c>
      <c r="L74" s="2" t="inlineStr">
        <is>
          <t>pend</t>
        </is>
      </c>
      <c r="M74" s="2" t="n"/>
      <c r="N74" s="2" t="n"/>
      <c r="O74" s="3" t="inlineStr">
        <is>
          <t>https://vanillabonds.com/dossier-data/pdf/fastned/fastned-2023-annual-report.pdf#page=138</t>
        </is>
      </c>
    </row>
    <row r="75">
      <c r="A75" s="2" t="inlineStr">
        <is>
          <t>F074</t>
        </is>
      </c>
      <c r="B75" s="2" t="inlineStr">
        <is>
          <t>business</t>
        </is>
      </c>
      <c r="C75" s="2" t="inlineStr">
        <is>
          <t>business_fact</t>
        </is>
      </c>
      <c r="D75" s="2" t="inlineStr">
        <is>
          <t>Business fact</t>
        </is>
      </c>
      <c r="E75" s="2" t="n"/>
      <c r="F75" s="2" t="n"/>
      <c r="G75" s="2" t="n"/>
      <c r="H75" s="3" t="inlineStr">
        <is>
          <t>Interest-bearing loans and borrowings carried at EUR 160,999k are stated at fair value equal to carrying amount (level 3 inputs).</t>
        </is>
      </c>
      <c r="I75" s="2" t="inlineStr">
        <is>
          <t>S1</t>
        </is>
      </c>
      <c r="J75" s="2" t="n">
        <v>139</v>
      </c>
      <c r="K75" s="3" t="inlineStr">
        <is>
          <t>Interest-bearing loans and borrowings 160,999 112,906 160,999 112,906</t>
        </is>
      </c>
      <c r="L75" s="2" t="inlineStr">
        <is>
          <t>pend</t>
        </is>
      </c>
      <c r="M75" s="2" t="n"/>
      <c r="N75" s="2" t="n"/>
      <c r="O75" s="3" t="inlineStr">
        <is>
          <t>https://vanillabonds.com/dossier-data/pdf/fastned/fastned-2023-annual-report.pdf#page=139</t>
        </is>
      </c>
    </row>
    <row r="76">
      <c r="A76" s="2" t="inlineStr">
        <is>
          <t>F075</t>
        </is>
      </c>
      <c r="B76" s="2" t="inlineStr">
        <is>
          <t>business</t>
        </is>
      </c>
      <c r="C76" s="2" t="inlineStr">
        <is>
          <t>business_fact</t>
        </is>
      </c>
      <c r="D76" s="2" t="inlineStr">
        <is>
          <t>Business fact</t>
        </is>
      </c>
      <c r="E76" s="2" t="n"/>
      <c r="F76" s="2" t="n"/>
      <c r="G76" s="2" t="n"/>
      <c r="H76" s="3" t="inlineStr">
        <is>
          <t>Trade and other receivables and prepayments EUR 19,357k at 31 Dec 2023 (2022: 13,853k), incl. prepayments 4,003k.</t>
        </is>
      </c>
      <c r="I76" s="2" t="inlineStr">
        <is>
          <t>S1</t>
        </is>
      </c>
      <c r="J76" s="2" t="n">
        <v>142</v>
      </c>
      <c r="K76" s="3" t="inlineStr">
        <is>
          <t>Total trade and other receivables and prepayments 19,357 13,853</t>
        </is>
      </c>
      <c r="L76" s="2" t="inlineStr">
        <is>
          <t>pend</t>
        </is>
      </c>
      <c r="M76" s="2" t="n"/>
      <c r="N76" s="2" t="n"/>
      <c r="O76" s="3" t="inlineStr">
        <is>
          <t>https://vanillabonds.com/dossier-data/pdf/fastned/fastned-2023-annual-report.pdf#page=142</t>
        </is>
      </c>
    </row>
    <row r="77">
      <c r="A77" s="2" t="inlineStr">
        <is>
          <t>F076</t>
        </is>
      </c>
      <c r="B77" s="2" t="inlineStr">
        <is>
          <t>business</t>
        </is>
      </c>
      <c r="C77" s="2" t="inlineStr">
        <is>
          <t>business_fact</t>
        </is>
      </c>
      <c r="D77" s="2" t="inlineStr">
        <is>
          <t>Business fact</t>
        </is>
      </c>
      <c r="E77" s="2" t="n"/>
      <c r="F77" s="2" t="n"/>
      <c r="G77" s="2" t="n"/>
      <c r="H77" s="3" t="inlineStr">
        <is>
          <t>Lease liability maturity (undiscounted): year 1 3,891k, year 2 3,883k, year 3 3,675k, year 4 3,315k, year 5 3,048k, over 5 years 16,289k; total 34,101k less 12,857k unearned interest.</t>
        </is>
      </c>
      <c r="I77" s="2" t="inlineStr">
        <is>
          <t>S1</t>
        </is>
      </c>
      <c r="J77" s="2" t="n">
        <v>145</v>
      </c>
      <c r="K77" s="2" t="inlineStr">
        <is>
          <t>Less: unearned interest (12,857) (6,109)</t>
        </is>
      </c>
      <c r="L77" s="2" t="inlineStr">
        <is>
          <t>pend</t>
        </is>
      </c>
      <c r="M77" s="2" t="n"/>
      <c r="N77" s="2" t="n"/>
      <c r="O77" s="3" t="inlineStr">
        <is>
          <t>https://vanillabonds.com/dossier-data/pdf/fastned/fastned-2023-annual-report.pdf#page=145</t>
        </is>
      </c>
    </row>
    <row r="78">
      <c r="A78" s="2" t="inlineStr">
        <is>
          <t>F077</t>
        </is>
      </c>
      <c r="B78" s="2" t="inlineStr">
        <is>
          <t>business</t>
        </is>
      </c>
      <c r="C78" s="2" t="inlineStr">
        <is>
          <t>business_fact</t>
        </is>
      </c>
      <c r="D78" s="2" t="inlineStr">
        <is>
          <t>Business fact</t>
        </is>
      </c>
      <c r="E78" s="2" t="n"/>
      <c r="F78" s="2" t="n"/>
      <c r="G78" s="2" t="n"/>
      <c r="H78" s="3" t="inlineStr">
        <is>
          <t>Trade payables fell to EUR 5,103k at 31 Dec 2023 from 14,365k; they are mainly construction related and settled on 30-day terms.</t>
        </is>
      </c>
      <c r="I78" s="2" t="inlineStr">
        <is>
          <t>S1</t>
        </is>
      </c>
      <c r="J78" s="2" t="n">
        <v>145</v>
      </c>
      <c r="K78" s="2" t="inlineStr">
        <is>
          <t>Trade payables 5,103 14,365</t>
        </is>
      </c>
      <c r="L78" s="2" t="inlineStr">
        <is>
          <t>pend</t>
        </is>
      </c>
      <c r="M78" s="2" t="n"/>
      <c r="N78" s="2" t="n"/>
      <c r="O78" s="3" t="inlineStr">
        <is>
          <t>https://vanillabonds.com/dossier-data/pdf/fastned/fastned-2023-annual-report.pdf#page=145</t>
        </is>
      </c>
    </row>
    <row r="79">
      <c r="A79" s="2" t="inlineStr">
        <is>
          <t>F078</t>
        </is>
      </c>
      <c r="B79" s="2" t="inlineStr">
        <is>
          <t>business</t>
        </is>
      </c>
      <c r="C79" s="2" t="inlineStr">
        <is>
          <t>business_fact</t>
        </is>
      </c>
      <c r="D79" s="2" t="inlineStr">
        <is>
          <t>Business fact</t>
        </is>
      </c>
      <c r="E79" s="2" t="n"/>
      <c r="F79" s="2" t="n"/>
      <c r="G79" s="2" t="n"/>
      <c r="H79" s="3" t="inlineStr">
        <is>
          <t>Decommissioning provision for removal of charging stations EUR 13,316k at 31 Dec 2023 (2022: 9,979k); additions 3,417k in 2023.</t>
        </is>
      </c>
      <c r="I79" s="2" t="inlineStr">
        <is>
          <t>S1</t>
        </is>
      </c>
      <c r="J79" s="2" t="n">
        <v>146</v>
      </c>
      <c r="K79" s="2" t="inlineStr">
        <is>
          <t>Total provisions 13,316 9,979</t>
        </is>
      </c>
      <c r="L79" s="2" t="inlineStr">
        <is>
          <t>pend</t>
        </is>
      </c>
      <c r="M79" s="2" t="n"/>
      <c r="N79" s="2" t="n"/>
      <c r="O79" s="3" t="inlineStr">
        <is>
          <t>https://vanillabonds.com/dossier-data/pdf/fastned/fastned-2023-annual-report.pdf#page=146</t>
        </is>
      </c>
    </row>
    <row r="80">
      <c r="A80" s="2" t="inlineStr">
        <is>
          <t>F079</t>
        </is>
      </c>
      <c r="B80" s="2" t="inlineStr">
        <is>
          <t>business</t>
        </is>
      </c>
      <c r="C80" s="2" t="inlineStr">
        <is>
          <t>business_fact</t>
        </is>
      </c>
      <c r="D80" s="2" t="inlineStr">
        <is>
          <t>Business fact</t>
        </is>
      </c>
      <c r="E80" s="2" t="n"/>
      <c r="F80" s="2" t="n"/>
      <c r="G80" s="2" t="n"/>
      <c r="H80" s="3" t="inlineStr">
        <is>
          <t>Fastned Founders Club: 69 members at 31 Dec 2023 who charge for free for life; 62,755 kWh charged free in 2023 (2022: 49,400); deferred income EUR 191k.</t>
        </is>
      </c>
      <c r="I80" s="2" t="inlineStr">
        <is>
          <t>S1</t>
        </is>
      </c>
      <c r="J80" s="2" t="n">
        <v>147</v>
      </c>
      <c r="K80" s="3" t="inlineStr">
        <is>
          <t>On 31 December 2023, there were 69 members in this Club.</t>
        </is>
      </c>
      <c r="L80" s="2" t="inlineStr">
        <is>
          <t>pend</t>
        </is>
      </c>
      <c r="M80" s="2" t="n"/>
      <c r="N80" s="2" t="n"/>
      <c r="O80" s="3" t="inlineStr">
        <is>
          <t>https://vanillabonds.com/dossier-data/pdf/fastned/fastned-2023-annual-report.pdf#page=147</t>
        </is>
      </c>
    </row>
    <row r="81">
      <c r="A81" s="2" t="inlineStr">
        <is>
          <t>F080</t>
        </is>
      </c>
      <c r="B81" s="2" t="inlineStr">
        <is>
          <t>business</t>
        </is>
      </c>
      <c r="C81" s="2" t="inlineStr">
        <is>
          <t>business_fact</t>
        </is>
      </c>
      <c r="D81" s="2" t="inlineStr">
        <is>
          <t>Business fact</t>
        </is>
      </c>
      <c r="E81" s="2" t="n"/>
      <c r="F81" s="2" t="n"/>
      <c r="G81" s="2" t="n"/>
      <c r="H81" s="3" t="inlineStr">
        <is>
          <t>Deferred revenues EUR 234k at 31 Dec 2023 (2022: 314k) from prepaid long-term vouchers, the Founders Club and subsidies received in advance.</t>
        </is>
      </c>
      <c r="I81" s="2" t="inlineStr">
        <is>
          <t>S1</t>
        </is>
      </c>
      <c r="J81" s="2" t="n">
        <v>147</v>
      </c>
      <c r="K81" s="3" t="inlineStr">
        <is>
          <t>Deferred revenues of €224,000 (2022: €314,000) relate to various pre</t>
        </is>
      </c>
      <c r="L81" s="2" t="inlineStr">
        <is>
          <t>pend</t>
        </is>
      </c>
      <c r="M81" s="2" t="n"/>
      <c r="N81" s="2" t="n"/>
      <c r="O81" s="3" t="inlineStr">
        <is>
          <t>https://vanillabonds.com/dossier-data/pdf/fastned/fastned-2023-annual-report.pdf#page=147</t>
        </is>
      </c>
    </row>
    <row r="82">
      <c r="A82" s="2" t="inlineStr">
        <is>
          <t>F081</t>
        </is>
      </c>
      <c r="B82" s="2" t="inlineStr">
        <is>
          <t>business</t>
        </is>
      </c>
      <c r="C82" s="2" t="inlineStr">
        <is>
          <t>business_fact</t>
        </is>
      </c>
      <c r="D82" s="2" t="inlineStr">
        <is>
          <t>Business fact</t>
        </is>
      </c>
      <c r="E82" s="2" t="n"/>
      <c r="F82" s="2" t="n"/>
      <c r="G82" s="2" t="n"/>
      <c r="H82" s="3" t="inlineStr">
        <is>
          <t>2018 Option Plan milestones still open: 5 market cap &gt; EUR 500m and profitable 12 months in a row; 6 &gt; EUR 600m and 500 stations; 7 &gt; EUR 700m and EUR 100m revenues in a year; 8 &gt; EUR 800m and 30% EBITDA margin for 12 months; 9 &gt; EUR 900m and 300 kW at &gt;50% of stations; 10 &gt; EUR 1bn and 1,000 stations.</t>
        </is>
      </c>
      <c r="I82" s="2" t="inlineStr">
        <is>
          <t>S1</t>
        </is>
      </c>
      <c r="J82" s="2" t="n">
        <v>149</v>
      </c>
      <c r="K82" s="3" t="inlineStr">
        <is>
          <t>&gt; 800 million euro &gt; 30% EBITDA margin for 12 months in a row</t>
        </is>
      </c>
      <c r="L82" s="2" t="inlineStr">
        <is>
          <t>pend</t>
        </is>
      </c>
      <c r="M82" s="2" t="n"/>
      <c r="N82" s="2" t="n"/>
      <c r="O82" s="3" t="inlineStr">
        <is>
          <t>https://vanillabonds.com/dossier-data/pdf/fastned/fastned-2023-annual-report.pdf#page=149</t>
        </is>
      </c>
    </row>
    <row r="83">
      <c r="A83" s="2" t="inlineStr">
        <is>
          <t>F082</t>
        </is>
      </c>
      <c r="B83" s="2" t="inlineStr">
        <is>
          <t>business</t>
        </is>
      </c>
      <c r="C83" s="2" t="inlineStr">
        <is>
          <t>business_fact</t>
        </is>
      </c>
      <c r="D83" s="2" t="inlineStr">
        <is>
          <t>Business fact</t>
        </is>
      </c>
      <c r="E83" s="2" t="n"/>
      <c r="F83" s="2" t="n"/>
      <c r="G83" s="2" t="n"/>
      <c r="H83" s="3" t="inlineStr">
        <is>
          <t>Option plan milestones 1-4 realised: market cap &gt; EUR 150m with &gt; 100 stations, &gt; EUR 200m with &gt; EUR 1m revenue, &gt; EUR 300m with &gt; 250 stations, &gt; EUR 400m with &gt; 150 kW charging at &gt; 50% of stations.</t>
        </is>
      </c>
      <c r="I83" s="2" t="inlineStr">
        <is>
          <t>S1</t>
        </is>
      </c>
      <c r="J83" s="2" t="n">
        <v>149</v>
      </c>
      <c r="K83" s="3" t="inlineStr">
        <is>
          <t>&gt; 400 million euro &gt; 150 kW charging at &gt;50% of our stations</t>
        </is>
      </c>
      <c r="L83" s="2" t="inlineStr">
        <is>
          <t>pend</t>
        </is>
      </c>
      <c r="M83" s="2" t="n"/>
      <c r="N83" s="2" t="n"/>
      <c r="O83" s="3" t="inlineStr">
        <is>
          <t>https://vanillabonds.com/dossier-data/pdf/fastned/fastned-2023-annual-report.pdf#page=149</t>
        </is>
      </c>
    </row>
    <row r="84">
      <c r="A84" s="2" t="inlineStr">
        <is>
          <t>F083</t>
        </is>
      </c>
      <c r="B84" s="2" t="inlineStr">
        <is>
          <t>business</t>
        </is>
      </c>
      <c r="C84" s="2" t="inlineStr">
        <is>
          <t>business_fact</t>
        </is>
      </c>
      <c r="D84" s="2" t="inlineStr">
        <is>
          <t>Business fact</t>
        </is>
      </c>
      <c r="E84" s="2" t="n"/>
      <c r="F84" s="2" t="n"/>
      <c r="G84" s="2" t="n"/>
      <c r="H84" s="3" t="inlineStr">
        <is>
          <t>Milestone 3 options granted February 2023: 191,529 options at WAEP EUR 19.58, fair value EUR 3.3m (Hull-White, share price EUR 34.18, volatility 61.7%), EUR 0.6m capitalised; 556,565 options outstanding at 31 Dec 2023 at WAEP EUR 13.00.</t>
        </is>
      </c>
      <c r="I84" s="2" t="inlineStr">
        <is>
          <t>S1</t>
        </is>
      </c>
      <c r="J84" s="2" t="n">
        <v>149</v>
      </c>
      <c r="K84" s="3" t="inlineStr">
        <is>
          <t>In total 191,529 options with a weighted average exercise price of €19.58 were issued to employees. The estimated fair value of these options is €3.3 million</t>
        </is>
      </c>
      <c r="L84" s="2" t="inlineStr">
        <is>
          <t>pend</t>
        </is>
      </c>
      <c r="M84" s="2" t="n"/>
      <c r="N84" s="2" t="n"/>
      <c r="O84" s="3" t="inlineStr">
        <is>
          <t>https://vanillabonds.com/dossier-data/pdf/fastned/fastned-2023-annual-report.pdf#page=149</t>
        </is>
      </c>
    </row>
    <row r="85">
      <c r="A85" s="2" t="inlineStr">
        <is>
          <t>F084</t>
        </is>
      </c>
      <c r="B85" s="2" t="inlineStr">
        <is>
          <t>business</t>
        </is>
      </c>
      <c r="C85" s="2" t="inlineStr">
        <is>
          <t>business_fact</t>
        </is>
      </c>
      <c r="D85" s="2" t="inlineStr">
        <is>
          <t>Business fact</t>
        </is>
      </c>
      <c r="E85" s="2" t="n"/>
      <c r="F85" s="2" t="n"/>
      <c r="G85" s="2" t="n"/>
      <c r="H85" s="3" t="inlineStr">
        <is>
          <t>Auditor fees 2023: EUR 195k audit (2022: 269k) and EUR 5k non-audit and other assurance services (2022: 30k).</t>
        </is>
      </c>
      <c r="I85" s="2" t="inlineStr">
        <is>
          <t>S1</t>
        </is>
      </c>
      <c r="J85" s="2" t="n">
        <v>156</v>
      </c>
      <c r="K85" s="3" t="inlineStr">
        <is>
          <t>Fees payable to the Group’s auditor for the audit of the consolidated parent company accounts and subsidiaries accounts of Fastned B.V. 195 269</t>
        </is>
      </c>
      <c r="L85" s="2" t="inlineStr">
        <is>
          <t>pend</t>
        </is>
      </c>
      <c r="M85" s="2" t="n"/>
      <c r="N85" s="2" t="n"/>
      <c r="O85" s="3" t="inlineStr">
        <is>
          <t>https://vanillabonds.com/dossier-data/pdf/fastned/fastned-2023-annual-report.pdf#page=156</t>
        </is>
      </c>
    </row>
    <row r="86">
      <c r="A86" s="2" t="inlineStr">
        <is>
          <t>F085</t>
        </is>
      </c>
      <c r="B86" s="2" t="inlineStr">
        <is>
          <t>business</t>
        </is>
      </c>
      <c r="C86" s="2" t="inlineStr">
        <is>
          <t>business_fact</t>
        </is>
      </c>
      <c r="D86" s="2" t="inlineStr">
        <is>
          <t>Business fact</t>
        </is>
      </c>
      <c r="E86" s="2" t="n"/>
      <c r="F86" s="2" t="n"/>
      <c r="G86" s="2" t="n"/>
      <c r="H86" s="3" t="inlineStr">
        <is>
          <t>Parent company 2023: operating loss EUR 5,708k, finance income 8,848k (6,095k intercompany), results from subsidiaries -13,894k, net loss 19,250k.</t>
        </is>
      </c>
      <c r="I86" s="2" t="inlineStr">
        <is>
          <t>S1</t>
        </is>
      </c>
      <c r="J86" s="2" t="n">
        <v>158</v>
      </c>
      <c r="K86" s="3" t="inlineStr">
        <is>
          <t>Results from investments in subsidiaries (13,894) (10,825)</t>
        </is>
      </c>
      <c r="L86" s="2" t="inlineStr">
        <is>
          <t>pend</t>
        </is>
      </c>
      <c r="M86" s="2" t="n"/>
      <c r="N86" s="2" t="n"/>
      <c r="O86" s="3" t="inlineStr">
        <is>
          <t>https://vanillabonds.com/dossier-data/pdf/fastned/fastned-2023-annual-report.pdf#page=158</t>
        </is>
      </c>
    </row>
    <row r="87">
      <c r="A87" s="2" t="inlineStr">
        <is>
          <t>F086</t>
        </is>
      </c>
      <c r="B87" s="2" t="inlineStr">
        <is>
          <t>business</t>
        </is>
      </c>
      <c r="C87" s="2" t="inlineStr">
        <is>
          <t>business_fact</t>
        </is>
      </c>
      <c r="D87" s="2" t="inlineStr">
        <is>
          <t>Business fact</t>
        </is>
      </c>
      <c r="E87" s="2" t="n"/>
      <c r="F87" s="2" t="n"/>
      <c r="G87" s="2" t="n"/>
      <c r="H87" s="3" t="inlineStr">
        <is>
          <t>Parent company invested EUR 6,341k in subsidiaries in 2023, incl. 5,000k in Fastned France SAS and 388k in Fastned Terra 1 B.V.; subsidiary results 2023: France -7,062k, UK -3,462k, Belgium -1,374k, Germany -1,331k.</t>
        </is>
      </c>
      <c r="I87" s="2" t="inlineStr">
        <is>
          <t>S1</t>
        </is>
      </c>
      <c r="J87" s="2" t="n">
        <v>168</v>
      </c>
      <c r="K87" s="3" t="inlineStr">
        <is>
          <t>Total investment in subsidiaries 6,136 6,341 — 1,124 (13,896) 5,210 4,915</t>
        </is>
      </c>
      <c r="L87" s="2" t="inlineStr">
        <is>
          <t>pend</t>
        </is>
      </c>
      <c r="M87" s="2" t="n"/>
      <c r="N87" s="2" t="n"/>
      <c r="O87" s="3" t="inlineStr">
        <is>
          <t>https://vanillabonds.com/dossier-data/pdf/fastned/fastned-2023-annual-report.pdf#page=168</t>
        </is>
      </c>
    </row>
    <row r="88">
      <c r="A88" s="2" t="inlineStr">
        <is>
          <t>F087</t>
        </is>
      </c>
      <c r="B88" s="2" t="inlineStr">
        <is>
          <t>business</t>
        </is>
      </c>
      <c r="C88" s="2" t="inlineStr">
        <is>
          <t>business_fact</t>
        </is>
      </c>
      <c r="D88" s="2" t="inlineStr">
        <is>
          <t>Business fact</t>
        </is>
      </c>
      <c r="E88" s="2" t="n"/>
      <c r="F88" s="2" t="n"/>
      <c r="G88" s="2" t="n"/>
      <c r="H88" s="3" t="inlineStr">
        <is>
          <t>Parent company loans to subsidiaries EUR 111,094k nominal at 31 Dec 2023 (2022: 81,064k), 61,573k current; Fastned B.V. intends to extend the DE, UK, BE, Terra 1 and Terra 2 loans.</t>
        </is>
      </c>
      <c r="I88" s="2" t="inlineStr">
        <is>
          <t>S1</t>
        </is>
      </c>
      <c r="J88" s="2" t="n">
        <v>170</v>
      </c>
      <c r="K88" s="3" t="inlineStr">
        <is>
          <t>Total loans to subsidiaries 111,094 81,064</t>
        </is>
      </c>
      <c r="L88" s="2" t="inlineStr">
        <is>
          <t>pend</t>
        </is>
      </c>
      <c r="M88" s="2" t="n"/>
      <c r="N88" s="2" t="n"/>
      <c r="O88" s="3" t="inlineStr">
        <is>
          <t>https://vanillabonds.com/dossier-data/pdf/fastned/fastned-2023-annual-report.pdf#page=170</t>
        </is>
      </c>
    </row>
    <row r="89">
      <c r="A89" s="2" t="inlineStr">
        <is>
          <t>F088</t>
        </is>
      </c>
      <c r="B89" s="2" t="inlineStr">
        <is>
          <t>business</t>
        </is>
      </c>
      <c r="C89" s="2" t="inlineStr">
        <is>
          <t>business_fact</t>
        </is>
      </c>
      <c r="D89" s="2" t="inlineStr">
        <is>
          <t>Business fact</t>
        </is>
      </c>
      <c r="E89" s="2" t="n"/>
      <c r="F89" s="2" t="n"/>
      <c r="G89" s="2" t="n"/>
      <c r="H89" s="3" t="inlineStr">
        <is>
          <t>Financial statements signed in Amsterdam on 27 March 2024 by Michiel Langezaal (CEO), Victor van Dijk (CFO) and supervisory board members Kooi, Lubbers, Kabalt and Janssen.</t>
        </is>
      </c>
      <c r="I89" s="2" t="inlineStr">
        <is>
          <t>S1</t>
        </is>
      </c>
      <c r="J89" s="2" t="n">
        <v>175</v>
      </c>
      <c r="K89" s="3" t="inlineStr">
        <is>
          <t>Amsterdam, 27 March 2024 Management Board Michiel Langezaal CEO Victor van Dijk CFO</t>
        </is>
      </c>
      <c r="L89" s="2" t="inlineStr">
        <is>
          <t>pend</t>
        </is>
      </c>
      <c r="M89" s="2" t="n"/>
      <c r="N89" s="2" t="n"/>
      <c r="O89" s="3" t="inlineStr">
        <is>
          <t>https://vanillabonds.com/dossier-data/pdf/fastned/fastned-2023-annual-report.pdf#page=175</t>
        </is>
      </c>
    </row>
    <row r="90">
      <c r="A90" s="2" t="inlineStr">
        <is>
          <t>F089</t>
        </is>
      </c>
      <c r="B90" s="2" t="inlineStr">
        <is>
          <t>business</t>
        </is>
      </c>
      <c r="C90" s="2" t="inlineStr">
        <is>
          <t>business_fact</t>
        </is>
      </c>
      <c r="D90" s="2" t="inlineStr">
        <is>
          <t>Business fact</t>
        </is>
      </c>
      <c r="E90" s="2" t="n"/>
      <c r="F90" s="2" t="n"/>
      <c r="G90" s="2" t="n"/>
      <c r="H90" s="3" t="inlineStr">
        <is>
          <t>Fastned B.V. is audited as a public-interest entity under the EU statutory audit regulation; the annual report is prepared in ESEF and the auditor's ESEF opinion is clean.</t>
        </is>
      </c>
      <c r="I90" s="2" t="inlineStr">
        <is>
          <t>S1</t>
        </is>
      </c>
      <c r="J90" s="2" t="n">
        <v>187</v>
      </c>
      <c r="K90" s="3" t="inlineStr">
        <is>
          <t>In our opinion, the annual report prepared in XHTML-format, including the marked-up consolidated financial statements as included in the reporting package by Fastned B.V.</t>
        </is>
      </c>
      <c r="L90" s="2" t="inlineStr">
        <is>
          <t>pend</t>
        </is>
      </c>
      <c r="M90" s="2" t="n"/>
      <c r="N90" s="2" t="n"/>
      <c r="O90" s="3" t="inlineStr">
        <is>
          <t>https://vanillabonds.com/dossier-data/pdf/fastned/fastned-2023-annual-report.pdf#page=187</t>
        </is>
      </c>
    </row>
    <row r="91">
      <c r="A91" s="2" t="inlineStr">
        <is>
          <t>F090</t>
        </is>
      </c>
      <c r="B91" s="2" t="inlineStr">
        <is>
          <t>business</t>
        </is>
      </c>
      <c r="C91" s="2" t="inlineStr">
        <is>
          <t>business_fact</t>
        </is>
      </c>
      <c r="D91" s="2" t="inlineStr">
        <is>
          <t>Business fact</t>
        </is>
      </c>
      <c r="E91" s="2" t="n"/>
      <c r="F91" s="2" t="n"/>
      <c r="G91" s="2" t="n"/>
      <c r="H91" s="3" t="inlineStr">
        <is>
          <t>Advanced analytics for real-time charger fault detection developed in 2023; almost all chargers now have payment terminals; Autocharge dates from 2016 with ABB.</t>
        </is>
      </c>
      <c r="I91" s="2" t="inlineStr">
        <is>
          <t>S1</t>
        </is>
      </c>
      <c r="J91" s="2" t="n">
        <v>197</v>
      </c>
      <c r="K91" s="3" t="inlineStr">
        <is>
          <t>as almost all of our chargers are now equipped with payment terminals.</t>
        </is>
      </c>
      <c r="L91" s="2" t="inlineStr">
        <is>
          <t>pend</t>
        </is>
      </c>
      <c r="M91" s="2" t="n"/>
      <c r="N91" s="2" t="n"/>
      <c r="O91" s="3" t="inlineStr">
        <is>
          <t>https://vanillabonds.com/dossier-data/pdf/fastned/fastned-2023-annual-report.pdf#page=197</t>
        </is>
      </c>
    </row>
    <row r="92">
      <c r="A92" s="2" t="inlineStr">
        <is>
          <t>F091</t>
        </is>
      </c>
      <c r="B92" s="2" t="inlineStr">
        <is>
          <t>business</t>
        </is>
      </c>
      <c r="C92" s="2" t="inlineStr">
        <is>
          <t>business_fact</t>
        </is>
      </c>
      <c r="D92" s="2" t="inlineStr">
        <is>
          <t>Business fact</t>
        </is>
      </c>
      <c r="E92" s="2" t="n"/>
      <c r="F92" s="2" t="n"/>
      <c r="G92" s="2" t="n"/>
      <c r="H92" s="3" t="inlineStr">
        <is>
          <t>Office addresses: Amsterdam (Mondriaantoren), London, Gent, Paris, Köln, Zürich and Copenhagen (c/o BLOXHUB); investor relations invest@fastned.nl.</t>
        </is>
      </c>
      <c r="I92" s="2" t="inlineStr">
        <is>
          <t>S1</t>
        </is>
      </c>
      <c r="J92" s="2" t="n">
        <v>203</v>
      </c>
      <c r="K92" s="3" t="inlineStr">
        <is>
          <t>Fastned Deutschland GmbH &amp; Co. KG Mohrenstraße 7-9 50670 Köln</t>
        </is>
      </c>
      <c r="L92" s="2" t="inlineStr">
        <is>
          <t>pend</t>
        </is>
      </c>
      <c r="M92" s="2" t="n"/>
      <c r="N92" s="2" t="n"/>
      <c r="O92" s="3" t="inlineStr">
        <is>
          <t>https://vanillabonds.com/dossier-data/pdf/fastned/fastned-2023-annual-report.pdf#page=203</t>
        </is>
      </c>
    </row>
    <row r="93">
      <c r="A93" s="2" t="inlineStr">
        <is>
          <t>F092</t>
        </is>
      </c>
      <c r="B93" s="2" t="inlineStr">
        <is>
          <t>business</t>
        </is>
      </c>
      <c r="C93" s="2" t="inlineStr">
        <is>
          <t>key_event</t>
        </is>
      </c>
      <c r="D93" s="2" t="inlineStr">
        <is>
          <t>Key event (M&amp;A, financing, strategy)</t>
        </is>
      </c>
      <c r="E93" s="2" t="n"/>
      <c r="F93" s="2" t="n"/>
      <c r="G93" s="2" t="n"/>
      <c r="H93" s="3" t="inlineStr">
        <is>
          <t>2023: Fastned raised EUR 22 million in new bonds (first of two bond issues in 2023).</t>
        </is>
      </c>
      <c r="I93" s="2" t="inlineStr">
        <is>
          <t>S1</t>
        </is>
      </c>
      <c r="J93" s="2" t="n">
        <v>3</v>
      </c>
      <c r="K93" s="3" t="inlineStr">
        <is>
          <t>Fastned raises €22 million in new bonds to grow its network further</t>
        </is>
      </c>
      <c r="L93" s="2" t="inlineStr">
        <is>
          <t>pend</t>
        </is>
      </c>
      <c r="M93" s="2" t="n"/>
      <c r="N93" s="2" t="n"/>
      <c r="O93" s="3" t="inlineStr">
        <is>
          <t>https://vanillabonds.com/dossier-data/pdf/fastned/fastned-2023-annual-report.pdf#page=3</t>
        </is>
      </c>
    </row>
    <row r="94">
      <c r="A94" s="2" t="inlineStr">
        <is>
          <t>F093</t>
        </is>
      </c>
      <c r="B94" s="2" t="inlineStr">
        <is>
          <t>business</t>
        </is>
      </c>
      <c r="C94" s="2" t="inlineStr">
        <is>
          <t>key_event</t>
        </is>
      </c>
      <c r="D94" s="2" t="inlineStr">
        <is>
          <t>Key event (M&amp;A, financing, strategy)</t>
        </is>
      </c>
      <c r="E94" s="2" t="n"/>
      <c r="F94" s="2" t="n"/>
      <c r="G94" s="2" t="n"/>
      <c r="H94" s="3" t="inlineStr">
        <is>
          <t>2023: Fastned raised more than EUR 30 million in new bonds (second bond issue of 2023).</t>
        </is>
      </c>
      <c r="I94" s="2" t="inlineStr">
        <is>
          <t>S1</t>
        </is>
      </c>
      <c r="J94" s="2" t="n">
        <v>3</v>
      </c>
      <c r="K94" s="3" t="inlineStr">
        <is>
          <t>Fastned raises more than €30 million in new bonds to further grow its network across Europe</t>
        </is>
      </c>
      <c r="L94" s="2" t="inlineStr">
        <is>
          <t>pend</t>
        </is>
      </c>
      <c r="M94" s="2" t="n"/>
      <c r="N94" s="2" t="n"/>
      <c r="O94" s="3" t="inlineStr">
        <is>
          <t>https://vanillabonds.com/dossier-data/pdf/fastned/fastned-2023-annual-report.pdf#page=3</t>
        </is>
      </c>
    </row>
    <row r="95">
      <c r="A95" s="2" t="inlineStr">
        <is>
          <t>F094</t>
        </is>
      </c>
      <c r="B95" s="2" t="inlineStr">
        <is>
          <t>business</t>
        </is>
      </c>
      <c r="C95" s="2" t="inlineStr">
        <is>
          <t>key_event</t>
        </is>
      </c>
      <c r="D95" s="2" t="inlineStr">
        <is>
          <t>Key event (M&amp;A, financing, strategy)</t>
        </is>
      </c>
      <c r="E95" s="2" t="n"/>
      <c r="F95" s="2" t="n"/>
      <c r="G95" s="2" t="n"/>
      <c r="H95" s="3" t="inlineStr">
        <is>
          <t>2023: Fastned won the Gentbrugge tender (Belgium), its first electric-only service area.</t>
        </is>
      </c>
      <c r="I95" s="2" t="inlineStr">
        <is>
          <t>S1</t>
        </is>
      </c>
      <c r="J95" s="2" t="n">
        <v>3</v>
      </c>
      <c r="K95" s="3" t="inlineStr">
        <is>
          <t>Fastned wins first tender for electric-only service area, Gentbrugge</t>
        </is>
      </c>
      <c r="L95" s="2" t="inlineStr">
        <is>
          <t>pend</t>
        </is>
      </c>
      <c r="M95" s="2" t="n"/>
      <c r="N95" s="2" t="n"/>
      <c r="O95" s="3" t="inlineStr">
        <is>
          <t>https://vanillabonds.com/dossier-data/pdf/fastned/fastned-2023-annual-report.pdf#page=3</t>
        </is>
      </c>
    </row>
    <row r="96">
      <c r="A96" s="2" t="inlineStr">
        <is>
          <t>F095</t>
        </is>
      </c>
      <c r="B96" s="2" t="inlineStr">
        <is>
          <t>business</t>
        </is>
      </c>
      <c r="C96" s="2" t="inlineStr">
        <is>
          <t>key_event</t>
        </is>
      </c>
      <c r="D96" s="2" t="inlineStr">
        <is>
          <t>Key event (M&amp;A, financing, strategy)</t>
        </is>
      </c>
      <c r="E96" s="2" t="n"/>
      <c r="F96" s="2" t="n"/>
      <c r="G96" s="2" t="n"/>
      <c r="H96" s="3" t="inlineStr">
        <is>
          <t>2023: 250th station opened (Martlesham, UK) and 1,500th fast charger installed.</t>
        </is>
      </c>
      <c r="I96" s="2" t="inlineStr">
        <is>
          <t>S1</t>
        </is>
      </c>
      <c r="J96" s="2" t="n">
        <v>3</v>
      </c>
      <c r="K96" s="3" t="inlineStr">
        <is>
          <t>Fastned opens its 250th station, Martlesham in the UK</t>
        </is>
      </c>
      <c r="L96" s="2" t="inlineStr">
        <is>
          <t>pend</t>
        </is>
      </c>
      <c r="M96" s="2" t="n"/>
      <c r="N96" s="2" t="n"/>
      <c r="O96" s="3" t="inlineStr">
        <is>
          <t>https://vanillabonds.com/dossier-data/pdf/fastned/fastned-2023-annual-report.pdf#page=3</t>
        </is>
      </c>
    </row>
    <row r="97">
      <c r="A97" s="2" t="inlineStr">
        <is>
          <t>F096</t>
        </is>
      </c>
      <c r="B97" s="2" t="inlineStr">
        <is>
          <t>business</t>
        </is>
      </c>
      <c r="C97" s="2" t="inlineStr">
        <is>
          <t>key_event</t>
        </is>
      </c>
      <c r="D97" s="2" t="inlineStr">
        <is>
          <t>Key event (M&amp;A, financing, strategy)</t>
        </is>
      </c>
      <c r="E97" s="2" t="n"/>
      <c r="F97" s="2" t="n"/>
      <c r="G97" s="2" t="n"/>
      <c r="H97" s="3" t="inlineStr">
        <is>
          <t>2023: record EUR 53 million raised in new bonds; total outstanding raised with retail investors EUR 159.9 million at end 2023.</t>
        </is>
      </c>
      <c r="I97" s="2" t="inlineStr">
        <is>
          <t>S1</t>
        </is>
      </c>
      <c r="J97" s="2" t="n">
        <v>17</v>
      </c>
      <c r="K97" s="3" t="inlineStr">
        <is>
          <t>We raised a record €53 million in new bonds in 2023 to grow our network, which is further proof that many people increasingly see Fastned as an attractive investment</t>
        </is>
      </c>
      <c r="L97" s="2" t="inlineStr">
        <is>
          <t>pend</t>
        </is>
      </c>
      <c r="M97" s="2" t="n"/>
      <c r="N97" s="2" t="n"/>
      <c r="O97" s="3" t="inlineStr">
        <is>
          <t>https://vanillabonds.com/dossier-data/pdf/fastned/fastned-2023-annual-report.pdf#page=17</t>
        </is>
      </c>
    </row>
    <row r="98">
      <c r="A98" s="2" t="inlineStr">
        <is>
          <t>F097</t>
        </is>
      </c>
      <c r="B98" s="2" t="inlineStr">
        <is>
          <t>business</t>
        </is>
      </c>
      <c r="C98" s="2" t="inlineStr">
        <is>
          <t>key_event</t>
        </is>
      </c>
      <c r="D98" s="2" t="inlineStr">
        <is>
          <t>Key event (M&amp;A, financing, strategy)</t>
        </is>
      </c>
      <c r="E98" s="2" t="n"/>
      <c r="F98" s="2" t="n"/>
      <c r="G98" s="2" t="n"/>
      <c r="H98" s="3" t="inlineStr">
        <is>
          <t>2023: Deutschlandnetz tender, two lots won allowing 92 large fast charging stations in West and South-West Germany; not yet in the communicated pipeline while location agreements are signed.</t>
        </is>
      </c>
      <c r="I98" s="2" t="inlineStr">
        <is>
          <t>S1</t>
        </is>
      </c>
      <c r="J98" s="2" t="n">
        <v>18</v>
      </c>
      <c r="K98" s="3" t="inlineStr">
        <is>
          <t>We won two lots in a major nationwide tender, part of Deutschlandnetz, which allows us to build 92 large fast charging stations across West and South-West Germany.</t>
        </is>
      </c>
      <c r="L98" s="2" t="inlineStr">
        <is>
          <t>pend</t>
        </is>
      </c>
      <c r="M98" s="2" t="n"/>
      <c r="N98" s="2" t="n"/>
      <c r="O98" s="3" t="inlineStr">
        <is>
          <t>https://vanillabonds.com/dossier-data/pdf/fastned/fastned-2023-annual-report.pdf#page=18</t>
        </is>
      </c>
    </row>
    <row r="99">
      <c r="A99" s="2" t="inlineStr">
        <is>
          <t>F098</t>
        </is>
      </c>
      <c r="B99" s="2" t="inlineStr">
        <is>
          <t>business</t>
        </is>
      </c>
      <c r="C99" s="2" t="inlineStr">
        <is>
          <t>key_event</t>
        </is>
      </c>
      <c r="D99" s="2" t="inlineStr">
        <is>
          <t>Key event (M&amp;A, financing, strategy)</t>
        </is>
      </c>
      <c r="E99" s="2" t="n"/>
      <c r="F99" s="2" t="n"/>
      <c r="G99" s="2" t="n"/>
      <c r="H99" s="3" t="inlineStr">
        <is>
          <t>2023: entry into Denmark, three sites awarded by motorway operator Vejdirektoratet; first station Helsingør opened end 2023.</t>
        </is>
      </c>
      <c r="I99" s="2" t="inlineStr">
        <is>
          <t>S1</t>
        </is>
      </c>
      <c r="J99" s="2" t="n">
        <v>18</v>
      </c>
      <c r="K99" s="3" t="inlineStr">
        <is>
          <t>We won our first tender in Denmark in 2023 and were awarded three sites to build fast charging stations by the motorway operator Vejdirektoratet.</t>
        </is>
      </c>
      <c r="L99" s="2" t="inlineStr">
        <is>
          <t>pend</t>
        </is>
      </c>
      <c r="M99" s="2" t="n"/>
      <c r="N99" s="2" t="n"/>
      <c r="O99" s="3" t="inlineStr">
        <is>
          <t>https://vanillabonds.com/dossier-data/pdf/fastned/fastned-2023-annual-report.pdf#page=18</t>
        </is>
      </c>
    </row>
    <row r="100">
      <c r="A100" s="2" t="inlineStr">
        <is>
          <t>F099</t>
        </is>
      </c>
      <c r="B100" s="2" t="inlineStr">
        <is>
          <t>business</t>
        </is>
      </c>
      <c r="C100" s="2" t="inlineStr">
        <is>
          <t>key_event</t>
        </is>
      </c>
      <c r="D100" s="2" t="inlineStr">
        <is>
          <t>Key event (M&amp;A, financing, strategy)</t>
        </is>
      </c>
      <c r="E100" s="2" t="n"/>
      <c r="F100" s="2" t="n"/>
      <c r="G100" s="2" t="n"/>
      <c r="H100" s="3" t="inlineStr">
        <is>
          <t>End 2023: first contract signed to build and operate a station in Spain plus six more locations secured.</t>
        </is>
      </c>
      <c r="I100" s="2" t="inlineStr">
        <is>
          <t>S1</t>
        </is>
      </c>
      <c r="J100" s="2" t="n">
        <v>18</v>
      </c>
      <c r="K100" s="3" t="inlineStr">
        <is>
          <t>At the end of 2023, we signed a contract to build and operate our first station in Spain and we secured six more locations along high-traffic routes in the country</t>
        </is>
      </c>
      <c r="L100" s="2" t="inlineStr">
        <is>
          <t>pend</t>
        </is>
      </c>
      <c r="M100" s="2" t="n"/>
      <c r="N100" s="2" t="n"/>
      <c r="O100" s="3" t="inlineStr">
        <is>
          <t>https://vanillabonds.com/dossier-data/pdf/fastned/fastned-2023-annual-report.pdf#page=18</t>
        </is>
      </c>
    </row>
    <row r="101">
      <c r="A101" s="2" t="inlineStr">
        <is>
          <t>F100</t>
        </is>
      </c>
      <c r="B101" s="2" t="inlineStr">
        <is>
          <t>business</t>
        </is>
      </c>
      <c r="C101" s="2" t="inlineStr">
        <is>
          <t>key_event</t>
        </is>
      </c>
      <c r="D101" s="2" t="inlineStr">
        <is>
          <t>Key event (M&amp;A, financing, strategy)</t>
        </is>
      </c>
      <c r="E101" s="2" t="n"/>
      <c r="F101" s="2" t="n"/>
      <c r="G101" s="2" t="n"/>
      <c r="H101" s="3" t="inlineStr">
        <is>
          <t>2023: new and extended bonds of circa EUR 54 million; proceeds from borrowings EUR 55.0m in the cash flow statement.</t>
        </is>
      </c>
      <c r="I101" s="2" t="inlineStr">
        <is>
          <t>S1</t>
        </is>
      </c>
      <c r="J101" s="2" t="n">
        <v>55</v>
      </c>
      <c r="K101" s="3" t="inlineStr">
        <is>
          <t>In 2023, Fastned enhanced its capital position by issuing new and extending bonds of circa €54 million.</t>
        </is>
      </c>
      <c r="L101" s="2" t="inlineStr">
        <is>
          <t>pend</t>
        </is>
      </c>
      <c r="M101" s="2" t="n"/>
      <c r="N101" s="2" t="n"/>
      <c r="O101" s="3" t="inlineStr">
        <is>
          <t>https://vanillabonds.com/dossier-data/pdf/fastned/fastned-2023-annual-report.pdf#page=55</t>
        </is>
      </c>
    </row>
    <row r="102">
      <c r="A102" s="2" t="inlineStr">
        <is>
          <t>F101</t>
        </is>
      </c>
      <c r="B102" s="2" t="inlineStr">
        <is>
          <t>business</t>
        </is>
      </c>
      <c r="C102" s="2" t="inlineStr">
        <is>
          <t>key_event</t>
        </is>
      </c>
      <c r="D102" s="2" t="inlineStr">
        <is>
          <t>Key event (M&amp;A, financing, strategy)</t>
        </is>
      </c>
      <c r="E102" s="2" t="n"/>
      <c r="F102" s="2" t="n"/>
      <c r="G102" s="2" t="n"/>
      <c r="H102" s="3" t="inlineStr">
        <is>
          <t>Chair's statement says 'three prime lots' were won in the Deutschlandnetz tender (business highlights say two lots).</t>
        </is>
      </c>
      <c r="I102" s="2" t="inlineStr">
        <is>
          <t>S1</t>
        </is>
      </c>
      <c r="J102" s="2" t="n">
        <v>74</v>
      </c>
      <c r="K102" s="3" t="inlineStr">
        <is>
          <t>In Germany, the team won three prime lots in the Deutschlandnetz tender.</t>
        </is>
      </c>
      <c r="L102" s="2" t="inlineStr">
        <is>
          <t>pend</t>
        </is>
      </c>
      <c r="M102" s="2" t="n"/>
      <c r="N102" s="2" t="n"/>
      <c r="O102" s="3" t="inlineStr">
        <is>
          <t>https://vanillabonds.com/dossier-data/pdf/fastned/fastned-2023-annual-report.pdf#page=74</t>
        </is>
      </c>
    </row>
    <row r="103">
      <c r="A103" s="2" t="inlineStr">
        <is>
          <t>F102</t>
        </is>
      </c>
      <c r="B103" s="2" t="inlineStr">
        <is>
          <t>business</t>
        </is>
      </c>
      <c r="C103" s="2" t="inlineStr">
        <is>
          <t>key_event</t>
        </is>
      </c>
      <c r="D103" s="2" t="inlineStr">
        <is>
          <t>Key event (M&amp;A, financing, strategy)</t>
        </is>
      </c>
      <c r="E103" s="2" t="n"/>
      <c r="F103" s="2" t="n"/>
      <c r="G103" s="2" t="n"/>
      <c r="H103" s="3" t="inlineStr">
        <is>
          <t>2022: equity issuance, share premium received EUR 75.9m less transaction costs EUR 1.7m (EUR 74.2m in the equity statement).</t>
        </is>
      </c>
      <c r="I103" s="2" t="inlineStr">
        <is>
          <t>S1</t>
        </is>
      </c>
      <c r="J103" s="2" t="n">
        <v>95</v>
      </c>
      <c r="K103" s="2" t="inlineStr">
        <is>
          <t>Share premium received 17 925 75,862</t>
        </is>
      </c>
      <c r="L103" s="2" t="inlineStr">
        <is>
          <t>pend</t>
        </is>
      </c>
      <c r="M103" s="2" t="n"/>
      <c r="N103" s="2" t="n"/>
      <c r="O103" s="3" t="inlineStr">
        <is>
          <t>https://vanillabonds.com/dossier-data/pdf/fastned/fastned-2023-annual-report.pdf#page=95</t>
        </is>
      </c>
    </row>
    <row r="104">
      <c r="A104" s="2" t="inlineStr">
        <is>
          <t>F103</t>
        </is>
      </c>
      <c r="B104" s="2" t="inlineStr">
        <is>
          <t>business</t>
        </is>
      </c>
      <c r="C104" s="2" t="inlineStr">
        <is>
          <t>key_event</t>
        </is>
      </c>
      <c r="D104" s="2" t="inlineStr">
        <is>
          <t>Key event (M&amp;A, financing, strategy)</t>
        </is>
      </c>
      <c r="E104" s="2" t="n"/>
      <c r="F104" s="2" t="n"/>
      <c r="G104" s="2" t="n"/>
      <c r="H104" s="3" t="inlineStr">
        <is>
          <t>New subsidiaries: Fastned España SL established 13 June 2023, Fastned Denmark ApS incorporated 10 August 2023, Fastned Austria GmbH established 16 February 2024.</t>
        </is>
      </c>
      <c r="I104" s="2" t="inlineStr">
        <is>
          <t>S1</t>
        </is>
      </c>
      <c r="J104" s="2" t="n">
        <v>118</v>
      </c>
      <c r="K104" s="3" t="inlineStr">
        <is>
          <t>Fastned España SL was established on 13 June 2023. Additionally, the Group established a subsidiary in Denmark. Fastned Denmark ApS was incorporated on 10 August 2023.</t>
        </is>
      </c>
      <c r="L104" s="2" t="inlineStr">
        <is>
          <t>pend</t>
        </is>
      </c>
      <c r="M104" s="2" t="n"/>
      <c r="N104" s="2" t="n"/>
      <c r="O104" s="3" t="inlineStr">
        <is>
          <t>https://vanillabonds.com/dossier-data/pdf/fastned/fastned-2023-annual-report.pdf#page=118</t>
        </is>
      </c>
    </row>
    <row r="105">
      <c r="A105" s="2" t="inlineStr">
        <is>
          <t>F104</t>
        </is>
      </c>
      <c r="B105" s="2" t="inlineStr">
        <is>
          <t>business</t>
        </is>
      </c>
      <c r="C105" s="2" t="inlineStr">
        <is>
          <t>key_event</t>
        </is>
      </c>
      <c r="D105" s="2" t="inlineStr">
        <is>
          <t>Key event (M&amp;A, financing, strategy)</t>
        </is>
      </c>
      <c r="E105" s="2" t="n"/>
      <c r="F105" s="2" t="n"/>
      <c r="G105" s="2" t="n"/>
      <c r="H105" s="3" t="inlineStr">
        <is>
          <t>June 2023: EUR 22.0m raised through a 5.5% corporate bond plus EUR 2.4m of extensions from earlier bond issues.</t>
        </is>
      </c>
      <c r="I105" s="2" t="inlineStr">
        <is>
          <t>S1</t>
        </is>
      </c>
      <c r="J105" s="2" t="n">
        <v>136</v>
      </c>
      <c r="K105" s="3" t="inlineStr">
        <is>
          <t>In June 2023, Fastned raised €22.0 million through issue of corporate bonds, and in addition, investors extended €2.4 million from earlier bonds issues.</t>
        </is>
      </c>
      <c r="L105" s="2" t="inlineStr">
        <is>
          <t>pend</t>
        </is>
      </c>
      <c r="M105" s="2" t="n"/>
      <c r="N105" s="2" t="n"/>
      <c r="O105" s="3" t="inlineStr">
        <is>
          <t>https://vanillabonds.com/dossier-data/pdf/fastned/fastned-2023-annual-report.pdf#page=136</t>
        </is>
      </c>
    </row>
    <row r="106">
      <c r="A106" s="2" t="inlineStr">
        <is>
          <t>F105</t>
        </is>
      </c>
      <c r="B106" s="2" t="inlineStr">
        <is>
          <t>business</t>
        </is>
      </c>
      <c r="C106" s="2" t="inlineStr">
        <is>
          <t>key_event</t>
        </is>
      </c>
      <c r="D106" s="2" t="inlineStr">
        <is>
          <t>Key event (M&amp;A, financing, strategy)</t>
        </is>
      </c>
      <c r="E106" s="2" t="n"/>
      <c r="F106" s="2" t="n"/>
      <c r="G106" s="2" t="n"/>
      <c r="H106" s="3" t="inlineStr">
        <is>
          <t>October 2023: EUR 31.0m raised through a 6.0% corporate bond plus EUR 3.5m of extensions from earlier bond issues.</t>
        </is>
      </c>
      <c r="I106" s="2" t="inlineStr">
        <is>
          <t>S1</t>
        </is>
      </c>
      <c r="J106" s="2" t="n">
        <v>136</v>
      </c>
      <c r="K106" s="3" t="inlineStr">
        <is>
          <t>In October 2023, Fastned raised an additional €31.0 million of corporate bonds and €3.5 million of extensions from earlier bonds issues.</t>
        </is>
      </c>
      <c r="L106" s="2" t="inlineStr">
        <is>
          <t>pend</t>
        </is>
      </c>
      <c r="M106" s="2" t="n"/>
      <c r="N106" s="2" t="n"/>
      <c r="O106" s="3" t="inlineStr">
        <is>
          <t>https://vanillabonds.com/dossier-data/pdf/fastned/fastned-2023-annual-report.pdf#page=136</t>
        </is>
      </c>
    </row>
    <row r="107">
      <c r="A107" s="2" t="inlineStr">
        <is>
          <t>F106</t>
        </is>
      </c>
      <c r="B107" s="2" t="inlineStr">
        <is>
          <t>business</t>
        </is>
      </c>
      <c r="C107" s="2" t="inlineStr">
        <is>
          <t>key_event</t>
        </is>
      </c>
      <c r="D107" s="2" t="inlineStr">
        <is>
          <t>Key event (M&amp;A, financing, strategy)</t>
        </is>
      </c>
      <c r="E107" s="2" t="n"/>
      <c r="F107" s="2" t="n"/>
      <c r="G107" s="2" t="n"/>
      <c r="H107" s="3" t="inlineStr">
        <is>
          <t>2022 equity issue: 2,120,766 certificates issued, share premium EUR 75,862k less 1,702k transaction costs; 2023: 89,414 DRs issued on option exercise, share premium 925k.</t>
        </is>
      </c>
      <c r="I107" s="2" t="inlineStr">
        <is>
          <t>S1</t>
        </is>
      </c>
      <c r="J107" s="2" t="n">
        <v>144</v>
      </c>
      <c r="K107" s="3" t="inlineStr">
        <is>
          <t>Issuance of share capital (certificates) 75,862</t>
        </is>
      </c>
      <c r="L107" s="2" t="inlineStr">
        <is>
          <t>pend</t>
        </is>
      </c>
      <c r="M107" s="2" t="n"/>
      <c r="N107" s="2" t="n"/>
      <c r="O107" s="3" t="inlineStr">
        <is>
          <t>https://vanillabonds.com/dossier-data/pdf/fastned/fastned-2023-annual-report.pdf#page=144</t>
        </is>
      </c>
    </row>
    <row r="108">
      <c r="A108" s="2" t="inlineStr">
        <is>
          <t>F107</t>
        </is>
      </c>
      <c r="B108" s="2" t="inlineStr">
        <is>
          <t>business</t>
        </is>
      </c>
      <c r="C108" s="2" t="inlineStr">
        <is>
          <t>key_event</t>
        </is>
      </c>
      <c r="D108" s="2" t="inlineStr">
        <is>
          <t>Key event (M&amp;A, financing, strategy)</t>
        </is>
      </c>
      <c r="E108" s="2" t="n"/>
      <c r="F108" s="2" t="n"/>
      <c r="G108" s="2" t="n"/>
      <c r="H108" s="3" t="inlineStr">
        <is>
          <t>February 2024 (post balance sheet): EUR 24.4m raised through a 6% corporate bond plus EUR 3.5m of extensions, interest quarterly in arrears.</t>
        </is>
      </c>
      <c r="I108" s="2" t="inlineStr">
        <is>
          <t>S1</t>
        </is>
      </c>
      <c r="J108" s="2" t="n">
        <v>155</v>
      </c>
      <c r="K108" s="3" t="inlineStr">
        <is>
          <t>In February 2024, Fastned raised €24.4 million through issue of corporate bonds, and in addition, investors extended €3.5 million from earlier bonds issues.</t>
        </is>
      </c>
      <c r="L108" s="2" t="inlineStr">
        <is>
          <t>pend</t>
        </is>
      </c>
      <c r="M108" s="2" t="n"/>
      <c r="N108" s="2" t="n"/>
      <c r="O108" s="3" t="inlineStr">
        <is>
          <t>https://vanillabonds.com/dossier-data/pdf/fastned/fastned-2023-annual-report.pdf#page=155</t>
        </is>
      </c>
    </row>
    <row r="109">
      <c r="A109" s="2" t="inlineStr">
        <is>
          <t>F108</t>
        </is>
      </c>
      <c r="B109" s="2" t="inlineStr">
        <is>
          <t>business</t>
        </is>
      </c>
      <c r="C109" s="2" t="inlineStr">
        <is>
          <t>key_event</t>
        </is>
      </c>
      <c r="D109" s="2" t="inlineStr">
        <is>
          <t>Key event (M&amp;A, financing, strategy)</t>
        </is>
      </c>
      <c r="E109" s="2" t="n"/>
      <c r="F109" s="2" t="n"/>
      <c r="G109" s="2" t="n"/>
      <c r="H109" s="3" t="inlineStr">
        <is>
          <t>19 January 2024: Fastned B.V. issued 200,000 new shares of EUR 0.01 nominal; total issued shares 19,352,877.</t>
        </is>
      </c>
      <c r="I109" s="2" t="inlineStr">
        <is>
          <t>S1</t>
        </is>
      </c>
      <c r="J109" s="2" t="n">
        <v>155</v>
      </c>
      <c r="K109" s="3" t="inlineStr">
        <is>
          <t>Fastned B.V. issued 200,000 new shares with a nominal value of €0.01 on 19 January 2024. Total issued shares amount to 19,352,877.</t>
        </is>
      </c>
      <c r="L109" s="2" t="inlineStr">
        <is>
          <t>pend</t>
        </is>
      </c>
      <c r="M109" s="2" t="n"/>
      <c r="N109" s="2" t="n"/>
      <c r="O109" s="3" t="inlineStr">
        <is>
          <t>https://vanillabonds.com/dossier-data/pdf/fastned/fastned-2023-annual-report.pdf#page=155</t>
        </is>
      </c>
    </row>
    <row r="110">
      <c r="A110" s="2" t="inlineStr">
        <is>
          <t>F109</t>
        </is>
      </c>
      <c r="B110" s="2" t="inlineStr">
        <is>
          <t>business</t>
        </is>
      </c>
      <c r="C110" s="2" t="inlineStr">
        <is>
          <t>key_event</t>
        </is>
      </c>
      <c r="D110" s="2" t="inlineStr">
        <is>
          <t>Key event (M&amp;A, financing, strategy)</t>
        </is>
      </c>
      <c r="E110" s="2" t="n"/>
      <c r="F110" s="2" t="n"/>
      <c r="G110" s="2" t="n"/>
      <c r="H110" s="3" t="inlineStr">
        <is>
          <t>Deutschlandnetz tender: Fastned won one lot giving the opportunity to build fast charging stations at 34 German highway service areas.</t>
        </is>
      </c>
      <c r="I110" s="2" t="inlineStr">
        <is>
          <t>S1</t>
        </is>
      </c>
      <c r="J110" s="2" t="n">
        <v>155</v>
      </c>
      <c r="K110" s="3" t="inlineStr">
        <is>
          <t>Fastned has won one lot in the so-called “Deutschlandnetz” tender giving the company the opportunity to build fast charging stations at 34 highway service areas.</t>
        </is>
      </c>
      <c r="L110" s="2" t="inlineStr">
        <is>
          <t>pend</t>
        </is>
      </c>
      <c r="M110" s="2" t="n"/>
      <c r="N110" s="2" t="n"/>
      <c r="O110" s="3" t="inlineStr">
        <is>
          <t>https://vanillabonds.com/dossier-data/pdf/fastned/fastned-2023-annual-report.pdf#page=155</t>
        </is>
      </c>
    </row>
    <row r="111">
      <c r="A111" s="2" t="inlineStr">
        <is>
          <t>F110</t>
        </is>
      </c>
      <c r="B111" s="2" t="inlineStr">
        <is>
          <t>business</t>
        </is>
      </c>
      <c r="C111" s="2" t="inlineStr">
        <is>
          <t>key_event</t>
        </is>
      </c>
      <c r="D111" s="2" t="inlineStr">
        <is>
          <t>Key event (M&amp;A, financing, strategy)</t>
        </is>
      </c>
      <c r="E111" s="2" t="n"/>
      <c r="F111" s="2" t="n"/>
      <c r="G111" s="2" t="n"/>
      <c r="H111" s="3" t="inlineStr">
        <is>
          <t>Auditor change: BDO Audit &amp; Assurance B.V. engaged by the General Meeting as of the audit for financial year 2023, replacing Deloitte Accountants B.V.</t>
        </is>
      </c>
      <c r="I111" s="2" t="inlineStr">
        <is>
          <t>S1</t>
        </is>
      </c>
      <c r="J111" s="2" t="n">
        <v>187</v>
      </c>
      <c r="K111" s="3" t="inlineStr">
        <is>
          <t>We were engaged by the General Meeting as auditor of Fastned B.V., as of the audit for financial year 2023.</t>
        </is>
      </c>
      <c r="L111" s="2" t="inlineStr">
        <is>
          <t>pend</t>
        </is>
      </c>
      <c r="M111" s="2" t="n"/>
      <c r="N111" s="2" t="n"/>
      <c r="O111" s="3" t="inlineStr">
        <is>
          <t>https://vanillabonds.com/dossier-data/pdf/fastned/fastned-2023-annual-report.pdf#page=187</t>
        </is>
      </c>
    </row>
    <row r="112">
      <c r="A112" s="2" t="inlineStr">
        <is>
          <t>F111</t>
        </is>
      </c>
      <c r="B112" s="2" t="inlineStr">
        <is>
          <t>financials</t>
        </is>
      </c>
      <c r="C112" s="2" t="inlineStr">
        <is>
          <t>revenue</t>
        </is>
      </c>
      <c r="D112" s="2" t="inlineStr">
        <is>
          <t>Revenue</t>
        </is>
      </c>
      <c r="E112" s="2" t="inlineStr">
        <is>
          <t>FY2019</t>
        </is>
      </c>
      <c r="F112" s="2" t="n">
        <v>4.5</v>
      </c>
      <c r="G112" s="2" t="inlineStr">
        <is>
          <t>EUR m</t>
        </is>
      </c>
      <c r="H112" s="3" t="inlineStr">
        <is>
          <t>Revenues related to charging 2019 (five-year table, EUR 4,548k).</t>
        </is>
      </c>
      <c r="I112" s="2" t="inlineStr">
        <is>
          <t>S1</t>
        </is>
      </c>
      <c r="J112" s="2" t="n">
        <v>71</v>
      </c>
      <c r="K112" s="3" t="inlineStr">
        <is>
          <t>Revenues related to charging (€ ‘000) 60,510 68 % 35,963 191 % 12,352 98 % 6,253 37 % 4,548</t>
        </is>
      </c>
      <c r="L112" s="2" t="inlineStr">
        <is>
          <t>pend</t>
        </is>
      </c>
      <c r="M112" s="2" t="n"/>
      <c r="N112" s="2" t="n"/>
      <c r="O112" s="3" t="inlineStr">
        <is>
          <t>https://vanillabonds.com/dossier-data/pdf/fastned/fastned-2023-annual-report.pdf#page=71</t>
        </is>
      </c>
    </row>
    <row r="113">
      <c r="A113" s="2" t="inlineStr">
        <is>
          <t>F112</t>
        </is>
      </c>
      <c r="B113" s="2" t="inlineStr">
        <is>
          <t>financials</t>
        </is>
      </c>
      <c r="C113" s="2" t="inlineStr">
        <is>
          <t>revenue</t>
        </is>
      </c>
      <c r="D113" s="2" t="inlineStr">
        <is>
          <t>Revenue</t>
        </is>
      </c>
      <c r="E113" s="2" t="inlineStr">
        <is>
          <t>FY2020</t>
        </is>
      </c>
      <c r="F113" s="2" t="n">
        <v>6.3</v>
      </c>
      <c r="G113" s="2" t="inlineStr">
        <is>
          <t>EUR m</t>
        </is>
      </c>
      <c r="H113" s="3" t="inlineStr">
        <is>
          <t>Revenues related to charging 2020 (five-year table, EUR 6,253k).</t>
        </is>
      </c>
      <c r="I113" s="2" t="inlineStr">
        <is>
          <t>S1</t>
        </is>
      </c>
      <c r="J113" s="2" t="n">
        <v>71</v>
      </c>
      <c r="K113" s="3" t="inlineStr">
        <is>
          <t>Revenues related to charging (€ ‘000) 60,510 68 % 35,963 191 % 12,352 98 % 6,253 37 % 4,548</t>
        </is>
      </c>
      <c r="L113" s="2" t="inlineStr">
        <is>
          <t>pend</t>
        </is>
      </c>
      <c r="M113" s="2" t="n"/>
      <c r="N113" s="2" t="n"/>
      <c r="O113" s="3" t="inlineStr">
        <is>
          <t>https://vanillabonds.com/dossier-data/pdf/fastned/fastned-2023-annual-report.pdf#page=71</t>
        </is>
      </c>
    </row>
    <row r="114">
      <c r="A114" s="2" t="inlineStr">
        <is>
          <t>F113</t>
        </is>
      </c>
      <c r="B114" s="2" t="inlineStr">
        <is>
          <t>financials</t>
        </is>
      </c>
      <c r="C114" s="2" t="inlineStr">
        <is>
          <t>revenue</t>
        </is>
      </c>
      <c r="D114" s="2" t="inlineStr">
        <is>
          <t>Revenue</t>
        </is>
      </c>
      <c r="E114" s="2" t="inlineStr">
        <is>
          <t>FY2021</t>
        </is>
      </c>
      <c r="F114" s="2" t="n">
        <v>12.5</v>
      </c>
      <c r="G114" s="2" t="inlineStr">
        <is>
          <t>EUR m</t>
        </is>
      </c>
      <c r="H114" s="3" t="inlineStr">
        <is>
          <t>Total revenues 2021 per financial review key figures (charging 12.4 + other 0.1).</t>
        </is>
      </c>
      <c r="I114" s="2" t="inlineStr">
        <is>
          <t>S1</t>
        </is>
      </c>
      <c r="J114" s="2" t="n">
        <v>36</v>
      </c>
      <c r="K114" s="2" t="inlineStr">
        <is>
          <t>Total revenues 60.5 36.0 12.5 68 %</t>
        </is>
      </c>
      <c r="L114" s="2" t="inlineStr">
        <is>
          <t>pend</t>
        </is>
      </c>
      <c r="M114" s="2" t="n"/>
      <c r="N114" s="2" t="n"/>
      <c r="O114" s="3" t="inlineStr">
        <is>
          <t>https://vanillabonds.com/dossier-data/pdf/fastned/fastned-2023-annual-report.pdf#page=36</t>
        </is>
      </c>
    </row>
    <row r="115">
      <c r="A115" s="2" t="inlineStr">
        <is>
          <t>F114</t>
        </is>
      </c>
      <c r="B115" s="2" t="inlineStr">
        <is>
          <t>financials</t>
        </is>
      </c>
      <c r="C115" s="2" t="inlineStr">
        <is>
          <t>revenue</t>
        </is>
      </c>
      <c r="D115" s="2" t="inlineStr">
        <is>
          <t>Revenue</t>
        </is>
      </c>
      <c r="E115" s="2" t="inlineStr">
        <is>
          <t>FY2022</t>
        </is>
      </c>
      <c r="F115" s="2" t="n">
        <v>36</v>
      </c>
      <c r="G115" s="2" t="inlineStr">
        <is>
          <t>EUR m</t>
        </is>
      </c>
      <c r="H115" s="2" t="inlineStr">
        <is>
          <t>Total revenue 2022 (EUR 35,978k)</t>
        </is>
      </c>
      <c r="I115" s="2" t="inlineStr">
        <is>
          <t>S1</t>
        </is>
      </c>
      <c r="J115" s="2" t="n">
        <v>118</v>
      </c>
      <c r="K115" s="2" t="inlineStr">
        <is>
          <t>Total revenue 60,514 35,978</t>
        </is>
      </c>
      <c r="L115" s="2" t="inlineStr">
        <is>
          <t>pend</t>
        </is>
      </c>
      <c r="M115" s="2" t="n"/>
      <c r="N115" s="2" t="n"/>
      <c r="O115" s="3" t="inlineStr">
        <is>
          <t>https://vanillabonds.com/dossier-data/pdf/fastned/fastned-2023-annual-report.pdf#page=118</t>
        </is>
      </c>
    </row>
    <row r="116">
      <c r="A116" s="2" t="inlineStr">
        <is>
          <t>F115</t>
        </is>
      </c>
      <c r="B116" s="2" t="inlineStr">
        <is>
          <t>financials</t>
        </is>
      </c>
      <c r="C116" s="2" t="inlineStr">
        <is>
          <t>revenue</t>
        </is>
      </c>
      <c r="D116" s="2" t="inlineStr">
        <is>
          <t>Revenue</t>
        </is>
      </c>
      <c r="E116" s="2" t="inlineStr">
        <is>
          <t>FY2023</t>
        </is>
      </c>
      <c r="F116" s="2" t="n">
        <v>60.5</v>
      </c>
      <c r="G116" s="2" t="inlineStr">
        <is>
          <t>EUR m</t>
        </is>
      </c>
      <c r="H116" s="2" t="inlineStr">
        <is>
          <t>Total revenue 2023 (EUR 60,514k)</t>
        </is>
      </c>
      <c r="I116" s="2" t="inlineStr">
        <is>
          <t>S1</t>
        </is>
      </c>
      <c r="J116" s="2" t="n">
        <v>118</v>
      </c>
      <c r="K116" s="2" t="inlineStr">
        <is>
          <t>Total revenue 60,514 35,978</t>
        </is>
      </c>
      <c r="L116" s="2" t="inlineStr">
        <is>
          <t>pend</t>
        </is>
      </c>
      <c r="M116" s="2" t="n"/>
      <c r="N116" s="2" t="n"/>
      <c r="O116" s="3" t="inlineStr">
        <is>
          <t>https://vanillabonds.com/dossier-data/pdf/fastned/fastned-2023-annual-report.pdf#page=118</t>
        </is>
      </c>
    </row>
    <row r="117">
      <c r="A117" s="2" t="inlineStr">
        <is>
          <t>F116</t>
        </is>
      </c>
      <c r="B117" s="2" t="inlineStr">
        <is>
          <t>financials</t>
        </is>
      </c>
      <c r="C117" s="2" t="inlineStr">
        <is>
          <t>ebitda</t>
        </is>
      </c>
      <c r="D117" s="2" t="inlineStr">
        <is>
          <t>EBITDA (as reported)</t>
        </is>
      </c>
      <c r="E117" s="2" t="inlineStr">
        <is>
          <t>FY2021</t>
        </is>
      </c>
      <c r="F117" s="2" t="n">
        <v>-12.6</v>
      </c>
      <c r="G117" s="2" t="inlineStr">
        <is>
          <t>EUR m</t>
        </is>
      </c>
      <c r="H117" s="3" t="inlineStr">
        <is>
          <t>EBITDA 2021 per financial review key figures.</t>
        </is>
      </c>
      <c r="I117" s="2" t="inlineStr">
        <is>
          <t>S1</t>
        </is>
      </c>
      <c r="J117" s="2" t="n">
        <v>36</v>
      </c>
      <c r="K117" s="2" t="inlineStr">
        <is>
          <t>EBITDA 4.6 (4.6) (12.6)</t>
        </is>
      </c>
      <c r="L117" s="2" t="inlineStr">
        <is>
          <t>pend</t>
        </is>
      </c>
      <c r="M117" s="2" t="n"/>
      <c r="N117" s="2" t="n"/>
      <c r="O117" s="3" t="inlineStr">
        <is>
          <t>https://vanillabonds.com/dossier-data/pdf/fastned/fastned-2023-annual-report.pdf#page=36</t>
        </is>
      </c>
    </row>
    <row r="118">
      <c r="A118" s="2" t="inlineStr">
        <is>
          <t>F117</t>
        </is>
      </c>
      <c r="B118" s="2" t="inlineStr">
        <is>
          <t>financials</t>
        </is>
      </c>
      <c r="C118" s="2" t="inlineStr">
        <is>
          <t>ebitda</t>
        </is>
      </c>
      <c r="D118" s="2" t="inlineStr">
        <is>
          <t>EBITDA (as reported)</t>
        </is>
      </c>
      <c r="E118" s="2" t="inlineStr">
        <is>
          <t>FY2022</t>
        </is>
      </c>
      <c r="F118" s="2" t="n">
        <v>-4.6</v>
      </c>
      <c r="G118" s="2" t="inlineStr">
        <is>
          <t>EUR m</t>
        </is>
      </c>
      <c r="H118" s="3" t="inlineStr">
        <is>
          <t>EBITDA as reported by the CODM segment note, total group 2022 (EUR -4,557k)</t>
        </is>
      </c>
      <c r="I118" s="2" t="inlineStr">
        <is>
          <t>S1</t>
        </is>
      </c>
      <c r="J118" s="2" t="n">
        <v>121</v>
      </c>
      <c r="K118" s="3" t="inlineStr">
        <is>
          <t>EBITDA 1,857 (501) (1,660) (1,084) (2,634) (535) (4,557)</t>
        </is>
      </c>
      <c r="L118" s="2" t="inlineStr">
        <is>
          <t>pend</t>
        </is>
      </c>
      <c r="M118" s="2" t="n"/>
      <c r="N118" s="2" t="n"/>
      <c r="O118" s="3" t="inlineStr">
        <is>
          <t>https://vanillabonds.com/dossier-data/pdf/fastned/fastned-2023-annual-report.pdf#page=121</t>
        </is>
      </c>
    </row>
    <row r="119">
      <c r="A119" s="2" t="inlineStr">
        <is>
          <t>F118</t>
        </is>
      </c>
      <c r="B119" s="2" t="inlineStr">
        <is>
          <t>financials</t>
        </is>
      </c>
      <c r="C119" s="2" t="inlineStr">
        <is>
          <t>ebitda</t>
        </is>
      </c>
      <c r="D119" s="2" t="inlineStr">
        <is>
          <t>EBITDA (as reported)</t>
        </is>
      </c>
      <c r="E119" s="2" t="inlineStr">
        <is>
          <t>FY2023</t>
        </is>
      </c>
      <c r="F119" s="2" t="n">
        <v>4.6</v>
      </c>
      <c r="G119" s="2" t="inlineStr">
        <is>
          <t>EUR m</t>
        </is>
      </c>
      <c r="H119" s="3" t="inlineStr">
        <is>
          <t>EBITDA as reported by the CODM segment note, total group 2023 (EUR 4,579k)</t>
        </is>
      </c>
      <c r="I119" s="2" t="inlineStr">
        <is>
          <t>S1</t>
        </is>
      </c>
      <c r="J119" s="2" t="n">
        <v>120</v>
      </c>
      <c r="K119" s="3" t="inlineStr">
        <is>
          <t>EBITDA 6,890 525 (809) 763 (2,246) (544) 4,579</t>
        </is>
      </c>
      <c r="L119" s="2" t="inlineStr">
        <is>
          <t>pend</t>
        </is>
      </c>
      <c r="M119" s="2" t="n"/>
      <c r="N119" s="2" t="n"/>
      <c r="O119" s="3" t="inlineStr">
        <is>
          <t>https://vanillabonds.com/dossier-data/pdf/fastned/fastned-2023-annual-report.pdf#page=120</t>
        </is>
      </c>
    </row>
    <row r="120">
      <c r="A120" s="2" t="inlineStr">
        <is>
          <t>F119</t>
        </is>
      </c>
      <c r="B120" s="2" t="inlineStr">
        <is>
          <t>financials</t>
        </is>
      </c>
      <c r="C120" s="2" t="inlineStr">
        <is>
          <t>ebitda_adj</t>
        </is>
      </c>
      <c r="D120" s="3" t="inlineStr">
        <is>
          <t>EBITDA adjusted / underlying (as reported)</t>
        </is>
      </c>
      <c r="E120" s="2" t="inlineStr">
        <is>
          <t>FY2021</t>
        </is>
      </c>
      <c r="F120" s="2" t="n">
        <v>-4.4</v>
      </c>
      <c r="G120" s="2" t="inlineStr">
        <is>
          <t>EUR m</t>
        </is>
      </c>
      <c r="H120" s="3" t="inlineStr">
        <is>
          <t>Underlying company EBITDA 2021 (financial review key figures).</t>
        </is>
      </c>
      <c r="I120" s="2" t="inlineStr">
        <is>
          <t>S1</t>
        </is>
      </c>
      <c r="J120" s="2" t="n">
        <v>36</v>
      </c>
      <c r="K120" s="3" t="inlineStr">
        <is>
          <t>Underlying company EBITDA 7.8 (4.0) (4.4)</t>
        </is>
      </c>
      <c r="L120" s="2" t="inlineStr">
        <is>
          <t>pend</t>
        </is>
      </c>
      <c r="M120" s="2" t="n"/>
      <c r="N120" s="2" t="n"/>
      <c r="O120" s="3" t="inlineStr">
        <is>
          <t>https://vanillabonds.com/dossier-data/pdf/fastned/fastned-2023-annual-report.pdf#page=36</t>
        </is>
      </c>
    </row>
    <row r="121">
      <c r="A121" s="2" t="inlineStr">
        <is>
          <t>F120</t>
        </is>
      </c>
      <c r="B121" s="2" t="inlineStr">
        <is>
          <t>financials</t>
        </is>
      </c>
      <c r="C121" s="2" t="inlineStr">
        <is>
          <t>ebitda_adj</t>
        </is>
      </c>
      <c r="D121" s="3" t="inlineStr">
        <is>
          <t>EBITDA adjusted / underlying (as reported)</t>
        </is>
      </c>
      <c r="E121" s="2" t="inlineStr">
        <is>
          <t>FY2022</t>
        </is>
      </c>
      <c r="F121" s="2" t="n">
        <v>-4</v>
      </c>
      <c r="G121" s="2" t="inlineStr">
        <is>
          <t>EUR m</t>
        </is>
      </c>
      <c r="H121" s="2" t="inlineStr">
        <is>
          <t>Underlying company EBITDA 2022.</t>
        </is>
      </c>
      <c r="I121" s="2" t="inlineStr">
        <is>
          <t>S1</t>
        </is>
      </c>
      <c r="J121" s="2" t="n">
        <v>37</v>
      </c>
      <c r="K121" s="3" t="inlineStr">
        <is>
          <t>The metric reached €7.8 million in 2023, up from €(4.0) million in the previous year.</t>
        </is>
      </c>
      <c r="L121" s="2" t="inlineStr">
        <is>
          <t>pend</t>
        </is>
      </c>
      <c r="M121" s="2" t="n"/>
      <c r="N121" s="2" t="n"/>
      <c r="O121" s="3" t="inlineStr">
        <is>
          <t>https://vanillabonds.com/dossier-data/pdf/fastned/fastned-2023-annual-report.pdf#page=37</t>
        </is>
      </c>
    </row>
    <row r="122">
      <c r="A122" s="2" t="inlineStr">
        <is>
          <t>F121</t>
        </is>
      </c>
      <c r="B122" s="2" t="inlineStr">
        <is>
          <t>financials</t>
        </is>
      </c>
      <c r="C122" s="2" t="inlineStr">
        <is>
          <t>ebitda_adj</t>
        </is>
      </c>
      <c r="D122" s="3" t="inlineStr">
        <is>
          <t>EBITDA adjusted / underlying (as reported)</t>
        </is>
      </c>
      <c r="E122" s="2" t="inlineStr">
        <is>
          <t>FY2023</t>
        </is>
      </c>
      <c r="F122" s="2" t="n">
        <v>7.8</v>
      </c>
      <c r="G122" s="2" t="inlineStr">
        <is>
          <t>EUR m</t>
        </is>
      </c>
      <c r="H122" s="3" t="inlineStr">
        <is>
          <t>Underlying company EBITDA (company definition: before exceptional items and gross profit on station construction for third parties).</t>
        </is>
      </c>
      <c r="I122" s="2" t="inlineStr">
        <is>
          <t>S1</t>
        </is>
      </c>
      <c r="J122" s="2" t="n">
        <v>37</v>
      </c>
      <c r="K122" s="3" t="inlineStr">
        <is>
          <t>The metric reached €7.8 million in 2023, up from €(4.0) million in the previous year.</t>
        </is>
      </c>
      <c r="L122" s="2" t="inlineStr">
        <is>
          <t>pend</t>
        </is>
      </c>
      <c r="M122" s="2" t="n"/>
      <c r="N122" s="2" t="n"/>
      <c r="O122" s="3" t="inlineStr">
        <is>
          <t>https://vanillabonds.com/dossier-data/pdf/fastned/fastned-2023-annual-report.pdf#page=37</t>
        </is>
      </c>
    </row>
    <row r="123">
      <c r="A123" s="2" t="inlineStr">
        <is>
          <t>F122</t>
        </is>
      </c>
      <c r="B123" s="2" t="inlineStr">
        <is>
          <t>financials</t>
        </is>
      </c>
      <c r="C123" s="2" t="inlineStr">
        <is>
          <t>ebit</t>
        </is>
      </c>
      <c r="D123" s="2" t="inlineStr">
        <is>
          <t>EBIT / operating result</t>
        </is>
      </c>
      <c r="E123" s="2" t="inlineStr">
        <is>
          <t>FY2022</t>
        </is>
      </c>
      <c r="F123" s="2" t="n">
        <v>-14.4</v>
      </c>
      <c r="G123" s="2" t="inlineStr">
        <is>
          <t>EUR m</t>
        </is>
      </c>
      <c r="H123" s="2" t="inlineStr">
        <is>
          <t>Operating loss EUR -14,365k (IFRS).</t>
        </is>
      </c>
      <c r="I123" s="2" t="inlineStr">
        <is>
          <t>S1</t>
        </is>
      </c>
      <c r="J123" s="2" t="n">
        <v>91</v>
      </c>
      <c r="K123" s="2" t="inlineStr">
        <is>
          <t>Operating loss (12,108) (14,365)</t>
        </is>
      </c>
      <c r="L123" s="2" t="inlineStr">
        <is>
          <t>pend</t>
        </is>
      </c>
      <c r="M123" s="2" t="n"/>
      <c r="N123" s="2" t="n"/>
      <c r="O123" s="3" t="inlineStr">
        <is>
          <t>https://vanillabonds.com/dossier-data/pdf/fastned/fastned-2023-annual-report.pdf#page=91</t>
        </is>
      </c>
    </row>
    <row r="124">
      <c r="A124" s="2" t="inlineStr">
        <is>
          <t>F123</t>
        </is>
      </c>
      <c r="B124" s="2" t="inlineStr">
        <is>
          <t>financials</t>
        </is>
      </c>
      <c r="C124" s="2" t="inlineStr">
        <is>
          <t>ebit</t>
        </is>
      </c>
      <c r="D124" s="2" t="inlineStr">
        <is>
          <t>EBIT / operating result</t>
        </is>
      </c>
      <c r="E124" s="2" t="inlineStr">
        <is>
          <t>FY2023</t>
        </is>
      </c>
      <c r="F124" s="2" t="n">
        <v>-12.1</v>
      </c>
      <c r="G124" s="2" t="inlineStr">
        <is>
          <t>EUR m</t>
        </is>
      </c>
      <c r="H124" s="2" t="inlineStr">
        <is>
          <t>Operating loss EUR -12,108k (IFRS).</t>
        </is>
      </c>
      <c r="I124" s="2" t="inlineStr">
        <is>
          <t>S1</t>
        </is>
      </c>
      <c r="J124" s="2" t="n">
        <v>91</v>
      </c>
      <c r="K124" s="2" t="inlineStr">
        <is>
          <t>Operating loss (12,108) (14,365)</t>
        </is>
      </c>
      <c r="L124" s="2" t="inlineStr">
        <is>
          <t>pend</t>
        </is>
      </c>
      <c r="M124" s="2" t="n"/>
      <c r="N124" s="2" t="n"/>
      <c r="O124" s="3" t="inlineStr">
        <is>
          <t>https://vanillabonds.com/dossier-data/pdf/fastned/fastned-2023-annual-report.pdf#page=91</t>
        </is>
      </c>
    </row>
    <row r="125">
      <c r="A125" s="2" t="inlineStr">
        <is>
          <t>F124</t>
        </is>
      </c>
      <c r="B125" s="2" t="inlineStr">
        <is>
          <t>financials</t>
        </is>
      </c>
      <c r="C125" s="2" t="inlineStr">
        <is>
          <t>net_income</t>
        </is>
      </c>
      <c r="D125" s="2" t="inlineStr">
        <is>
          <t>Net result</t>
        </is>
      </c>
      <c r="E125" s="2" t="inlineStr">
        <is>
          <t>FY2021</t>
        </is>
      </c>
      <c r="F125" s="2" t="n">
        <v>-24.6</v>
      </c>
      <c r="G125" s="2" t="inlineStr">
        <is>
          <t>EUR m</t>
        </is>
      </c>
      <c r="H125" s="3" t="inlineStr">
        <is>
          <t>Net loss 2021 per financial review key figures.</t>
        </is>
      </c>
      <c r="I125" s="2" t="inlineStr">
        <is>
          <t>S1</t>
        </is>
      </c>
      <c r="J125" s="2" t="n">
        <v>36</v>
      </c>
      <c r="K125" s="2" t="inlineStr">
        <is>
          <t>Net profit (19.3) (22.2) (24.6)</t>
        </is>
      </c>
      <c r="L125" s="2" t="inlineStr">
        <is>
          <t>pend</t>
        </is>
      </c>
      <c r="M125" s="2" t="n"/>
      <c r="N125" s="2" t="n"/>
      <c r="O125" s="3" t="inlineStr">
        <is>
          <t>https://vanillabonds.com/dossier-data/pdf/fastned/fastned-2023-annual-report.pdf#page=36</t>
        </is>
      </c>
    </row>
    <row r="126">
      <c r="A126" s="2" t="inlineStr">
        <is>
          <t>F125</t>
        </is>
      </c>
      <c r="B126" s="2" t="inlineStr">
        <is>
          <t>financials</t>
        </is>
      </c>
      <c r="C126" s="2" t="inlineStr">
        <is>
          <t>net_income</t>
        </is>
      </c>
      <c r="D126" s="2" t="inlineStr">
        <is>
          <t>Net result</t>
        </is>
      </c>
      <c r="E126" s="2" t="inlineStr">
        <is>
          <t>FY2022</t>
        </is>
      </c>
      <c r="F126" s="2" t="n">
        <v>-22.2</v>
      </c>
      <c r="G126" s="2" t="inlineStr">
        <is>
          <t>EUR m</t>
        </is>
      </c>
      <c r="H126" s="2" t="inlineStr">
        <is>
          <t>Net loss 2022 (EUR -22,202k)</t>
        </is>
      </c>
      <c r="I126" s="2" t="inlineStr">
        <is>
          <t>S1</t>
        </is>
      </c>
      <c r="J126" s="2" t="n">
        <v>128</v>
      </c>
      <c r="K126" s="2" t="inlineStr">
        <is>
          <t>Net profit (19,250) (22,202)</t>
        </is>
      </c>
      <c r="L126" s="2" t="inlineStr">
        <is>
          <t>pend</t>
        </is>
      </c>
      <c r="M126" s="2" t="n"/>
      <c r="N126" s="2" t="n"/>
      <c r="O126" s="3" t="inlineStr">
        <is>
          <t>https://vanillabonds.com/dossier-data/pdf/fastned/fastned-2023-annual-report.pdf#page=128</t>
        </is>
      </c>
    </row>
    <row r="127">
      <c r="A127" s="2" t="inlineStr">
        <is>
          <t>F126</t>
        </is>
      </c>
      <c r="B127" s="2" t="inlineStr">
        <is>
          <t>financials</t>
        </is>
      </c>
      <c r="C127" s="2" t="inlineStr">
        <is>
          <t>net_income</t>
        </is>
      </c>
      <c r="D127" s="2" t="inlineStr">
        <is>
          <t>Net result</t>
        </is>
      </c>
      <c r="E127" s="2" t="inlineStr">
        <is>
          <t>FY2023</t>
        </is>
      </c>
      <c r="F127" s="2" t="n">
        <v>-19.3</v>
      </c>
      <c r="G127" s="2" t="inlineStr">
        <is>
          <t>EUR m</t>
        </is>
      </c>
      <c r="H127" s="3" t="inlineStr">
        <is>
          <t>Net loss 2023 (EUR -19,250k), fully attributable to shareholders</t>
        </is>
      </c>
      <c r="I127" s="2" t="inlineStr">
        <is>
          <t>S1</t>
        </is>
      </c>
      <c r="J127" s="2" t="n">
        <v>128</v>
      </c>
      <c r="K127" s="2" t="inlineStr">
        <is>
          <t>Net profit (19,250) (22,202)</t>
        </is>
      </c>
      <c r="L127" s="2" t="inlineStr">
        <is>
          <t>pend</t>
        </is>
      </c>
      <c r="M127" s="2" t="n"/>
      <c r="N127" s="2" t="n"/>
      <c r="O127" s="3" t="inlineStr">
        <is>
          <t>https://vanillabonds.com/dossier-data/pdf/fastned/fastned-2023-annual-report.pdf#page=128</t>
        </is>
      </c>
    </row>
    <row r="128">
      <c r="A128" s="2" t="inlineStr">
        <is>
          <t>F127</t>
        </is>
      </c>
      <c r="B128" s="2" t="inlineStr">
        <is>
          <t>financials</t>
        </is>
      </c>
      <c r="C128" s="2" t="inlineStr">
        <is>
          <t>da</t>
        </is>
      </c>
      <c r="D128" s="2" t="inlineStr">
        <is>
          <t>Depreciation &amp; amortisation</t>
        </is>
      </c>
      <c r="E128" s="2" t="inlineStr">
        <is>
          <t>FY2021</t>
        </is>
      </c>
      <c r="F128" s="2" t="n">
        <v>5.9</v>
      </c>
      <c r="G128" s="2" t="inlineStr">
        <is>
          <t>EUR m</t>
        </is>
      </c>
      <c r="H128" s="3" t="inlineStr">
        <is>
          <t>Depreciation 2021 EUR 5,869k (financial review cash flow table).</t>
        </is>
      </c>
      <c r="I128" s="2" t="inlineStr">
        <is>
          <t>S1</t>
        </is>
      </c>
      <c r="J128" s="2" t="n">
        <v>38</v>
      </c>
      <c r="K128" s="2" t="inlineStr">
        <is>
          <t>Depreciation 16,663 10,260 5,869</t>
        </is>
      </c>
      <c r="L128" s="2" t="inlineStr">
        <is>
          <t>pend</t>
        </is>
      </c>
      <c r="M128" s="2" t="n"/>
      <c r="N128" s="2" t="n"/>
      <c r="O128" s="3" t="inlineStr">
        <is>
          <t>https://vanillabonds.com/dossier-data/pdf/fastned/fastned-2023-annual-report.pdf#page=38</t>
        </is>
      </c>
    </row>
    <row r="129">
      <c r="A129" s="2" t="inlineStr">
        <is>
          <t>F128</t>
        </is>
      </c>
      <c r="B129" s="2" t="inlineStr">
        <is>
          <t>financials</t>
        </is>
      </c>
      <c r="C129" s="2" t="inlineStr">
        <is>
          <t>da</t>
        </is>
      </c>
      <c r="D129" s="2" t="inlineStr">
        <is>
          <t>Depreciation &amp; amortisation</t>
        </is>
      </c>
      <c r="E129" s="2" t="inlineStr">
        <is>
          <t>FY2022</t>
        </is>
      </c>
      <c r="F129" s="2" t="n">
        <v>10.3</v>
      </c>
      <c r="G129" s="2" t="inlineStr">
        <is>
          <t>EUR m</t>
        </is>
      </c>
      <c r="H129" s="3" t="inlineStr">
        <is>
          <t>Depreciation and amortization total group 2022 (EUR 10,260k)</t>
        </is>
      </c>
      <c r="I129" s="2" t="inlineStr">
        <is>
          <t>S1</t>
        </is>
      </c>
      <c r="J129" s="2" t="n">
        <v>121</v>
      </c>
      <c r="K129" s="3" t="inlineStr">
        <is>
          <t>Depreciation and amortization (6,243) (2,298) (381) (635) (571) (132) (10,260)</t>
        </is>
      </c>
      <c r="L129" s="2" t="inlineStr">
        <is>
          <t>pend</t>
        </is>
      </c>
      <c r="M129" s="2" t="n"/>
      <c r="N129" s="2" t="n"/>
      <c r="O129" s="3" t="inlineStr">
        <is>
          <t>https://vanillabonds.com/dossier-data/pdf/fastned/fastned-2023-annual-report.pdf#page=121</t>
        </is>
      </c>
    </row>
    <row r="130">
      <c r="A130" s="2" t="inlineStr">
        <is>
          <t>F129</t>
        </is>
      </c>
      <c r="B130" s="2" t="inlineStr">
        <is>
          <t>financials</t>
        </is>
      </c>
      <c r="C130" s="2" t="inlineStr">
        <is>
          <t>da</t>
        </is>
      </c>
      <c r="D130" s="2" t="inlineStr">
        <is>
          <t>Depreciation &amp; amortisation</t>
        </is>
      </c>
      <c r="E130" s="2" t="inlineStr">
        <is>
          <t>FY2023</t>
        </is>
      </c>
      <c r="F130" s="2" t="n">
        <v>16.7</v>
      </c>
      <c r="G130" s="2" t="inlineStr">
        <is>
          <t>EUR m</t>
        </is>
      </c>
      <c r="H130" s="3" t="inlineStr">
        <is>
          <t>Depreciation and amortization total group 2023 (EUR 16,662k)</t>
        </is>
      </c>
      <c r="I130" s="2" t="inlineStr">
        <is>
          <t>S1</t>
        </is>
      </c>
      <c r="J130" s="2" t="n">
        <v>120</v>
      </c>
      <c r="K130" s="3" t="inlineStr">
        <is>
          <t>Depreciation and amortization (9,494) (1,915) (793) (1,189) (3,031) (240) (16,662)</t>
        </is>
      </c>
      <c r="L130" s="2" t="inlineStr">
        <is>
          <t>pend</t>
        </is>
      </c>
      <c r="M130" s="2" t="n"/>
      <c r="N130" s="2" t="n"/>
      <c r="O130" s="3" t="inlineStr">
        <is>
          <t>https://vanillabonds.com/dossier-data/pdf/fastned/fastned-2023-annual-report.pdf#page=120</t>
        </is>
      </c>
    </row>
    <row r="131">
      <c r="A131" s="2" t="inlineStr">
        <is>
          <t>F130</t>
        </is>
      </c>
      <c r="B131" s="2" t="inlineStr">
        <is>
          <t>financials</t>
        </is>
      </c>
      <c r="C131" s="2" t="inlineStr">
        <is>
          <t>net_interest</t>
        </is>
      </c>
      <c r="D131" s="2" t="inlineStr">
        <is>
          <t>Net finance cost</t>
        </is>
      </c>
      <c r="E131" s="2" t="inlineStr">
        <is>
          <t>FY2021</t>
        </is>
      </c>
      <c r="F131" s="2" t="n">
        <v>6.2</v>
      </c>
      <c r="G131" s="2" t="inlineStr">
        <is>
          <t>EUR m</t>
        </is>
      </c>
      <c r="H131" s="3" t="inlineStr">
        <is>
          <t>Net finance cost 2021 per financial review key figures.</t>
        </is>
      </c>
      <c r="I131" s="2" t="inlineStr">
        <is>
          <t>S1</t>
        </is>
      </c>
      <c r="J131" s="2" t="n">
        <v>36</v>
      </c>
      <c r="K131" s="2" t="inlineStr">
        <is>
          <t>Finance income/(cost) (6.8) (7.4) (6.2)</t>
        </is>
      </c>
      <c r="L131" s="2" t="inlineStr">
        <is>
          <t>pend</t>
        </is>
      </c>
      <c r="M131" s="2" t="n"/>
      <c r="N131" s="2" t="n"/>
      <c r="O131" s="3" t="inlineStr">
        <is>
          <t>https://vanillabonds.com/dossier-data/pdf/fastned/fastned-2023-annual-report.pdf#page=36</t>
        </is>
      </c>
    </row>
    <row r="132">
      <c r="A132" s="2" t="inlineStr">
        <is>
          <t>F131</t>
        </is>
      </c>
      <c r="B132" s="2" t="inlineStr">
        <is>
          <t>financials</t>
        </is>
      </c>
      <c r="C132" s="2" t="inlineStr">
        <is>
          <t>net_interest</t>
        </is>
      </c>
      <c r="D132" s="2" t="inlineStr">
        <is>
          <t>Net finance cost</t>
        </is>
      </c>
      <c r="E132" s="2" t="inlineStr">
        <is>
          <t>FY2022</t>
        </is>
      </c>
      <c r="F132" s="2" t="n">
        <v>7.4</v>
      </c>
      <c r="G132" s="2" t="inlineStr">
        <is>
          <t>EUR m</t>
        </is>
      </c>
      <c r="H132" s="3" t="inlineStr">
        <is>
          <t>Net finance cost: finance costs EUR 7,607k less finance income EUR 222k (p.91).</t>
        </is>
      </c>
      <c r="I132" s="2" t="inlineStr">
        <is>
          <t>S1</t>
        </is>
      </c>
      <c r="J132" s="2" t="n">
        <v>36</v>
      </c>
      <c r="K132" s="2" t="inlineStr">
        <is>
          <t>Finance income/(cost) (6.8) (7.4) (6.2)</t>
        </is>
      </c>
      <c r="L132" s="2" t="inlineStr">
        <is>
          <t>pend</t>
        </is>
      </c>
      <c r="M132" s="2" t="n"/>
      <c r="N132" s="3" t="inlineStr">
        <is>
          <t>conflict: S1·p36 7.4 vs S1·p125 7.6 vs S2·p39 7.4</t>
        </is>
      </c>
      <c r="O132" s="3" t="inlineStr">
        <is>
          <t>https://vanillabonds.com/dossier-data/pdf/fastned/fastned-2023-annual-report.pdf#page=36</t>
        </is>
      </c>
    </row>
    <row r="133">
      <c r="A133" s="2" t="inlineStr">
        <is>
          <t>F132</t>
        </is>
      </c>
      <c r="B133" s="2" t="inlineStr">
        <is>
          <t>financials</t>
        </is>
      </c>
      <c r="C133" s="2" t="inlineStr">
        <is>
          <t>net_interest</t>
        </is>
      </c>
      <c r="D133" s="2" t="inlineStr">
        <is>
          <t>Net finance cost</t>
        </is>
      </c>
      <c r="E133" s="2" t="inlineStr">
        <is>
          <t>FY2022</t>
        </is>
      </c>
      <c r="F133" s="2" t="n">
        <v>7.6</v>
      </c>
      <c r="G133" s="2" t="inlineStr">
        <is>
          <t>EUR m</t>
        </is>
      </c>
      <c r="H133" s="3" t="inlineStr">
        <is>
          <t>Total finance costs 2022 EUR 7,607k (gross; finance income of EUR 222k shown separately)</t>
        </is>
      </c>
      <c r="I133" s="2" t="inlineStr">
        <is>
          <t>S1</t>
        </is>
      </c>
      <c r="J133" s="2" t="n">
        <v>125</v>
      </c>
      <c r="K133" s="2" t="inlineStr">
        <is>
          <t>Total finance costs 9,624 7,607</t>
        </is>
      </c>
      <c r="L133" s="2" t="inlineStr">
        <is>
          <t>pend</t>
        </is>
      </c>
      <c r="M133" s="2" t="n"/>
      <c r="N133" s="3" t="inlineStr">
        <is>
          <t>conflict: S1·p36 7.4 vs S1·p125 7.6 vs S2·p39 7.4</t>
        </is>
      </c>
      <c r="O133" s="3" t="inlineStr">
        <is>
          <t>https://vanillabonds.com/dossier-data/pdf/fastned/fastned-2023-annual-report.pdf#page=125</t>
        </is>
      </c>
    </row>
    <row r="134">
      <c r="A134" s="2" t="inlineStr">
        <is>
          <t>F133</t>
        </is>
      </c>
      <c r="B134" s="2" t="inlineStr">
        <is>
          <t>financials</t>
        </is>
      </c>
      <c r="C134" s="2" t="inlineStr">
        <is>
          <t>net_interest</t>
        </is>
      </c>
      <c r="D134" s="2" t="inlineStr">
        <is>
          <t>Net finance cost</t>
        </is>
      </c>
      <c r="E134" s="2" t="inlineStr">
        <is>
          <t>FY2023</t>
        </is>
      </c>
      <c r="F134" s="2" t="n">
        <v>6.8</v>
      </c>
      <c r="G134" s="2" t="inlineStr">
        <is>
          <t>EUR m</t>
        </is>
      </c>
      <c r="H134" s="3" t="inlineStr">
        <is>
          <t>Net finance cost: finance costs EUR 9,624k less finance income EUR 2,821k (p.91); interest paid EUR 9,115k.</t>
        </is>
      </c>
      <c r="I134" s="2" t="inlineStr">
        <is>
          <t>S1</t>
        </is>
      </c>
      <c r="J134" s="2" t="n">
        <v>36</v>
      </c>
      <c r="K134" s="2" t="inlineStr">
        <is>
          <t>Finance income/(cost) (6.8) (7.4) (6.2)</t>
        </is>
      </c>
      <c r="L134" s="2" t="inlineStr">
        <is>
          <t>pend</t>
        </is>
      </c>
      <c r="M134" s="2" t="n"/>
      <c r="N134" s="3" t="inlineStr">
        <is>
          <t>conflict: S1·p36 6.8 vs S1·p125 9.6 vs S2·p39 6.8 vs S3·p45 6.8</t>
        </is>
      </c>
      <c r="O134" s="3" t="inlineStr">
        <is>
          <t>https://vanillabonds.com/dossier-data/pdf/fastned/fastned-2023-annual-report.pdf#page=36</t>
        </is>
      </c>
    </row>
    <row r="135">
      <c r="A135" s="2" t="inlineStr">
        <is>
          <t>F134</t>
        </is>
      </c>
      <c r="B135" s="2" t="inlineStr">
        <is>
          <t>financials</t>
        </is>
      </c>
      <c r="C135" s="2" t="inlineStr">
        <is>
          <t>net_interest</t>
        </is>
      </c>
      <c r="D135" s="2" t="inlineStr">
        <is>
          <t>Net finance cost</t>
        </is>
      </c>
      <c r="E135" s="2" t="inlineStr">
        <is>
          <t>FY2023</t>
        </is>
      </c>
      <c r="F135" s="2" t="n">
        <v>9.6</v>
      </c>
      <c r="G135" s="2" t="inlineStr">
        <is>
          <t>EUR m</t>
        </is>
      </c>
      <c r="H135" s="3" t="inlineStr">
        <is>
          <t>Total finance costs 2023 EUR 9,624k (gross; finance income of EUR 2,821k is shown separately in note 8.6)</t>
        </is>
      </c>
      <c r="I135" s="2" t="inlineStr">
        <is>
          <t>S1</t>
        </is>
      </c>
      <c r="J135" s="2" t="n">
        <v>125</v>
      </c>
      <c r="K135" s="2" t="inlineStr">
        <is>
          <t>Total finance costs 9,624 7,607</t>
        </is>
      </c>
      <c r="L135" s="2" t="inlineStr">
        <is>
          <t>pend</t>
        </is>
      </c>
      <c r="M135" s="2" t="n"/>
      <c r="N135" s="3" t="inlineStr">
        <is>
          <t>conflict: S1·p36 6.8 vs S1·p125 9.6 vs S2·p39 6.8 vs S3·p45 6.8</t>
        </is>
      </c>
      <c r="O135" s="3" t="inlineStr">
        <is>
          <t>https://vanillabonds.com/dossier-data/pdf/fastned/fastned-2023-annual-report.pdf#page=125</t>
        </is>
      </c>
    </row>
    <row r="136">
      <c r="A136" s="2" t="inlineStr">
        <is>
          <t>F135</t>
        </is>
      </c>
      <c r="B136" s="2" t="inlineStr">
        <is>
          <t>financials</t>
        </is>
      </c>
      <c r="C136" s="2" t="inlineStr">
        <is>
          <t>cfo</t>
        </is>
      </c>
      <c r="D136" s="2" t="inlineStr">
        <is>
          <t>Cash flow from operating activities</t>
        </is>
      </c>
      <c r="E136" s="2" t="inlineStr">
        <is>
          <t>FY2021</t>
        </is>
      </c>
      <c r="F136" s="2" t="n">
        <v>-10</v>
      </c>
      <c r="G136" s="2" t="inlineStr">
        <is>
          <t>EUR m</t>
        </is>
      </c>
      <c r="H136" s="3" t="inlineStr">
        <is>
          <t>Net cash flow from operating activities 2021 EUR -9,979k (financial review).</t>
        </is>
      </c>
      <c r="I136" s="2" t="inlineStr">
        <is>
          <t>S1</t>
        </is>
      </c>
      <c r="J136" s="2" t="n">
        <v>38</v>
      </c>
      <c r="K136" s="3" t="inlineStr">
        <is>
          <t>Net cash flow from operating activities (3,141) (10,790) (9,979)</t>
        </is>
      </c>
      <c r="L136" s="2" t="inlineStr">
        <is>
          <t>pend</t>
        </is>
      </c>
      <c r="M136" s="2" t="n"/>
      <c r="N136" s="2" t="n"/>
      <c r="O136" s="3" t="inlineStr">
        <is>
          <t>https://vanillabonds.com/dossier-data/pdf/fastned/fastned-2023-annual-report.pdf#page=38</t>
        </is>
      </c>
    </row>
    <row r="137">
      <c r="A137" s="2" t="inlineStr">
        <is>
          <t>F136</t>
        </is>
      </c>
      <c r="B137" s="2" t="inlineStr">
        <is>
          <t>financials</t>
        </is>
      </c>
      <c r="C137" s="2" t="inlineStr">
        <is>
          <t>cfo</t>
        </is>
      </c>
      <c r="D137" s="2" t="inlineStr">
        <is>
          <t>Cash flow from operating activities</t>
        </is>
      </c>
      <c r="E137" s="2" t="inlineStr">
        <is>
          <t>FY2022</t>
        </is>
      </c>
      <c r="F137" s="2" t="n">
        <v>-10.8</v>
      </c>
      <c r="G137" s="2" t="inlineStr">
        <is>
          <t>EUR m</t>
        </is>
      </c>
      <c r="H137" s="3" t="inlineStr">
        <is>
          <t>Net cash flows from operating activities EUR -10,790k.</t>
        </is>
      </c>
      <c r="I137" s="2" t="inlineStr">
        <is>
          <t>S1</t>
        </is>
      </c>
      <c r="J137" s="2" t="n">
        <v>95</v>
      </c>
      <c r="K137" s="3" t="inlineStr">
        <is>
          <t>Net cash flows from operating activities (3,141) (10,790)</t>
        </is>
      </c>
      <c r="L137" s="2" t="inlineStr">
        <is>
          <t>pend</t>
        </is>
      </c>
      <c r="M137" s="2" t="n"/>
      <c r="N137" s="2" t="n"/>
      <c r="O137" s="3" t="inlineStr">
        <is>
          <t>https://vanillabonds.com/dossier-data/pdf/fastned/fastned-2023-annual-report.pdf#page=95</t>
        </is>
      </c>
    </row>
    <row r="138">
      <c r="A138" s="2" t="inlineStr">
        <is>
          <t>F137</t>
        </is>
      </c>
      <c r="B138" s="2" t="inlineStr">
        <is>
          <t>financials</t>
        </is>
      </c>
      <c r="C138" s="2" t="inlineStr">
        <is>
          <t>cfo</t>
        </is>
      </c>
      <c r="D138" s="2" t="inlineStr">
        <is>
          <t>Cash flow from operating activities</t>
        </is>
      </c>
      <c r="E138" s="2" t="inlineStr">
        <is>
          <t>FY2023</t>
        </is>
      </c>
      <c r="F138" s="2" t="n">
        <v>-3.1</v>
      </c>
      <c r="G138" s="2" t="inlineStr">
        <is>
          <t>EUR m</t>
        </is>
      </c>
      <c r="H138" s="3" t="inlineStr">
        <is>
          <t>Net cash flows from operating activities EUR -3,141k (interest paid and received classified as operating).</t>
        </is>
      </c>
      <c r="I138" s="2" t="inlineStr">
        <is>
          <t>S1</t>
        </is>
      </c>
      <c r="J138" s="2" t="n">
        <v>95</v>
      </c>
      <c r="K138" s="3" t="inlineStr">
        <is>
          <t>Net cash flows from operating activities (3,141) (10,790)</t>
        </is>
      </c>
      <c r="L138" s="2" t="inlineStr">
        <is>
          <t>pend</t>
        </is>
      </c>
      <c r="M138" s="2" t="n"/>
      <c r="N138" s="2" t="n"/>
      <c r="O138" s="3" t="inlineStr">
        <is>
          <t>https://vanillabonds.com/dossier-data/pdf/fastned/fastned-2023-annual-report.pdf#page=95</t>
        </is>
      </c>
    </row>
    <row r="139">
      <c r="A139" s="2" t="inlineStr">
        <is>
          <t>F138</t>
        </is>
      </c>
      <c r="B139" s="2" t="inlineStr">
        <is>
          <t>financials</t>
        </is>
      </c>
      <c r="C139" s="2" t="inlineStr">
        <is>
          <t>capex</t>
        </is>
      </c>
      <c r="D139" s="2" t="inlineStr">
        <is>
          <t>Capex (PP&amp;E + intangibles)</t>
        </is>
      </c>
      <c r="E139" s="2" t="inlineStr">
        <is>
          <t>FY2021</t>
        </is>
      </c>
      <c r="F139" s="2" t="n">
        <v>36.6</v>
      </c>
      <c r="G139" s="2" t="inlineStr">
        <is>
          <t>EUR m</t>
        </is>
      </c>
      <c r="H139" s="3" t="inlineStr">
        <is>
          <t>Net cash used in investing activities 2021 EUR -36,598k (financial review; capex = payments for PP&amp;E and intangibles per company definition).</t>
        </is>
      </c>
      <c r="I139" s="2" t="inlineStr">
        <is>
          <t>S1</t>
        </is>
      </c>
      <c r="J139" s="2" t="n">
        <v>38</v>
      </c>
      <c r="K139" s="3" t="inlineStr">
        <is>
          <t>Net cash flow used in investing activities (66,838) (67,492) (36,598)</t>
        </is>
      </c>
      <c r="L139" s="2" t="inlineStr">
        <is>
          <t>pend</t>
        </is>
      </c>
      <c r="M139" s="2" t="n"/>
      <c r="N139" s="2" t="n"/>
      <c r="O139" s="3" t="inlineStr">
        <is>
          <t>https://vanillabonds.com/dossier-data/pdf/fastned/fastned-2023-annual-report.pdf#page=38</t>
        </is>
      </c>
    </row>
    <row r="140">
      <c r="A140" s="2" t="inlineStr">
        <is>
          <t>F139</t>
        </is>
      </c>
      <c r="B140" s="2" t="inlineStr">
        <is>
          <t>financials</t>
        </is>
      </c>
      <c r="C140" s="2" t="inlineStr">
        <is>
          <t>capex</t>
        </is>
      </c>
      <c r="D140" s="2" t="inlineStr">
        <is>
          <t>Capex (PP&amp;E + intangibles)</t>
        </is>
      </c>
      <c r="E140" s="2" t="inlineStr">
        <is>
          <t>FY2022</t>
        </is>
      </c>
      <c r="F140" s="2" t="n">
        <v>67.5</v>
      </c>
      <c r="G140" s="2" t="inlineStr">
        <is>
          <t>EUR m</t>
        </is>
      </c>
      <c r="H140" s="3" t="inlineStr">
        <is>
          <t>Payments for PP&amp;E and other intangible assets EUR 67,492k.</t>
        </is>
      </c>
      <c r="I140" s="2" t="inlineStr">
        <is>
          <t>S1</t>
        </is>
      </c>
      <c r="J140" s="2" t="n">
        <v>95</v>
      </c>
      <c r="K140" s="3" t="inlineStr">
        <is>
          <t>Payments for property, plant and equipment and other intangible assets 11, 12 (66,838) (67,492)</t>
        </is>
      </c>
      <c r="L140" s="2" t="inlineStr">
        <is>
          <t>pend</t>
        </is>
      </c>
      <c r="M140" s="2" t="n"/>
      <c r="N140" s="2" t="inlineStr">
        <is>
          <t>conflict: S1·p95 67.5 vs S1·p130 75.3</t>
        </is>
      </c>
      <c r="O140" s="3" t="inlineStr">
        <is>
          <t>https://vanillabonds.com/dossier-data/pdf/fastned/fastned-2023-annual-report.pdf#page=95</t>
        </is>
      </c>
    </row>
    <row r="141">
      <c r="A141" s="2" t="inlineStr">
        <is>
          <t>F140</t>
        </is>
      </c>
      <c r="B141" s="2" t="inlineStr">
        <is>
          <t>financials</t>
        </is>
      </c>
      <c r="C141" s="2" t="inlineStr">
        <is>
          <t>capex</t>
        </is>
      </c>
      <c r="D141" s="2" t="inlineStr">
        <is>
          <t>Capex (PP&amp;E + intangibles)</t>
        </is>
      </c>
      <c r="E141" s="2" t="inlineStr">
        <is>
          <t>FY2022</t>
        </is>
      </c>
      <c r="F141" s="2" t="n">
        <v>75.3</v>
      </c>
      <c r="G141" s="2" t="inlineStr">
        <is>
          <t>EUR m</t>
        </is>
      </c>
      <c r="H141" s="3" t="inlineStr">
        <is>
          <t>Additions to property, plant and equipment 2022 (EUR 75,265k); intangible additions EUR 220k shown in note 11</t>
        </is>
      </c>
      <c r="I141" s="2" t="inlineStr">
        <is>
          <t>S1</t>
        </is>
      </c>
      <c r="J141" s="2" t="n">
        <v>130</v>
      </c>
      <c r="K141" s="2" t="inlineStr">
        <is>
          <t>Additions 823 67,100 6,810 532 75,265</t>
        </is>
      </c>
      <c r="L141" s="2" t="inlineStr">
        <is>
          <t>pend</t>
        </is>
      </c>
      <c r="M141" s="2" t="n"/>
      <c r="N141" s="2" t="inlineStr">
        <is>
          <t>conflict: S1·p95 67.5 vs S1·p130 75.3</t>
        </is>
      </c>
      <c r="O141" s="3" t="inlineStr">
        <is>
          <t>https://vanillabonds.com/dossier-data/pdf/fastned/fastned-2023-annual-report.pdf#page=130</t>
        </is>
      </c>
    </row>
    <row r="142">
      <c r="A142" s="2" t="inlineStr">
        <is>
          <t>F141</t>
        </is>
      </c>
      <c r="B142" s="2" t="inlineStr">
        <is>
          <t>financials</t>
        </is>
      </c>
      <c r="C142" s="2" t="inlineStr">
        <is>
          <t>capex</t>
        </is>
      </c>
      <c r="D142" s="2" t="inlineStr">
        <is>
          <t>Capex (PP&amp;E + intangibles)</t>
        </is>
      </c>
      <c r="E142" s="2" t="inlineStr">
        <is>
          <t>FY2023</t>
        </is>
      </c>
      <c r="F142" s="2" t="n">
        <v>66.8</v>
      </c>
      <c r="G142" s="2" t="inlineStr">
        <is>
          <t>EUR m</t>
        </is>
      </c>
      <c r="H142" s="3" t="inlineStr">
        <is>
          <t>Payments for PP&amp;E and other intangible assets EUR 66,838k (notes 11, 12).</t>
        </is>
      </c>
      <c r="I142" s="2" t="inlineStr">
        <is>
          <t>S1</t>
        </is>
      </c>
      <c r="J142" s="2" t="n">
        <v>95</v>
      </c>
      <c r="K142" s="3" t="inlineStr">
        <is>
          <t>Payments for property, plant and equipment and other intangible assets 11, 12 (66,838) (67,492)</t>
        </is>
      </c>
      <c r="L142" s="2" t="inlineStr">
        <is>
          <t>pend</t>
        </is>
      </c>
      <c r="M142" s="2" t="n"/>
      <c r="N142" s="3" t="inlineStr">
        <is>
          <t>conflict: S1·p95 66.8 vs S1·p130 63.1 vs S2·p104 66.8 vs S2·p141 63.1</t>
        </is>
      </c>
      <c r="O142" s="3" t="inlineStr">
        <is>
          <t>https://vanillabonds.com/dossier-data/pdf/fastned/fastned-2023-annual-report.pdf#page=95</t>
        </is>
      </c>
    </row>
    <row r="143">
      <c r="A143" s="2" t="inlineStr">
        <is>
          <t>F142</t>
        </is>
      </c>
      <c r="B143" s="2" t="inlineStr">
        <is>
          <t>financials</t>
        </is>
      </c>
      <c r="C143" s="2" t="inlineStr">
        <is>
          <t>capex</t>
        </is>
      </c>
      <c r="D143" s="2" t="inlineStr">
        <is>
          <t>Capex (PP&amp;E + intangibles)</t>
        </is>
      </c>
      <c r="E143" s="2" t="inlineStr">
        <is>
          <t>FY2023</t>
        </is>
      </c>
      <c r="F143" s="2" t="n">
        <v>63.1</v>
      </c>
      <c r="G143" s="2" t="inlineStr">
        <is>
          <t>EUR m</t>
        </is>
      </c>
      <c r="H143" s="3" t="inlineStr">
        <is>
          <t>Additions to property, plant and equipment 2023 (EUR 63,066k); intangible additions EUR 304k shown in note 11</t>
        </is>
      </c>
      <c r="I143" s="2" t="inlineStr">
        <is>
          <t>S1</t>
        </is>
      </c>
      <c r="J143" s="2" t="n">
        <v>130</v>
      </c>
      <c r="K143" s="2" t="inlineStr">
        <is>
          <t>Additions 14 59,205 2,908 939 63,066</t>
        </is>
      </c>
      <c r="L143" s="2" t="inlineStr">
        <is>
          <t>pend</t>
        </is>
      </c>
      <c r="M143" s="2" t="n"/>
      <c r="N143" s="3" t="inlineStr">
        <is>
          <t>conflict: S1·p95 66.8 vs S1·p130 63.1 vs S2·p104 66.8 vs S2·p141 63.1</t>
        </is>
      </c>
      <c r="O143" s="3" t="inlineStr">
        <is>
          <t>https://vanillabonds.com/dossier-data/pdf/fastned/fastned-2023-annual-report.pdf#page=130</t>
        </is>
      </c>
    </row>
    <row r="144">
      <c r="A144" s="2" t="inlineStr">
        <is>
          <t>F143</t>
        </is>
      </c>
      <c r="B144" s="2" t="inlineStr">
        <is>
          <t>financials</t>
        </is>
      </c>
      <c r="C144" s="2" t="inlineStr">
        <is>
          <t>cash</t>
        </is>
      </c>
      <c r="D144" s="2" t="inlineStr">
        <is>
          <t>Cash &amp; equivalents</t>
        </is>
      </c>
      <c r="E144" s="2" t="inlineStr">
        <is>
          <t>FY2021</t>
        </is>
      </c>
      <c r="F144" s="2" t="n">
        <v>128.6</v>
      </c>
      <c r="G144" s="2" t="inlineStr">
        <is>
          <t>EUR m</t>
        </is>
      </c>
      <c r="H144" s="3" t="inlineStr">
        <is>
          <t>Cash and cash equivalents at 31 December 2021 EUR 128,591k (financial review).</t>
        </is>
      </c>
      <c r="I144" s="2" t="inlineStr">
        <is>
          <t>S1</t>
        </is>
      </c>
      <c r="J144" s="2" t="n">
        <v>38</v>
      </c>
      <c r="K144" s="3" t="inlineStr">
        <is>
          <t>Cash and cash equivalents at 31 December 126,604 149,538 128,591</t>
        </is>
      </c>
      <c r="L144" s="2" t="inlineStr">
        <is>
          <t>pend</t>
        </is>
      </c>
      <c r="M144" s="2" t="n"/>
      <c r="N144" s="2" t="n"/>
      <c r="O144" s="3" t="inlineStr">
        <is>
          <t>https://vanillabonds.com/dossier-data/pdf/fastned/fastned-2023-annual-report.pdf#page=38</t>
        </is>
      </c>
    </row>
    <row r="145">
      <c r="A145" s="2" t="inlineStr">
        <is>
          <t>F144</t>
        </is>
      </c>
      <c r="B145" s="2" t="inlineStr">
        <is>
          <t>financials</t>
        </is>
      </c>
      <c r="C145" s="2" t="inlineStr">
        <is>
          <t>cash</t>
        </is>
      </c>
      <c r="D145" s="2" t="inlineStr">
        <is>
          <t>Cash &amp; equivalents</t>
        </is>
      </c>
      <c r="E145" s="2" t="inlineStr">
        <is>
          <t>FY2022</t>
        </is>
      </c>
      <c r="F145" s="2" t="n">
        <v>149.5</v>
      </c>
      <c r="G145" s="2" t="inlineStr">
        <is>
          <t>EUR m</t>
        </is>
      </c>
      <c r="H145" s="3" t="inlineStr">
        <is>
          <t>Cash at banks and on hand 31 Dec 2022 (EUR 149,538k)</t>
        </is>
      </c>
      <c r="I145" s="2" t="inlineStr">
        <is>
          <t>S1</t>
        </is>
      </c>
      <c r="J145" s="2" t="n">
        <v>143</v>
      </c>
      <c r="K145" s="3" t="inlineStr">
        <is>
          <t>Total cash and cash equivalents 126,604 149,538</t>
        </is>
      </c>
      <c r="L145" s="2" t="inlineStr">
        <is>
          <t>pend</t>
        </is>
      </c>
      <c r="M145" s="2" t="n"/>
      <c r="N145" s="2" t="n"/>
      <c r="O145" s="3" t="inlineStr">
        <is>
          <t>https://vanillabonds.com/dossier-data/pdf/fastned/fastned-2023-annual-report.pdf#page=143</t>
        </is>
      </c>
    </row>
    <row r="146">
      <c r="A146" s="2" t="inlineStr">
        <is>
          <t>F145</t>
        </is>
      </c>
      <c r="B146" s="2" t="inlineStr">
        <is>
          <t>financials</t>
        </is>
      </c>
      <c r="C146" s="2" t="inlineStr">
        <is>
          <t>cash</t>
        </is>
      </c>
      <c r="D146" s="2" t="inlineStr">
        <is>
          <t>Cash &amp; equivalents</t>
        </is>
      </c>
      <c r="E146" s="2" t="inlineStr">
        <is>
          <t>FY2023</t>
        </is>
      </c>
      <c r="F146" s="2" t="n">
        <v>126.6</v>
      </c>
      <c r="G146" s="2" t="inlineStr">
        <is>
          <t>EUR m</t>
        </is>
      </c>
      <c r="H146" s="3" t="inlineStr">
        <is>
          <t>Cash at banks and on hand 31 Dec 2023 (EUR 126,604k), incl. EUR 79.0m demand deposits</t>
        </is>
      </c>
      <c r="I146" s="2" t="inlineStr">
        <is>
          <t>S1</t>
        </is>
      </c>
      <c r="J146" s="2" t="n">
        <v>143</v>
      </c>
      <c r="K146" s="3" t="inlineStr">
        <is>
          <t>Total cash and cash equivalents 126,604 149,538</t>
        </is>
      </c>
      <c r="L146" s="2" t="inlineStr">
        <is>
          <t>pend</t>
        </is>
      </c>
      <c r="M146" s="2" t="n"/>
      <c r="N146" s="2" t="n"/>
      <c r="O146" s="3" t="inlineStr">
        <is>
          <t>https://vanillabonds.com/dossier-data/pdf/fastned/fastned-2023-annual-report.pdf#page=143</t>
        </is>
      </c>
    </row>
    <row r="147">
      <c r="A147" s="2" t="inlineStr">
        <is>
          <t>F146</t>
        </is>
      </c>
      <c r="B147" s="2" t="inlineStr">
        <is>
          <t>financials</t>
        </is>
      </c>
      <c r="C147" s="2" t="inlineStr">
        <is>
          <t>gross_debt</t>
        </is>
      </c>
      <c r="D147" s="3" t="inlineStr">
        <is>
          <t>Gross financial debt (bonds + loans, excl. leases)</t>
        </is>
      </c>
      <c r="E147" s="2" t="inlineStr">
        <is>
          <t>FY2022</t>
        </is>
      </c>
      <c r="F147" s="2" t="n">
        <v>112.9</v>
      </c>
      <c r="G147" s="2" t="inlineStr">
        <is>
          <t>EUR m</t>
        </is>
      </c>
      <c r="H147" s="3" t="inlineStr">
        <is>
          <t>Total interest-bearing loans and borrowings 31 Dec 2022 (EUR 112,906k); excludes leases</t>
        </is>
      </c>
      <c r="I147" s="2" t="inlineStr">
        <is>
          <t>S1</t>
        </is>
      </c>
      <c r="J147" s="2" t="n">
        <v>136</v>
      </c>
      <c r="K147" s="3" t="inlineStr">
        <is>
          <t>Total interest-bearing loans and borrowings 160,999 112,906</t>
        </is>
      </c>
      <c r="L147" s="2" t="inlineStr">
        <is>
          <t>pend</t>
        </is>
      </c>
      <c r="M147" s="2" t="n"/>
      <c r="N147" s="2" t="n"/>
      <c r="O147" s="3" t="inlineStr">
        <is>
          <t>https://vanillabonds.com/dossier-data/pdf/fastned/fastned-2023-annual-report.pdf#page=136</t>
        </is>
      </c>
    </row>
    <row r="148">
      <c r="A148" s="2" t="inlineStr">
        <is>
          <t>F147</t>
        </is>
      </c>
      <c r="B148" s="2" t="inlineStr">
        <is>
          <t>financials</t>
        </is>
      </c>
      <c r="C148" s="2" t="inlineStr">
        <is>
          <t>gross_debt</t>
        </is>
      </c>
      <c r="D148" s="3" t="inlineStr">
        <is>
          <t>Gross financial debt (bonds + loans, excl. leases)</t>
        </is>
      </c>
      <c r="E148" s="2" t="inlineStr">
        <is>
          <t>FY2023</t>
        </is>
      </c>
      <c r="F148" s="2" t="n">
        <v>161</v>
      </c>
      <c r="G148" s="2" t="inlineStr">
        <is>
          <t>EUR m</t>
        </is>
      </c>
      <c r="H148" s="3" t="inlineStr">
        <is>
          <t>Total interest-bearing loans and borrowings 31 Dec 2023 (EUR 160,999k): nine unsecured bonds plus two Caisse des Dépôts secured loans; excludes leases</t>
        </is>
      </c>
      <c r="I148" s="2" t="inlineStr">
        <is>
          <t>S1</t>
        </is>
      </c>
      <c r="J148" s="2" t="n">
        <v>136</v>
      </c>
      <c r="K148" s="3" t="inlineStr">
        <is>
          <t>Total interest-bearing loans and borrowings 160,999 112,906</t>
        </is>
      </c>
      <c r="L148" s="2" t="inlineStr">
        <is>
          <t>pend</t>
        </is>
      </c>
      <c r="M148" s="2" t="n"/>
      <c r="N148" s="2" t="n"/>
      <c r="O148" s="3" t="inlineStr">
        <is>
          <t>https://vanillabonds.com/dossier-data/pdf/fastned/fastned-2023-annual-report.pdf#page=136</t>
        </is>
      </c>
    </row>
    <row r="149">
      <c r="A149" s="2" t="inlineStr">
        <is>
          <t>F148</t>
        </is>
      </c>
      <c r="B149" s="2" t="inlineStr">
        <is>
          <t>financials</t>
        </is>
      </c>
      <c r="C149" s="2" t="inlineStr">
        <is>
          <t>lease_liabilities</t>
        </is>
      </c>
      <c r="D149" s="2" t="inlineStr">
        <is>
          <t>Lease liabilities</t>
        </is>
      </c>
      <c r="E149" s="2" t="inlineStr">
        <is>
          <t>FY2022</t>
        </is>
      </c>
      <c r="F149" s="2" t="n">
        <v>9.800000000000001</v>
      </c>
      <c r="G149" s="2" t="inlineStr">
        <is>
          <t>EUR m</t>
        </is>
      </c>
      <c r="H149" s="3" t="inlineStr">
        <is>
          <t>Total lease liabilities 31 Dec 2022 (EUR 9,810k)</t>
        </is>
      </c>
      <c r="I149" s="2" t="inlineStr">
        <is>
          <t>S1</t>
        </is>
      </c>
      <c r="J149" s="2" t="n">
        <v>145</v>
      </c>
      <c r="K149" s="2" t="inlineStr">
        <is>
          <t>Total lease liabilities 21,244 9,810</t>
        </is>
      </c>
      <c r="L149" s="2" t="inlineStr">
        <is>
          <t>pend</t>
        </is>
      </c>
      <c r="M149" s="2" t="n"/>
      <c r="N149" s="2" t="n"/>
      <c r="O149" s="3" t="inlineStr">
        <is>
          <t>https://vanillabonds.com/dossier-data/pdf/fastned/fastned-2023-annual-report.pdf#page=145</t>
        </is>
      </c>
    </row>
    <row r="150">
      <c r="A150" s="2" t="inlineStr">
        <is>
          <t>F149</t>
        </is>
      </c>
      <c r="B150" s="2" t="inlineStr">
        <is>
          <t>financials</t>
        </is>
      </c>
      <c r="C150" s="2" t="inlineStr">
        <is>
          <t>lease_liabilities</t>
        </is>
      </c>
      <c r="D150" s="2" t="inlineStr">
        <is>
          <t>Lease liabilities</t>
        </is>
      </c>
      <c r="E150" s="2" t="inlineStr">
        <is>
          <t>FY2023</t>
        </is>
      </c>
      <c r="F150" s="2" t="n">
        <v>21.2</v>
      </c>
      <c r="G150" s="2" t="inlineStr">
        <is>
          <t>EUR m</t>
        </is>
      </c>
      <c r="H150" s="3" t="inlineStr">
        <is>
          <t>Total lease liabilities 31 Dec 2023 (EUR 21,244k): current 2,168k, non-current 19,076k</t>
        </is>
      </c>
      <c r="I150" s="2" t="inlineStr">
        <is>
          <t>S1</t>
        </is>
      </c>
      <c r="J150" s="2" t="n">
        <v>145</v>
      </c>
      <c r="K150" s="2" t="inlineStr">
        <is>
          <t>Total lease liabilities 21,244 9,810</t>
        </is>
      </c>
      <c r="L150" s="2" t="inlineStr">
        <is>
          <t>pend</t>
        </is>
      </c>
      <c r="M150" s="2" t="n"/>
      <c r="N150" s="2" t="n"/>
      <c r="O150" s="3" t="inlineStr">
        <is>
          <t>https://vanillabonds.com/dossier-data/pdf/fastned/fastned-2023-annual-report.pdf#page=145</t>
        </is>
      </c>
    </row>
    <row r="151">
      <c r="A151" s="2" t="inlineStr">
        <is>
          <t>F150</t>
        </is>
      </c>
      <c r="B151" s="2" t="inlineStr">
        <is>
          <t>financials</t>
        </is>
      </c>
      <c r="C151" s="2" t="inlineStr">
        <is>
          <t>equity</t>
        </is>
      </c>
      <c r="D151" s="2" t="inlineStr">
        <is>
          <t>Total equity</t>
        </is>
      </c>
      <c r="E151" s="2" t="inlineStr">
        <is>
          <t>FY2021</t>
        </is>
      </c>
      <c r="F151" s="2" t="n">
        <v>109.2</v>
      </c>
      <c r="G151" s="2" t="inlineStr">
        <is>
          <t>EUR m</t>
        </is>
      </c>
      <c r="H151" s="3" t="inlineStr">
        <is>
          <t>Total equity 2021 EUR 109,209k (financial review).</t>
        </is>
      </c>
      <c r="I151" s="2" t="inlineStr">
        <is>
          <t>S1</t>
        </is>
      </c>
      <c r="J151" s="2" t="n">
        <v>38</v>
      </c>
      <c r="K151" s="2" t="inlineStr">
        <is>
          <t>Total equity 146,185 160,645 109,209</t>
        </is>
      </c>
      <c r="L151" s="2" t="inlineStr">
        <is>
          <t>pend</t>
        </is>
      </c>
      <c r="M151" s="2" t="n"/>
      <c r="N151" s="2" t="n"/>
      <c r="O151" s="3" t="inlineStr">
        <is>
          <t>https://vanillabonds.com/dossier-data/pdf/fastned/fastned-2023-annual-report.pdf#page=38</t>
        </is>
      </c>
    </row>
    <row r="152">
      <c r="A152" s="2" t="inlineStr">
        <is>
          <t>F151</t>
        </is>
      </c>
      <c r="B152" s="2" t="inlineStr">
        <is>
          <t>financials</t>
        </is>
      </c>
      <c r="C152" s="2" t="inlineStr">
        <is>
          <t>equity</t>
        </is>
      </c>
      <c r="D152" s="2" t="inlineStr">
        <is>
          <t>Total equity</t>
        </is>
      </c>
      <c r="E152" s="2" t="inlineStr">
        <is>
          <t>FY2022</t>
        </is>
      </c>
      <c r="F152" s="2" t="n">
        <v>160.6</v>
      </c>
      <c r="G152" s="2" t="inlineStr">
        <is>
          <t>EUR m</t>
        </is>
      </c>
      <c r="H152" s="2" t="inlineStr">
        <is>
          <t>Total equity EUR 160,645k.</t>
        </is>
      </c>
      <c r="I152" s="2" t="inlineStr">
        <is>
          <t>S1</t>
        </is>
      </c>
      <c r="J152" s="2" t="n">
        <v>97</v>
      </c>
      <c r="K152" s="3" t="inlineStr">
        <is>
          <t>At balance sheet date this resulted in an equity amounting to € 146.2 million (2022: €160.6 million) and a cash level of €126.6 million (2022: €149.5 million).</t>
        </is>
      </c>
      <c r="L152" s="2" t="inlineStr">
        <is>
          <t>pend</t>
        </is>
      </c>
      <c r="M152" s="2" t="n"/>
      <c r="N152" s="2" t="n"/>
      <c r="O152" s="3" t="inlineStr">
        <is>
          <t>https://vanillabonds.com/dossier-data/pdf/fastned/fastned-2023-annual-report.pdf#page=97</t>
        </is>
      </c>
    </row>
    <row r="153">
      <c r="A153" s="2" t="inlineStr">
        <is>
          <t>F152</t>
        </is>
      </c>
      <c r="B153" s="2" t="inlineStr">
        <is>
          <t>financials</t>
        </is>
      </c>
      <c r="C153" s="2" t="inlineStr">
        <is>
          <t>equity</t>
        </is>
      </c>
      <c r="D153" s="2" t="inlineStr">
        <is>
          <t>Total equity</t>
        </is>
      </c>
      <c r="E153" s="2" t="inlineStr">
        <is>
          <t>FY2023</t>
        </is>
      </c>
      <c r="F153" s="2" t="n">
        <v>146.2</v>
      </c>
      <c r="G153" s="2" t="inlineStr">
        <is>
          <t>EUR m</t>
        </is>
      </c>
      <c r="H153" s="3" t="inlineStr">
        <is>
          <t>Total equity EUR 146,185k incl. non-controlling interests EUR -12k.</t>
        </is>
      </c>
      <c r="I153" s="2" t="inlineStr">
        <is>
          <t>S1</t>
        </is>
      </c>
      <c r="J153" s="2" t="n">
        <v>97</v>
      </c>
      <c r="K153" s="3" t="inlineStr">
        <is>
          <t>At balance sheet date this resulted in an equity amounting to € 146.2 million (2022: €160.6 million) and a cash level of €126.6 million (2022: €149.5 million).</t>
        </is>
      </c>
      <c r="L153" s="2" t="inlineStr">
        <is>
          <t>pend</t>
        </is>
      </c>
      <c r="M153" s="2" t="n"/>
      <c r="N153" s="2" t="n"/>
      <c r="O153" s="3" t="inlineStr">
        <is>
          <t>https://vanillabonds.com/dossier-data/pdf/fastned/fastned-2023-annual-report.pdf#page=97</t>
        </is>
      </c>
    </row>
    <row r="154">
      <c r="A154" s="2" t="inlineStr">
        <is>
          <t>F153</t>
        </is>
      </c>
      <c r="B154" s="2" t="inlineStr">
        <is>
          <t>financials</t>
        </is>
      </c>
      <c r="C154" s="2" t="inlineStr">
        <is>
          <t>total_assets</t>
        </is>
      </c>
      <c r="D154" s="2" t="inlineStr">
        <is>
          <t>Total assets</t>
        </is>
      </c>
      <c r="E154" s="2" t="inlineStr">
        <is>
          <t>FY2021</t>
        </is>
      </c>
      <c r="F154" s="2" t="n">
        <v>214.6</v>
      </c>
      <c r="G154" s="2" t="inlineStr">
        <is>
          <t>EUR m</t>
        </is>
      </c>
      <c r="H154" s="3" t="inlineStr">
        <is>
          <t>Total assets 2021 EUR 214,603k (financial review).</t>
        </is>
      </c>
      <c r="I154" s="2" t="inlineStr">
        <is>
          <t>S1</t>
        </is>
      </c>
      <c r="J154" s="2" t="n">
        <v>38</v>
      </c>
      <c r="K154" s="2" t="inlineStr">
        <is>
          <t>Total assets 357,539 315,230 214,603</t>
        </is>
      </c>
      <c r="L154" s="2" t="inlineStr">
        <is>
          <t>pend</t>
        </is>
      </c>
      <c r="M154" s="2" t="n"/>
      <c r="N154" s="2" t="n"/>
      <c r="O154" s="3" t="inlineStr">
        <is>
          <t>https://vanillabonds.com/dossier-data/pdf/fastned/fastned-2023-annual-report.pdf#page=38</t>
        </is>
      </c>
    </row>
    <row r="155">
      <c r="A155" s="2" t="inlineStr">
        <is>
          <t>F154</t>
        </is>
      </c>
      <c r="B155" s="2" t="inlineStr">
        <is>
          <t>financials</t>
        </is>
      </c>
      <c r="C155" s="2" t="inlineStr">
        <is>
          <t>total_assets</t>
        </is>
      </c>
      <c r="D155" s="2" t="inlineStr">
        <is>
          <t>Total assets</t>
        </is>
      </c>
      <c r="E155" s="2" t="inlineStr">
        <is>
          <t>FY2022</t>
        </is>
      </c>
      <c r="F155" s="2" t="n">
        <v>315.2</v>
      </c>
      <c r="G155" s="2" t="inlineStr">
        <is>
          <t>EUR m</t>
        </is>
      </c>
      <c r="H155" s="2" t="inlineStr">
        <is>
          <t>Total assets EUR 315,230k.</t>
        </is>
      </c>
      <c r="I155" s="2" t="inlineStr">
        <is>
          <t>S1</t>
        </is>
      </c>
      <c r="J155" s="2" t="n">
        <v>93</v>
      </c>
      <c r="K155" s="2" t="inlineStr">
        <is>
          <t>Total assets 357,539 315,230</t>
        </is>
      </c>
      <c r="L155" s="2" t="inlineStr">
        <is>
          <t>pend</t>
        </is>
      </c>
      <c r="M155" s="2" t="n"/>
      <c r="N155" s="2" t="n"/>
      <c r="O155" s="3" t="inlineStr">
        <is>
          <t>https://vanillabonds.com/dossier-data/pdf/fastned/fastned-2023-annual-report.pdf#page=93</t>
        </is>
      </c>
    </row>
    <row r="156">
      <c r="A156" s="2" t="inlineStr">
        <is>
          <t>F155</t>
        </is>
      </c>
      <c r="B156" s="2" t="inlineStr">
        <is>
          <t>financials</t>
        </is>
      </c>
      <c r="C156" s="2" t="inlineStr">
        <is>
          <t>total_assets</t>
        </is>
      </c>
      <c r="D156" s="2" t="inlineStr">
        <is>
          <t>Total assets</t>
        </is>
      </c>
      <c r="E156" s="2" t="inlineStr">
        <is>
          <t>FY2023</t>
        </is>
      </c>
      <c r="F156" s="2" t="n">
        <v>357.5</v>
      </c>
      <c r="G156" s="2" t="inlineStr">
        <is>
          <t>EUR m</t>
        </is>
      </c>
      <c r="H156" s="2" t="inlineStr">
        <is>
          <t>Total assets EUR 357,539k.</t>
        </is>
      </c>
      <c r="I156" s="2" t="inlineStr">
        <is>
          <t>S1</t>
        </is>
      </c>
      <c r="J156" s="2" t="n">
        <v>93</v>
      </c>
      <c r="K156" s="2" t="inlineStr">
        <is>
          <t>Total assets 357,539 315,230</t>
        </is>
      </c>
      <c r="L156" s="2" t="inlineStr">
        <is>
          <t>pend</t>
        </is>
      </c>
      <c r="M156" s="2" t="n"/>
      <c r="N156" s="2" t="n"/>
      <c r="O156" s="3" t="inlineStr">
        <is>
          <t>https://vanillabonds.com/dossier-data/pdf/fastned/fastned-2023-annual-report.pdf#page=93</t>
        </is>
      </c>
    </row>
    <row r="157">
      <c r="A157" s="2" t="inlineStr">
        <is>
          <t>F156</t>
        </is>
      </c>
      <c r="B157" s="2" t="inlineStr">
        <is>
          <t>debt</t>
        </is>
      </c>
      <c r="C157" s="2" t="inlineStr">
        <is>
          <t>debt_instrument</t>
        </is>
      </c>
      <c r="D157" s="2" t="inlineStr">
        <is>
          <t>Debt instrument</t>
        </is>
      </c>
      <c r="E157" s="2" t="n"/>
      <c r="F157" s="2" t="n">
        <v>159.9</v>
      </c>
      <c r="G157" s="2" t="n"/>
      <c r="H157" s="3" t="inlineStr">
        <is>
          <t>Bonds placed with retail investors: total outstanding EUR 159.9 million at end 2023 (two issues in 2023 of EUR 22m and more than EUR 30m; coupons and maturities in note 14).</t>
        </is>
      </c>
      <c r="I157" s="2" t="inlineStr">
        <is>
          <t>S1</t>
        </is>
      </c>
      <c r="J157" s="2" t="n">
        <v>17</v>
      </c>
      <c r="K157" s="3" t="inlineStr">
        <is>
          <t>The total outstanding amount of investments raised with retail investors has grown this year to €159.9 million.</t>
        </is>
      </c>
      <c r="L157" s="2" t="inlineStr">
        <is>
          <t>pend</t>
        </is>
      </c>
      <c r="M157" s="2" t="n"/>
      <c r="N157" s="2" t="n"/>
      <c r="O157" s="3" t="inlineStr">
        <is>
          <t>https://vanillabonds.com/dossier-data/pdf/fastned/fastned-2023-annual-report.pdf#page=17</t>
        </is>
      </c>
    </row>
    <row r="158">
      <c r="A158" s="2" t="inlineStr">
        <is>
          <t>F157</t>
        </is>
      </c>
      <c r="B158" s="2" t="inlineStr">
        <is>
          <t>debt</t>
        </is>
      </c>
      <c r="C158" s="2" t="inlineStr">
        <is>
          <t>debt_instrument</t>
        </is>
      </c>
      <c r="D158" s="2" t="inlineStr">
        <is>
          <t>Debt instrument</t>
        </is>
      </c>
      <c r="E158" s="2" t="n"/>
      <c r="F158" s="2" t="n">
        <v>7.3</v>
      </c>
      <c r="G158" s="2" t="n"/>
      <c r="H158" s="3" t="inlineStr">
        <is>
          <t>6.0% unsecured corporate bond maturing 21/03/2024, EUR 7,304k outstanding at 31 Dec 2023 (2022: 8,748k), unsecured, not subordinated, no covenants, unlisted</t>
        </is>
      </c>
      <c r="I158" s="2" t="inlineStr">
        <is>
          <t>S1</t>
        </is>
      </c>
      <c r="J158" s="2" t="n">
        <v>136</v>
      </c>
      <c r="K158" s="2" t="inlineStr">
        <is>
          <t>6.0 21/03/2024 7,304 8,748</t>
        </is>
      </c>
      <c r="L158" s="2" t="inlineStr">
        <is>
          <t>pend</t>
        </is>
      </c>
      <c r="M158" s="2" t="n"/>
      <c r="N158" s="2" t="n"/>
      <c r="O158" s="3" t="inlineStr">
        <is>
          <t>https://vanillabonds.com/dossier-data/pdf/fastned/fastned-2023-annual-report.pdf#page=136</t>
        </is>
      </c>
    </row>
    <row r="159">
      <c r="A159" s="2" t="inlineStr">
        <is>
          <t>F158</t>
        </is>
      </c>
      <c r="B159" s="2" t="inlineStr">
        <is>
          <t>debt</t>
        </is>
      </c>
      <c r="C159" s="2" t="inlineStr">
        <is>
          <t>debt_instrument</t>
        </is>
      </c>
      <c r="D159" s="2" t="inlineStr">
        <is>
          <t>Debt instrument</t>
        </is>
      </c>
      <c r="E159" s="2" t="n"/>
      <c r="F159" s="2" t="n">
        <v>9.699999999999999</v>
      </c>
      <c r="G159" s="2" t="n"/>
      <c r="H159" s="3" t="inlineStr">
        <is>
          <t>6.0% unsecured corporate bond maturing 12/12/2024, EUR 9,659k at 31 Dec 2023 (2022: 12,177k), unsecured, unlisted</t>
        </is>
      </c>
      <c r="I159" s="2" t="inlineStr">
        <is>
          <t>S1</t>
        </is>
      </c>
      <c r="J159" s="2" t="n">
        <v>136</v>
      </c>
      <c r="K159" s="2" t="inlineStr">
        <is>
          <t>6.0 12/12/2024 9,659 12,177</t>
        </is>
      </c>
      <c r="L159" s="2" t="inlineStr">
        <is>
          <t>pend</t>
        </is>
      </c>
      <c r="M159" s="2" t="n"/>
      <c r="N159" s="2" t="n"/>
      <c r="O159" s="3" t="inlineStr">
        <is>
          <t>https://vanillabonds.com/dossier-data/pdf/fastned/fastned-2023-annual-report.pdf#page=136</t>
        </is>
      </c>
    </row>
    <row r="160">
      <c r="A160" s="2" t="inlineStr">
        <is>
          <t>F159</t>
        </is>
      </c>
      <c r="B160" s="2" t="inlineStr">
        <is>
          <t>debt</t>
        </is>
      </c>
      <c r="C160" s="2" t="inlineStr">
        <is>
          <t>debt_instrument</t>
        </is>
      </c>
      <c r="D160" s="2" t="inlineStr">
        <is>
          <t>Debt instrument</t>
        </is>
      </c>
      <c r="E160" s="2" t="n"/>
      <c r="F160" s="2" t="n">
        <v>16.2</v>
      </c>
      <c r="G160" s="2" t="n"/>
      <c r="H160" s="3" t="inlineStr">
        <is>
          <t>6.0% unsecured corporate bond maturing 28/07/2025, EUR 16,206k at 31 Dec 2023 (2022: 16,206k)</t>
        </is>
      </c>
      <c r="I160" s="2" t="inlineStr">
        <is>
          <t>S1</t>
        </is>
      </c>
      <c r="J160" s="2" t="n">
        <v>136</v>
      </c>
      <c r="K160" s="2" t="inlineStr">
        <is>
          <t>6.0 28/07/2025 16,206 16,206</t>
        </is>
      </c>
      <c r="L160" s="2" t="inlineStr">
        <is>
          <t>pend</t>
        </is>
      </c>
      <c r="M160" s="2" t="n"/>
      <c r="N160" s="2" t="n"/>
      <c r="O160" s="3" t="inlineStr">
        <is>
          <t>https://vanillabonds.com/dossier-data/pdf/fastned/fastned-2023-annual-report.pdf#page=136</t>
        </is>
      </c>
    </row>
    <row r="161">
      <c r="A161" s="2" t="inlineStr">
        <is>
          <t>F160</t>
        </is>
      </c>
      <c r="B161" s="2" t="inlineStr">
        <is>
          <t>debt</t>
        </is>
      </c>
      <c r="C161" s="2" t="inlineStr">
        <is>
          <t>debt_instrument</t>
        </is>
      </c>
      <c r="D161" s="2" t="inlineStr">
        <is>
          <t>Debt instrument</t>
        </is>
      </c>
      <c r="E161" s="2" t="n"/>
      <c r="F161" s="2" t="n">
        <v>21.2</v>
      </c>
      <c r="G161" s="2" t="n"/>
      <c r="H161" s="3" t="inlineStr">
        <is>
          <t>6.0% unsecured corporate bond maturing 19/11/2025, EUR 21,194k at 31 Dec 2023 (2022: 21,194k)</t>
        </is>
      </c>
      <c r="I161" s="2" t="inlineStr">
        <is>
          <t>S1</t>
        </is>
      </c>
      <c r="J161" s="2" t="n">
        <v>136</v>
      </c>
      <c r="K161" s="2" t="inlineStr">
        <is>
          <t>6.0 19/11/2025 21,194 21,194</t>
        </is>
      </c>
      <c r="L161" s="2" t="inlineStr">
        <is>
          <t>pend</t>
        </is>
      </c>
      <c r="M161" s="2" t="n"/>
      <c r="N161" s="2" t="n"/>
      <c r="O161" s="3" t="inlineStr">
        <is>
          <t>https://vanillabonds.com/dossier-data/pdf/fastned/fastned-2023-annual-report.pdf#page=136</t>
        </is>
      </c>
    </row>
    <row r="162">
      <c r="A162" s="2" t="inlineStr">
        <is>
          <t>F161</t>
        </is>
      </c>
      <c r="B162" s="2" t="inlineStr">
        <is>
          <t>debt</t>
        </is>
      </c>
      <c r="C162" s="2" t="inlineStr">
        <is>
          <t>debt_instrument</t>
        </is>
      </c>
      <c r="D162" s="2" t="inlineStr">
        <is>
          <t>Debt instrument</t>
        </is>
      </c>
      <c r="E162" s="2" t="n"/>
      <c r="F162" s="2" t="n">
        <v>30.4</v>
      </c>
      <c r="G162" s="2" t="n"/>
      <c r="H162" s="3" t="inlineStr">
        <is>
          <t>5.0% unsecured corporate bond maturing 06/12/2027 per note 14.3 (note 14.4 lists 12/12/26), EUR 30,357k at 31 Dec 2023 (2022: 30,358k)</t>
        </is>
      </c>
      <c r="I162" s="2" t="inlineStr">
        <is>
          <t>S1</t>
        </is>
      </c>
      <c r="J162" s="2" t="n">
        <v>136</v>
      </c>
      <c r="K162" s="2" t="inlineStr">
        <is>
          <t>5.0 06/12/2027 30,357 30,358</t>
        </is>
      </c>
      <c r="L162" s="2" t="inlineStr">
        <is>
          <t>pend</t>
        </is>
      </c>
      <c r="M162" s="2" t="n"/>
      <c r="N162" s="2" t="n"/>
      <c r="O162" s="3" t="inlineStr">
        <is>
          <t>https://vanillabonds.com/dossier-data/pdf/fastned/fastned-2023-annual-report.pdf#page=136</t>
        </is>
      </c>
    </row>
    <row r="163">
      <c r="A163" s="2" t="inlineStr">
        <is>
          <t>F162</t>
        </is>
      </c>
      <c r="B163" s="2" t="inlineStr">
        <is>
          <t>debt</t>
        </is>
      </c>
      <c r="C163" s="2" t="inlineStr">
        <is>
          <t>debt_instrument</t>
        </is>
      </c>
      <c r="D163" s="2" t="inlineStr">
        <is>
          <t>Debt instrument</t>
        </is>
      </c>
      <c r="E163" s="2" t="n"/>
      <c r="F163" s="2" t="n">
        <v>13.2</v>
      </c>
      <c r="G163" s="2" t="n"/>
      <c r="H163" s="3" t="inlineStr">
        <is>
          <t>5.0% unsecured corporate bond maturing 21/12/2027 per note 14.3 (note 14.4 lists 21/06/27), EUR 13,248k at 31 Dec 2023 (2022: 13,237k)</t>
        </is>
      </c>
      <c r="I163" s="2" t="inlineStr">
        <is>
          <t>S1</t>
        </is>
      </c>
      <c r="J163" s="2" t="n">
        <v>136</v>
      </c>
      <c r="K163" s="2" t="inlineStr">
        <is>
          <t>5.0 21/12/2027 13,248 13,237</t>
        </is>
      </c>
      <c r="L163" s="2" t="inlineStr">
        <is>
          <t>pend</t>
        </is>
      </c>
      <c r="M163" s="2" t="n"/>
      <c r="N163" s="2" t="n"/>
      <c r="O163" s="3" t="inlineStr">
        <is>
          <t>https://vanillabonds.com/dossier-data/pdf/fastned/fastned-2023-annual-report.pdf#page=136</t>
        </is>
      </c>
    </row>
    <row r="164">
      <c r="A164" s="2" t="inlineStr">
        <is>
          <t>F163</t>
        </is>
      </c>
      <c r="B164" s="2" t="inlineStr">
        <is>
          <t>debt</t>
        </is>
      </c>
      <c r="C164" s="2" t="inlineStr">
        <is>
          <t>debt_instrument</t>
        </is>
      </c>
      <c r="D164" s="2" t="inlineStr">
        <is>
          <t>Debt instrument</t>
        </is>
      </c>
      <c r="E164" s="2" t="n"/>
      <c r="F164" s="2" t="n">
        <v>24.4</v>
      </c>
      <c r="G164" s="2" t="n"/>
      <c r="H164" s="3" t="inlineStr">
        <is>
          <t>5.5% unsecured corporate bond issued June 2023 maturing 12/06/2028, EUR 24,413k at 31 Dec 2023 (EUR 22.0m new money plus 2.4m extensions), interest quarterly in arrears</t>
        </is>
      </c>
      <c r="I164" s="2" t="inlineStr">
        <is>
          <t>S1</t>
        </is>
      </c>
      <c r="J164" s="2" t="n">
        <v>136</v>
      </c>
      <c r="K164" s="2" t="inlineStr">
        <is>
          <t>5.5 12/06/2028 24,413 —</t>
        </is>
      </c>
      <c r="L164" s="2" t="inlineStr">
        <is>
          <t>pend</t>
        </is>
      </c>
      <c r="M164" s="2" t="n"/>
      <c r="N164" s="2" t="n"/>
      <c r="O164" s="3" t="inlineStr">
        <is>
          <t>https://vanillabonds.com/dossier-data/pdf/fastned/fastned-2023-annual-report.pdf#page=136</t>
        </is>
      </c>
    </row>
    <row r="165">
      <c r="A165" s="2" t="inlineStr">
        <is>
          <t>F164</t>
        </is>
      </c>
      <c r="B165" s="2" t="inlineStr">
        <is>
          <t>debt</t>
        </is>
      </c>
      <c r="C165" s="2" t="inlineStr">
        <is>
          <t>debt_instrument</t>
        </is>
      </c>
      <c r="D165" s="2" t="inlineStr">
        <is>
          <t>Debt instrument</t>
        </is>
      </c>
      <c r="E165" s="2" t="n"/>
      <c r="F165" s="2" t="n">
        <v>34.5</v>
      </c>
      <c r="G165" s="2" t="n"/>
      <c r="H165" s="3" t="inlineStr">
        <is>
          <t>6.0% unsecured corporate bond issued October 2023 maturing 16/10/2028, EUR 34,537k at 31 Dec 2023 (EUR 31.0m new money plus 3.5m extensions), interest quarterly in arrears</t>
        </is>
      </c>
      <c r="I165" s="2" t="inlineStr">
        <is>
          <t>S1</t>
        </is>
      </c>
      <c r="J165" s="2" t="n">
        <v>136</v>
      </c>
      <c r="K165" s="2" t="inlineStr">
        <is>
          <t>6.0 16/10/2028 34,537 —</t>
        </is>
      </c>
      <c r="L165" s="2" t="inlineStr">
        <is>
          <t>pend</t>
        </is>
      </c>
      <c r="M165" s="2" t="n"/>
      <c r="N165" s="2" t="n"/>
      <c r="O165" s="3" t="inlineStr">
        <is>
          <t>https://vanillabonds.com/dossier-data/pdf/fastned/fastned-2023-annual-report.pdf#page=136</t>
        </is>
      </c>
    </row>
    <row r="166">
      <c r="A166" s="2" t="inlineStr">
        <is>
          <t>F165</t>
        </is>
      </c>
      <c r="B166" s="2" t="inlineStr">
        <is>
          <t>debt</t>
        </is>
      </c>
      <c r="C166" s="2" t="inlineStr">
        <is>
          <t>debt_instrument</t>
        </is>
      </c>
      <c r="D166" s="2" t="inlineStr">
        <is>
          <t>Debt instrument</t>
        </is>
      </c>
      <c r="E166" s="2" t="n"/>
      <c r="F166" s="2" t="n">
        <v>2.2</v>
      </c>
      <c r="G166" s="2" t="n"/>
      <c r="H166" s="3" t="inlineStr">
        <is>
          <t>4% secured loan from Caisse des Dépôts maturing 01/12/2031, EUR 2,160k at 31 Dec 2023 (2022: 2,077k); 4% fixed capitalised for two years, then a variable component based on kWh sold</t>
        </is>
      </c>
      <c r="I166" s="2" t="inlineStr">
        <is>
          <t>S1</t>
        </is>
      </c>
      <c r="J166" s="2" t="n">
        <v>136</v>
      </c>
      <c r="K166" s="3" t="inlineStr">
        <is>
          <t>4% secured loan 4.0 01/12/2031 2,160 2,077</t>
        </is>
      </c>
      <c r="L166" s="2" t="inlineStr">
        <is>
          <t>pend</t>
        </is>
      </c>
      <c r="M166" s="2" t="n"/>
      <c r="N166" s="2" t="n"/>
      <c r="O166" s="3" t="inlineStr">
        <is>
          <t>https://vanillabonds.com/dossier-data/pdf/fastned/fastned-2023-annual-report.pdf#page=136</t>
        </is>
      </c>
    </row>
    <row r="167">
      <c r="A167" s="2" t="inlineStr">
        <is>
          <t>F166</t>
        </is>
      </c>
      <c r="B167" s="2" t="inlineStr">
        <is>
          <t>debt</t>
        </is>
      </c>
      <c r="C167" s="2" t="inlineStr">
        <is>
          <t>debt_instrument</t>
        </is>
      </c>
      <c r="D167" s="2" t="inlineStr">
        <is>
          <t>Debt instrument</t>
        </is>
      </c>
      <c r="E167" s="2" t="n"/>
      <c r="F167" s="2" t="n">
        <v>1.9</v>
      </c>
      <c r="G167" s="2" t="n"/>
      <c r="H167" s="3" t="inlineStr">
        <is>
          <t>4% secured loan from Caisse des Dépôts maturing 01/12/2032, EUR 1,921k drawn in 2023</t>
        </is>
      </c>
      <c r="I167" s="2" t="inlineStr">
        <is>
          <t>S1</t>
        </is>
      </c>
      <c r="J167" s="2" t="n">
        <v>136</v>
      </c>
      <c r="K167" s="2" t="inlineStr">
        <is>
          <t>4% secured loan 4.0 01/12/2032 1,921 —</t>
        </is>
      </c>
      <c r="L167" s="2" t="inlineStr">
        <is>
          <t>pend</t>
        </is>
      </c>
      <c r="M167" s="2" t="n"/>
      <c r="N167" s="2" t="n"/>
      <c r="O167" s="3" t="inlineStr">
        <is>
          <t>https://vanillabonds.com/dossier-data/pdf/fastned/fastned-2023-annual-report.pdf#page=136</t>
        </is>
      </c>
    </row>
    <row r="168">
      <c r="A168" s="2" t="inlineStr">
        <is>
          <t>F167</t>
        </is>
      </c>
      <c r="B168" s="2" t="inlineStr">
        <is>
          <t>debt</t>
        </is>
      </c>
      <c r="C168" s="2" t="inlineStr">
        <is>
          <t>covenant</t>
        </is>
      </c>
      <c r="D168" s="2" t="inlineStr">
        <is>
          <t>Financial covenant / restriction</t>
        </is>
      </c>
      <c r="E168" s="2" t="n"/>
      <c r="F168" s="2" t="n"/>
      <c r="G168" s="2" t="n"/>
      <c r="H168" s="3" t="inlineStr">
        <is>
          <t>No covenants apply to the bonds that could require early repayment; bonds are unsecured.</t>
        </is>
      </c>
      <c r="I168" s="2" t="inlineStr">
        <is>
          <t>S1</t>
        </is>
      </c>
      <c r="J168" s="2" t="n">
        <v>136</v>
      </c>
      <c r="K168" s="3" t="inlineStr">
        <is>
          <t>There are no securities for the bonds and there are no covenants applicable that could require Fastned to repay any of the loans.</t>
        </is>
      </c>
      <c r="L168" s="2" t="inlineStr">
        <is>
          <t>pend</t>
        </is>
      </c>
      <c r="M168" s="2" t="n"/>
      <c r="N168" s="2" t="n"/>
      <c r="O168" s="3" t="inlineStr">
        <is>
          <t>https://vanillabonds.com/dossier-data/pdf/fastned/fastned-2023-annual-report.pdf#page=136</t>
        </is>
      </c>
    </row>
    <row r="169">
      <c r="A169" s="2" t="inlineStr">
        <is>
          <t>F168</t>
        </is>
      </c>
      <c r="B169" s="2" t="inlineStr">
        <is>
          <t>risk</t>
        </is>
      </c>
      <c r="C169" s="2" t="inlineStr">
        <is>
          <t>risk_fact</t>
        </is>
      </c>
      <c r="D169" s="2" t="inlineStr">
        <is>
          <t>Risk fact</t>
        </is>
      </c>
      <c r="E169" s="2" t="n"/>
      <c r="F169" s="2" t="n"/>
      <c r="G169" s="2" t="n"/>
      <c r="H169" s="3" t="inlineStr">
        <is>
          <t>Regulatory: EV subsidies phased out in Germany slowed Q4 2023 EV sales; tender conditions and concession renewals under review; management trend 'unchanged (moderate)'.</t>
        </is>
      </c>
      <c r="I169" s="2" t="inlineStr">
        <is>
          <t>S1</t>
        </is>
      </c>
      <c r="J169" s="2" t="n">
        <v>28</v>
      </c>
      <c r="K169" s="3" t="inlineStr">
        <is>
          <t>For example, EV subsidies were phased out in Germany, which slowed down the sales of EVs in the last quarter of 2023.</t>
        </is>
      </c>
      <c r="L169" s="2" t="inlineStr">
        <is>
          <t>pend</t>
        </is>
      </c>
      <c r="M169" s="2" t="n"/>
      <c r="N169" s="2" t="n"/>
      <c r="O169" s="3" t="inlineStr">
        <is>
          <t>https://vanillabonds.com/dossier-data/pdf/fastned/fastned-2023-annual-report.pdf#page=28</t>
        </is>
      </c>
    </row>
    <row r="170">
      <c r="A170" s="2" t="inlineStr">
        <is>
          <t>F169</t>
        </is>
      </c>
      <c r="B170" s="2" t="inlineStr">
        <is>
          <t>risk</t>
        </is>
      </c>
      <c r="C170" s="2" t="inlineStr">
        <is>
          <t>risk_fact</t>
        </is>
      </c>
      <c r="D170" s="2" t="inlineStr">
        <is>
          <t>Risk fact</t>
        </is>
      </c>
      <c r="E170" s="2" t="n"/>
      <c r="F170" s="2" t="n"/>
      <c r="G170" s="2" t="n"/>
      <c r="H170" s="3" t="inlineStr">
        <is>
          <t>Management states a 'low-to-moderate' risk appetite for most categories; ISO 31000-based framework; internal audit function created in 2023 within Risk &amp; Audit.</t>
        </is>
      </c>
      <c r="I170" s="2" t="inlineStr">
        <is>
          <t>S1</t>
        </is>
      </c>
      <c r="J170" s="2" t="n">
        <v>50</v>
      </c>
      <c r="K170" s="3" t="inlineStr">
        <is>
          <t>Fastned has a low-to-moderate appetite for most risk categories despite taking an entrepreneurial approach.</t>
        </is>
      </c>
      <c r="L170" s="2" t="inlineStr">
        <is>
          <t>pend</t>
        </is>
      </c>
      <c r="M170" s="2" t="n"/>
      <c r="N170" s="2" t="n"/>
      <c r="O170" s="3" t="inlineStr">
        <is>
          <t>https://vanillabonds.com/dossier-data/pdf/fastned/fastned-2023-annual-report.pdf#page=50</t>
        </is>
      </c>
    </row>
    <row r="171">
      <c r="A171" s="2" t="inlineStr">
        <is>
          <t>F170</t>
        </is>
      </c>
      <c r="B171" s="2" t="inlineStr">
        <is>
          <t>risk</t>
        </is>
      </c>
      <c r="C171" s="2" t="inlineStr">
        <is>
          <t>risk_fact</t>
        </is>
      </c>
      <c r="D171" s="2" t="inlineStr">
        <is>
          <t>Risk fact</t>
        </is>
      </c>
      <c r="E171" s="2" t="n"/>
      <c r="F171" s="2" t="n"/>
      <c r="G171" s="2" t="n"/>
      <c r="H171" s="3" t="inlineStr">
        <is>
          <t>Brand and IP: unique station design but intellectual property protection is 'challenging' (management); brand visibility a new moderate risk in 2023.</t>
        </is>
      </c>
      <c r="I171" s="2" t="inlineStr">
        <is>
          <t>S1</t>
        </is>
      </c>
      <c r="J171" s="2" t="n">
        <v>53</v>
      </c>
      <c r="K171" s="3" t="inlineStr">
        <is>
          <t>The unique brand design differentiates Fastned from competitors, but intellectual property protection is challenging.</t>
        </is>
      </c>
      <c r="L171" s="2" t="inlineStr">
        <is>
          <t>pend</t>
        </is>
      </c>
      <c r="M171" s="2" t="n"/>
      <c r="N171" s="2" t="n"/>
      <c r="O171" s="3" t="inlineStr">
        <is>
          <t>https://vanillabonds.com/dossier-data/pdf/fastned/fastned-2023-annual-report.pdf#page=53</t>
        </is>
      </c>
    </row>
    <row r="172">
      <c r="A172" s="2" t="inlineStr">
        <is>
          <t>F171</t>
        </is>
      </c>
      <c r="B172" s="2" t="inlineStr">
        <is>
          <t>risk</t>
        </is>
      </c>
      <c r="C172" s="2" t="inlineStr">
        <is>
          <t>risk_fact</t>
        </is>
      </c>
      <c r="D172" s="2" t="inlineStr">
        <is>
          <t>Risk fact</t>
        </is>
      </c>
      <c r="E172" s="2" t="n"/>
      <c r="F172" s="2" t="n"/>
      <c r="G172" s="2" t="n"/>
      <c r="H172" s="3" t="inlineStr">
        <is>
          <t>Grid constraints: longer lead times for grid connections, particularly in the Netherlands; mitigation by early requests, over-sized capacity, load balancing and batteries; management trend 'unchanged (moderate)'.</t>
        </is>
      </c>
      <c r="I172" s="2" t="inlineStr">
        <is>
          <t>S1</t>
        </is>
      </c>
      <c r="J172" s="2" t="n">
        <v>54</v>
      </c>
      <c r="K172" s="3" t="inlineStr">
        <is>
          <t>Across the EU, the electricity grid is facing increasing capacity limitations, leading to longer lead times for obtaining new connections, particularly in the Netherlands.</t>
        </is>
      </c>
      <c r="L172" s="2" t="inlineStr">
        <is>
          <t>pend</t>
        </is>
      </c>
      <c r="M172" s="2" t="n"/>
      <c r="N172" s="2" t="n"/>
      <c r="O172" s="3" t="inlineStr">
        <is>
          <t>https://vanillabonds.com/dossier-data/pdf/fastned/fastned-2023-annual-report.pdf#page=54</t>
        </is>
      </c>
    </row>
    <row r="173">
      <c r="A173" s="2" t="inlineStr">
        <is>
          <t>F172</t>
        </is>
      </c>
      <c r="B173" s="2" t="inlineStr">
        <is>
          <t>risk</t>
        </is>
      </c>
      <c r="C173" s="2" t="inlineStr">
        <is>
          <t>risk_fact</t>
        </is>
      </c>
      <c r="D173" s="2" t="inlineStr">
        <is>
          <t>Risk fact</t>
        </is>
      </c>
      <c r="E173" s="2" t="n"/>
      <c r="F173" s="2" t="n"/>
      <c r="G173" s="2" t="n"/>
      <c r="H173" s="3" t="inlineStr">
        <is>
          <t>Supply chain: dependency on charger suppliers and constructors; diversification incl. charger supplier EVBox; production slots for chargers secured; management trend 'decreased to moderate'.</t>
        </is>
      </c>
      <c r="I173" s="2" t="inlineStr">
        <is>
          <t>S1</t>
        </is>
      </c>
      <c r="J173" s="2" t="n">
        <v>54</v>
      </c>
      <c r="K173" s="3" t="inlineStr">
        <is>
          <t>To reduce dependency on third-party suppliers, Fastned is diversifying its supplier and contractor portfolio, for example by engaging with the charger supplier EVBox.</t>
        </is>
      </c>
      <c r="L173" s="2" t="inlineStr">
        <is>
          <t>pend</t>
        </is>
      </c>
      <c r="M173" s="2" t="n"/>
      <c r="N173" s="2" t="n"/>
      <c r="O173" s="3" t="inlineStr">
        <is>
          <t>https://vanillabonds.com/dossier-data/pdf/fastned/fastned-2023-annual-report.pdf#page=54</t>
        </is>
      </c>
    </row>
    <row r="174">
      <c r="A174" s="2" t="inlineStr">
        <is>
          <t>F173</t>
        </is>
      </c>
      <c r="B174" s="2" t="inlineStr">
        <is>
          <t>risk</t>
        </is>
      </c>
      <c r="C174" s="2" t="inlineStr">
        <is>
          <t>risk_fact</t>
        </is>
      </c>
      <c r="D174" s="2" t="inlineStr">
        <is>
          <t>Risk fact</t>
        </is>
      </c>
      <c r="E174" s="2" t="n"/>
      <c r="F174" s="2" t="n"/>
      <c r="G174" s="2" t="n"/>
      <c r="H174" s="3" t="inlineStr">
        <is>
          <t>Health and safety: management raised the risk to 'moderate/high' in 2023 with more construction sites; H&amp;S audit done, H&amp;S manager hired, external audit again in 2024.</t>
        </is>
      </c>
      <c r="I174" s="2" t="inlineStr">
        <is>
          <t>S1</t>
        </is>
      </c>
      <c r="J174" s="2" t="n">
        <v>54</v>
      </c>
      <c r="K174" s="3" t="inlineStr">
        <is>
          <t>In 2023, an H&amp;S audit was conducted and Fastned hired an H&amp;S manager to support the further improvement of H&amp;S within daily practices</t>
        </is>
      </c>
      <c r="L174" s="2" t="inlineStr">
        <is>
          <t>pend</t>
        </is>
      </c>
      <c r="M174" s="2" t="n"/>
      <c r="N174" s="2" t="n"/>
      <c r="O174" s="3" t="inlineStr">
        <is>
          <t>https://vanillabonds.com/dossier-data/pdf/fastned/fastned-2023-annual-report.pdf#page=54</t>
        </is>
      </c>
    </row>
    <row r="175">
      <c r="A175" s="2" t="inlineStr">
        <is>
          <t>F174</t>
        </is>
      </c>
      <c r="B175" s="2" t="inlineStr">
        <is>
          <t>risk</t>
        </is>
      </c>
      <c r="C175" s="2" t="inlineStr">
        <is>
          <t>risk_fact</t>
        </is>
      </c>
      <c r="D175" s="2" t="inlineStr">
        <is>
          <t>Risk fact</t>
        </is>
      </c>
      <c r="E175" s="2" t="n"/>
      <c r="F175" s="2" t="n"/>
      <c r="G175" s="2" t="n"/>
      <c r="H175" s="3" t="inlineStr">
        <is>
          <t>Funding: management rates the funding risk 'low' and states the capital position covers expansion and financial commitments for the 'coming 12-18 months'; outstanding bonds need refinancing.</t>
        </is>
      </c>
      <c r="I175" s="2" t="inlineStr">
        <is>
          <t>S1</t>
        </is>
      </c>
      <c r="J175" s="2" t="n">
        <v>55</v>
      </c>
      <c r="K175" s="3" t="inlineStr">
        <is>
          <t>Fastned is focused on maintaining a healthy cash position to meet going concern and refinance outstanding bonds.</t>
        </is>
      </c>
      <c r="L175" s="2" t="inlineStr">
        <is>
          <t>pend</t>
        </is>
      </c>
      <c r="M175" s="2" t="n"/>
      <c r="N175" s="2" t="n"/>
      <c r="O175" s="3" t="inlineStr">
        <is>
          <t>https://vanillabonds.com/dossier-data/pdf/fastned/fastned-2023-annual-report.pdf#page=55</t>
        </is>
      </c>
    </row>
    <row r="176">
      <c r="A176" s="2" t="inlineStr">
        <is>
          <t>F175</t>
        </is>
      </c>
      <c r="B176" s="2" t="inlineStr">
        <is>
          <t>risk</t>
        </is>
      </c>
      <c r="C176" s="2" t="inlineStr">
        <is>
          <t>risk_fact</t>
        </is>
      </c>
      <c r="D176" s="2" t="inlineStr">
        <is>
          <t>Risk fact</t>
        </is>
      </c>
      <c r="E176" s="2" t="n"/>
      <c r="F176" s="2" t="n"/>
      <c r="G176" s="2" t="n"/>
      <c r="H176" s="3" t="inlineStr">
        <is>
          <t>Talent: management raised the risk to 'moderate/high'; shortages in design, software development and maintenance; first HR director hired November 2023.</t>
        </is>
      </c>
      <c r="I176" s="2" t="inlineStr">
        <is>
          <t>S1</t>
        </is>
      </c>
      <c r="J176" s="2" t="n">
        <v>55</v>
      </c>
      <c r="K176" s="3" t="inlineStr">
        <is>
          <t>In a competitive labour market, finding qualified candidates is still difficult, particularly in fields like design, software development, and maintenance.</t>
        </is>
      </c>
      <c r="L176" s="2" t="inlineStr">
        <is>
          <t>pend</t>
        </is>
      </c>
      <c r="M176" s="2" t="n"/>
      <c r="N176" s="2" t="n"/>
      <c r="O176" s="3" t="inlineStr">
        <is>
          <t>https://vanillabonds.com/dossier-data/pdf/fastned/fastned-2023-annual-report.pdf#page=55</t>
        </is>
      </c>
    </row>
    <row r="177">
      <c r="A177" s="2" t="inlineStr">
        <is>
          <t>F176</t>
        </is>
      </c>
      <c r="B177" s="2" t="inlineStr">
        <is>
          <t>risk</t>
        </is>
      </c>
      <c r="C177" s="2" t="inlineStr">
        <is>
          <t>risk_fact</t>
        </is>
      </c>
      <c r="D177" s="2" t="inlineStr">
        <is>
          <t>Risk fact</t>
        </is>
      </c>
      <c r="E177" s="2" t="n"/>
      <c r="F177" s="2" t="n"/>
      <c r="G177" s="2" t="n"/>
      <c r="H177" s="3" t="inlineStr">
        <is>
          <t>Energy price: gross margin exposed to the energy spot market; adaptive pricing and alternative procurement (PPA) used; 2023 had a record number of negative-price hours.</t>
        </is>
      </c>
      <c r="I177" s="2" t="inlineStr">
        <is>
          <t>S1</t>
        </is>
      </c>
      <c r="J177" s="2" t="n">
        <v>56</v>
      </c>
      <c r="K177" s="3" t="inlineStr">
        <is>
          <t>Furthermore, by pursuing alternate energy procurement options, Fastned can become less dependent on the fluctuations of the energy spot market and stabilise gross margin developments.</t>
        </is>
      </c>
      <c r="L177" s="2" t="inlineStr">
        <is>
          <t>pend</t>
        </is>
      </c>
      <c r="M177" s="2" t="n"/>
      <c r="N177" s="2" t="n"/>
      <c r="O177" s="3" t="inlineStr">
        <is>
          <t>https://vanillabonds.com/dossier-data/pdf/fastned/fastned-2023-annual-report.pdf#page=56</t>
        </is>
      </c>
    </row>
    <row r="178">
      <c r="A178" s="2" t="inlineStr">
        <is>
          <t>F177</t>
        </is>
      </c>
      <c r="B178" s="2" t="inlineStr">
        <is>
          <t>risk</t>
        </is>
      </c>
      <c r="C178" s="2" t="inlineStr">
        <is>
          <t>risk_fact</t>
        </is>
      </c>
      <c r="D178" s="2" t="inlineStr">
        <is>
          <t>Risk fact</t>
        </is>
      </c>
      <c r="E178" s="2" t="n"/>
      <c r="F178" s="2" t="n"/>
      <c r="G178" s="2" t="n"/>
      <c r="H178" s="3" t="inlineStr">
        <is>
          <t>Inflation and interest rates: 2023 geopolitical tensions kept inflation and interest rates high, affecting material and labour prices (management).</t>
        </is>
      </c>
      <c r="I178" s="2" t="inlineStr">
        <is>
          <t>S1</t>
        </is>
      </c>
      <c r="J178" s="2" t="n">
        <v>56</v>
      </c>
      <c r="K178" s="3" t="inlineStr">
        <is>
          <t>continued to affect inflation and interest rates, impacting the price of materials and labour.</t>
        </is>
      </c>
      <c r="L178" s="2" t="inlineStr">
        <is>
          <t>pend</t>
        </is>
      </c>
      <c r="M178" s="2" t="n"/>
      <c r="N178" s="2" t="n"/>
      <c r="O178" s="3" t="inlineStr">
        <is>
          <t>https://vanillabonds.com/dossier-data/pdf/fastned/fastned-2023-annual-report.pdf#page=56</t>
        </is>
      </c>
    </row>
    <row r="179">
      <c r="A179" s="2" t="inlineStr">
        <is>
          <t>F178</t>
        </is>
      </c>
      <c r="B179" s="2" t="inlineStr">
        <is>
          <t>risk</t>
        </is>
      </c>
      <c r="C179" s="2" t="inlineStr">
        <is>
          <t>risk_fact</t>
        </is>
      </c>
      <c r="D179" s="2" t="inlineStr">
        <is>
          <t>Risk fact</t>
        </is>
      </c>
      <c r="E179" s="2" t="n"/>
      <c r="F179" s="2" t="n"/>
      <c r="G179" s="2" t="n"/>
      <c r="H179" s="3" t="inlineStr">
        <is>
          <t>Cyber: Fastned may be classed as key infrastructure under NIS 2.0; VPN, penetration test and IAM rolled out in 2023; working towards ISO 27k certification; management trend 'decreased to low/moderate'.</t>
        </is>
      </c>
      <c r="I179" s="2" t="inlineStr">
        <is>
          <t>S1</t>
        </is>
      </c>
      <c r="J179" s="2" t="n">
        <v>57</v>
      </c>
      <c r="K179" s="3" t="inlineStr">
        <is>
          <t>especially in light of the possibility that Fastned could enter a nation's key infrastructure in line with the upcoming NIS 2.0 law.</t>
        </is>
      </c>
      <c r="L179" s="2" t="inlineStr">
        <is>
          <t>pend</t>
        </is>
      </c>
      <c r="M179" s="2" t="n"/>
      <c r="N179" s="2" t="n"/>
      <c r="O179" s="3" t="inlineStr">
        <is>
          <t>https://vanillabonds.com/dossier-data/pdf/fastned/fastned-2023-annual-report.pdf#page=57</t>
        </is>
      </c>
    </row>
    <row r="180">
      <c r="A180" s="2" t="inlineStr">
        <is>
          <t>F179</t>
        </is>
      </c>
      <c r="B180" s="2" t="inlineStr">
        <is>
          <t>risk</t>
        </is>
      </c>
      <c r="C180" s="2" t="inlineStr">
        <is>
          <t>risk_fact</t>
        </is>
      </c>
      <c r="D180" s="2" t="inlineStr">
        <is>
          <t>Risk fact</t>
        </is>
      </c>
      <c r="E180" s="2" t="n"/>
      <c r="F180" s="2" t="n"/>
      <c r="G180" s="2" t="n"/>
      <c r="H180" s="3" t="inlineStr">
        <is>
          <t>Money laundering: management's internal assessment rates the potential impact 'low'; all payments flow through EU banks with KYC and sanctions checks; bond issuance named as a possible vehicle.</t>
        </is>
      </c>
      <c r="I180" s="2" t="inlineStr">
        <is>
          <t>S1</t>
        </is>
      </c>
      <c r="J180" s="2" t="n">
        <v>59</v>
      </c>
      <c r="K180" s="3" t="inlineStr">
        <is>
          <t>Criminals can use activities like issuing bonds or buying goods and services for money laundering.</t>
        </is>
      </c>
      <c r="L180" s="2" t="inlineStr">
        <is>
          <t>pend</t>
        </is>
      </c>
      <c r="M180" s="2" t="n"/>
      <c r="N180" s="2" t="n"/>
      <c r="O180" s="3" t="inlineStr">
        <is>
          <t>https://vanillabonds.com/dossier-data/pdf/fastned/fastned-2023-annual-report.pdf#page=59</t>
        </is>
      </c>
    </row>
    <row r="181">
      <c r="A181" s="2" t="inlineStr">
        <is>
          <t>F180</t>
        </is>
      </c>
      <c r="B181" s="2" t="inlineStr">
        <is>
          <t>risk</t>
        </is>
      </c>
      <c r="C181" s="2" t="inlineStr">
        <is>
          <t>risk_fact</t>
        </is>
      </c>
      <c r="D181" s="2" t="inlineStr">
        <is>
          <t>Risk fact</t>
        </is>
      </c>
      <c r="E181" s="2" t="n"/>
      <c r="F181" s="2" t="n"/>
      <c r="G181" s="2" t="n"/>
      <c r="H181" s="3" t="inlineStr">
        <is>
          <t>FX: foreign operations (UK, CH, DK) translated; translation differences in OCI +EUR 0.6m in 2023 (2022: -0.5m); currency effect on cash -EUR 0.1m (2022: -0.5m).</t>
        </is>
      </c>
      <c r="I181" s="2" t="inlineStr">
        <is>
          <t>S1</t>
        </is>
      </c>
      <c r="J181" s="2" t="n">
        <v>92</v>
      </c>
      <c r="K181" s="3" t="inlineStr">
        <is>
          <t>Exchange differences on translating foreign operations 2.2(g) 638 (543)</t>
        </is>
      </c>
      <c r="L181" s="2" t="inlineStr">
        <is>
          <t>pend</t>
        </is>
      </c>
      <c r="M181" s="2" t="n"/>
      <c r="N181" s="2" t="n"/>
      <c r="O181" s="3" t="inlineStr">
        <is>
          <t>https://vanillabonds.com/dossier-data/pdf/fastned/fastned-2023-annual-report.pdf#page=92</t>
        </is>
      </c>
    </row>
    <row r="182">
      <c r="A182" s="2" t="inlineStr">
        <is>
          <t>F181</t>
        </is>
      </c>
      <c r="B182" s="2" t="inlineStr">
        <is>
          <t>risk</t>
        </is>
      </c>
      <c r="C182" s="2" t="inlineStr">
        <is>
          <t>risk_fact</t>
        </is>
      </c>
      <c r="D182" s="2" t="inlineStr">
        <is>
          <t>Risk fact</t>
        </is>
      </c>
      <c r="E182" s="2" t="n"/>
      <c r="F182" s="2" t="n"/>
      <c r="G182" s="2" t="n"/>
      <c r="H182" s="3" t="inlineStr">
        <is>
          <t>Going concern: management's 18-month liquidity forecast shows 'adequate funds' (management, note 1); losses funded by borrowings and DR issuance; cash EUR 126.6m and equity EUR 146.2m at end 2023.</t>
        </is>
      </c>
      <c r="I182" s="2" t="inlineStr">
        <is>
          <t>S1</t>
        </is>
      </c>
      <c r="J182" s="2" t="n">
        <v>97</v>
      </c>
      <c r="K182" s="3" t="inlineStr">
        <is>
          <t>Based on available information at the date of this report, the liquidity forecasts for the upcoming 18 months show adequate funds available for Fastned to continue as a going concern.</t>
        </is>
      </c>
      <c r="L182" s="2" t="inlineStr">
        <is>
          <t>pend</t>
        </is>
      </c>
      <c r="M182" s="2" t="n"/>
      <c r="N182" s="2" t="n"/>
      <c r="O182" s="3" t="inlineStr">
        <is>
          <t>https://vanillabonds.com/dossier-data/pdf/fastned/fastned-2023-annual-report.pdf#page=97</t>
        </is>
      </c>
    </row>
    <row r="183">
      <c r="A183" s="2" t="inlineStr">
        <is>
          <t>F182</t>
        </is>
      </c>
      <c r="B183" s="2" t="inlineStr">
        <is>
          <t>risk</t>
        </is>
      </c>
      <c r="C183" s="2" t="inlineStr">
        <is>
          <t>risk_fact</t>
        </is>
      </c>
      <c r="D183" s="2" t="inlineStr">
        <is>
          <t>Risk fact</t>
        </is>
      </c>
      <c r="E183" s="2" t="n"/>
      <c r="F183" s="2" t="n"/>
      <c r="G183" s="2" t="n"/>
      <c r="H183" s="3" t="inlineStr">
        <is>
          <t>Concession renewal: uncertainty about renewing Dutch highway concessions at end of contract; government policy for future tenders of Dutch highway locations approaching concession end-date not yet determined (useful-life judgement).</t>
        </is>
      </c>
      <c r="I183" s="2" t="inlineStr">
        <is>
          <t>S1</t>
        </is>
      </c>
      <c r="J183" s="2" t="n">
        <v>107</v>
      </c>
      <c r="K183" s="3" t="inlineStr">
        <is>
          <t>The estimated useful lives include management judgement as policy and procedures for future tenders of Dutch highway locations approaching concession end-date have yet to be determined</t>
        </is>
      </c>
      <c r="L183" s="2" t="inlineStr">
        <is>
          <t>pend</t>
        </is>
      </c>
      <c r="M183" s="2" t="n"/>
      <c r="N183" s="2" t="n"/>
      <c r="O183" s="3" t="inlineStr">
        <is>
          <t>https://vanillabonds.com/dossier-data/pdf/fastned/fastned-2023-annual-report.pdf#page=107</t>
        </is>
      </c>
    </row>
    <row r="184">
      <c r="A184" s="2" t="inlineStr">
        <is>
          <t>F183</t>
        </is>
      </c>
      <c r="B184" s="2" t="inlineStr">
        <is>
          <t>risk</t>
        </is>
      </c>
      <c r="C184" s="2" t="inlineStr">
        <is>
          <t>risk_fact</t>
        </is>
      </c>
      <c r="D184" s="2" t="inlineStr">
        <is>
          <t>Risk fact</t>
        </is>
      </c>
      <c r="E184" s="2" t="n"/>
      <c r="F184" s="2" t="n"/>
      <c r="G184" s="2" t="n"/>
      <c r="H184" s="3" t="inlineStr">
        <is>
          <t>FX: UK, CH and DK subsidiaries are funded with intercompany loans from Fastned B.V.; a 1% FX move changes the balance at 31 Dec 2023 by EUR 340k.</t>
        </is>
      </c>
      <c r="I184" s="2" t="inlineStr">
        <is>
          <t>S1</t>
        </is>
      </c>
      <c r="J184" s="2" t="n">
        <v>140</v>
      </c>
      <c r="K184" s="3" t="inlineStr">
        <is>
          <t>The balance at 31 December 2023 would change with € 340 thousand in case foreign currency exchange rates change with 1%.</t>
        </is>
      </c>
      <c r="L184" s="2" t="inlineStr">
        <is>
          <t>pend</t>
        </is>
      </c>
      <c r="M184" s="2" t="n"/>
      <c r="N184" s="2" t="n"/>
      <c r="O184" s="3" t="inlineStr">
        <is>
          <t>https://vanillabonds.com/dossier-data/pdf/fastned/fastned-2023-annual-report.pdf#page=140</t>
        </is>
      </c>
    </row>
    <row r="185">
      <c r="A185" s="2" t="inlineStr">
        <is>
          <t>F184</t>
        </is>
      </c>
      <c r="B185" s="2" t="inlineStr">
        <is>
          <t>risk</t>
        </is>
      </c>
      <c r="C185" s="2" t="inlineStr">
        <is>
          <t>risk_fact</t>
        </is>
      </c>
      <c r="D185" s="2" t="inlineStr">
        <is>
          <t>Risk fact</t>
        </is>
      </c>
      <c r="E185" s="2" t="n"/>
      <c r="F185" s="2" t="n"/>
      <c r="G185" s="2" t="n"/>
      <c r="H185" s="3" t="inlineStr">
        <is>
          <t>Electricity is purchased on the spot wholesale market and not hedged; management states Fastned 'has the ability to increase sales prices' to pass on electricity price rises.</t>
        </is>
      </c>
      <c r="I185" s="2" t="inlineStr">
        <is>
          <t>S1</t>
        </is>
      </c>
      <c r="J185" s="2" t="n">
        <v>140</v>
      </c>
      <c r="K185" s="3" t="inlineStr">
        <is>
          <t>The Group purchases electricity on the spot wholesale market.</t>
        </is>
      </c>
      <c r="L185" s="2" t="inlineStr">
        <is>
          <t>pend</t>
        </is>
      </c>
      <c r="M185" s="2" t="n"/>
      <c r="N185" s="2" t="n"/>
      <c r="O185" s="3" t="inlineStr">
        <is>
          <t>https://vanillabonds.com/dossier-data/pdf/fastned/fastned-2023-annual-report.pdf#page=140</t>
        </is>
      </c>
    </row>
    <row r="186">
      <c r="A186" s="2" t="inlineStr">
        <is>
          <t>F185</t>
        </is>
      </c>
      <c r="B186" s="2" t="inlineStr">
        <is>
          <t>risk</t>
        </is>
      </c>
      <c r="C186" s="2" t="inlineStr">
        <is>
          <t>risk_fact</t>
        </is>
      </c>
      <c r="D186" s="2" t="inlineStr">
        <is>
          <t>Risk fact</t>
        </is>
      </c>
      <c r="E186" s="2" t="n"/>
      <c r="F186" s="2" t="n"/>
      <c r="G186" s="2" t="n"/>
      <c r="H186" s="3" t="inlineStr">
        <is>
          <t>Receivables from charge card providers are invoiced monthly and spread over a small number of providers; a large portion of revenue is collected by direct debit or cards from private individuals.</t>
        </is>
      </c>
      <c r="I186" s="2" t="inlineStr">
        <is>
          <t>S1</t>
        </is>
      </c>
      <c r="J186" s="2" t="n">
        <v>140</v>
      </c>
      <c r="K186" s="3" t="inlineStr">
        <is>
          <t>Receivables from charge card providers are invoiced monthly, and spread over a small number of charge card providers, and monitored to ensure no build up of overdue amounts.</t>
        </is>
      </c>
      <c r="L186" s="2" t="inlineStr">
        <is>
          <t>pend</t>
        </is>
      </c>
      <c r="M186" s="2" t="n"/>
      <c r="N186" s="2" t="n"/>
      <c r="O186" s="3" t="inlineStr">
        <is>
          <t>https://vanillabonds.com/dossier-data/pdf/fastned/fastned-2023-annual-report.pdf#page=140</t>
        </is>
      </c>
    </row>
    <row r="187">
      <c r="A187" s="2" t="inlineStr">
        <is>
          <t>F186</t>
        </is>
      </c>
      <c r="B187" s="2" t="inlineStr">
        <is>
          <t>risk</t>
        </is>
      </c>
      <c r="C187" s="2" t="inlineStr">
        <is>
          <t>risk_fact</t>
        </is>
      </c>
      <c r="D187" s="2" t="inlineStr">
        <is>
          <t>Risk fact</t>
        </is>
      </c>
      <c r="E187" s="2" t="n"/>
      <c r="F187" s="2" t="n"/>
      <c r="G187" s="2" t="n"/>
      <c r="H187" s="3" t="inlineStr">
        <is>
          <t>Management describes a 'significant cash surplus' at year-end 2023 as the safeguard against liquidity risk; a liquidity planning tool monitors shortage of funds.</t>
        </is>
      </c>
      <c r="I187" s="2" t="inlineStr">
        <is>
          <t>S1</t>
        </is>
      </c>
      <c r="J187" s="2" t="n">
        <v>141</v>
      </c>
      <c r="K187" s="3" t="inlineStr">
        <is>
          <t>At the end of the reporting period Fastned held a significant cash surplus safeguarding against liquidity risk.</t>
        </is>
      </c>
      <c r="L187" s="2" t="inlineStr">
        <is>
          <t>pend</t>
        </is>
      </c>
      <c r="M187" s="2" t="n"/>
      <c r="N187" s="2" t="n"/>
      <c r="O187" s="3" t="inlineStr">
        <is>
          <t>https://vanillabonds.com/dossier-data/pdf/fastned/fastned-2023-annual-report.pdf#page=141</t>
        </is>
      </c>
    </row>
    <row r="188">
      <c r="A188" s="2" t="inlineStr">
        <is>
          <t>F187</t>
        </is>
      </c>
      <c r="B188" s="2" t="inlineStr">
        <is>
          <t>risk</t>
        </is>
      </c>
      <c r="C188" s="2" t="inlineStr">
        <is>
          <t>risk_fact</t>
        </is>
      </c>
      <c r="D188" s="2" t="inlineStr">
        <is>
          <t>Risk fact</t>
        </is>
      </c>
      <c r="E188" s="2" t="n"/>
      <c r="F188" s="2" t="n"/>
      <c r="G188" s="2" t="n"/>
      <c r="H188" s="3" t="inlineStr">
        <is>
          <t>Contractual undiscounted maturities at 31 Dec 2023: borrowings 7,304k within 3 months, 9,659k in 3-12 months, 144,036k in 1-5 years; interest on borrowings 23,676k in total.</t>
        </is>
      </c>
      <c r="I188" s="2" t="inlineStr">
        <is>
          <t>S1</t>
        </is>
      </c>
      <c r="J188" s="2" t="n">
        <v>141</v>
      </c>
      <c r="K188" s="3" t="inlineStr">
        <is>
          <t>Interest-bearing loans and borrowings — 7,304 9,659 144,036 160,999</t>
        </is>
      </c>
      <c r="L188" s="2" t="inlineStr">
        <is>
          <t>pend</t>
        </is>
      </c>
      <c r="M188" s="2" t="n"/>
      <c r="N188" s="2" t="n"/>
      <c r="O188" s="3" t="inlineStr">
        <is>
          <t>https://vanillabonds.com/dossier-data/pdf/fastned/fastned-2023-annual-report.pdf#page=141</t>
        </is>
      </c>
    </row>
    <row r="189">
      <c r="A189" s="2" t="inlineStr">
        <is>
          <t>F188</t>
        </is>
      </c>
      <c r="B189" s="2" t="inlineStr">
        <is>
          <t>risk</t>
        </is>
      </c>
      <c r="C189" s="2" t="inlineStr">
        <is>
          <t>risk_fact</t>
        </is>
      </c>
      <c r="D189" s="2" t="inlineStr">
        <is>
          <t>Risk fact</t>
        </is>
      </c>
      <c r="E189" s="2" t="n"/>
      <c r="F189" s="2" t="n"/>
      <c r="G189" s="2" t="n"/>
      <c r="H189" s="3" t="inlineStr">
        <is>
          <t>Trade receivables EUR 11,164k gross at 31 Dec 2023, 7,409k not past due, provision EUR 831k (2022: 131k); terms generally 14 days.</t>
        </is>
      </c>
      <c r="I189" s="2" t="inlineStr">
        <is>
          <t>S1</t>
        </is>
      </c>
      <c r="J189" s="2" t="n">
        <v>142</v>
      </c>
      <c r="K189" s="3" t="inlineStr">
        <is>
          <t>As at 31 December 2023, the provision for trade receivables amounted to €831 thousand (2022: €131 thousand).</t>
        </is>
      </c>
      <c r="L189" s="2" t="inlineStr">
        <is>
          <t>pend</t>
        </is>
      </c>
      <c r="M189" s="2" t="n"/>
      <c r="N189" s="2" t="n"/>
      <c r="O189" s="3" t="inlineStr">
        <is>
          <t>https://vanillabonds.com/dossier-data/pdf/fastned/fastned-2023-annual-report.pdf#page=142</t>
        </is>
      </c>
    </row>
    <row r="190">
      <c r="A190" s="2" t="inlineStr">
        <is>
          <t>F189</t>
        </is>
      </c>
      <c r="B190" s="2" t="inlineStr">
        <is>
          <t>risk</t>
        </is>
      </c>
      <c r="C190" s="2" t="inlineStr">
        <is>
          <t>risk_fact</t>
        </is>
      </c>
      <c r="D190" s="2" t="inlineStr">
        <is>
          <t>Risk fact</t>
        </is>
      </c>
      <c r="E190" s="2" t="n"/>
      <c r="F190" s="2" t="n"/>
      <c r="G190" s="2" t="n"/>
      <c r="H190" s="3" t="inlineStr">
        <is>
          <t>Cash and cash equivalents are mainly concentrated at two banks under Dutch Central Bank supervision with 'an A or equivalent long term rating' (note 14.6 says one bank).</t>
        </is>
      </c>
      <c r="I190" s="2" t="inlineStr">
        <is>
          <t>S1</t>
        </is>
      </c>
      <c r="J190" s="2" t="n">
        <v>143</v>
      </c>
      <c r="K190" s="3" t="inlineStr">
        <is>
          <t>Cash and cash equivalents are current account balances, mainly concentrated at two banks under supervision of the Dutch Central Bank with an A or equivalent long term rating.</t>
        </is>
      </c>
      <c r="L190" s="2" t="inlineStr">
        <is>
          <t>pend</t>
        </is>
      </c>
      <c r="M190" s="2" t="n"/>
      <c r="N190" s="2" t="n"/>
      <c r="O190" s="3" t="inlineStr">
        <is>
          <t>https://vanillabonds.com/dossier-data/pdf/fastned/fastned-2023-annual-report.pdf#page=143</t>
        </is>
      </c>
    </row>
    <row r="191">
      <c r="A191" s="2" t="inlineStr">
        <is>
          <t>F190</t>
        </is>
      </c>
      <c r="B191" s="2" t="inlineStr">
        <is>
          <t>risk</t>
        </is>
      </c>
      <c r="C191" s="2" t="inlineStr">
        <is>
          <t>risk_fact</t>
        </is>
      </c>
      <c r="D191" s="2" t="inlineStr">
        <is>
          <t>Risk fact</t>
        </is>
      </c>
      <c r="E191" s="2" t="n"/>
      <c r="F191" s="2" t="n"/>
      <c r="G191" s="2" t="n"/>
      <c r="H191" s="3" t="inlineStr">
        <is>
          <t>Going concern: the auditor reports management's liquidity forecasts for 18 months show 'adequate funds'; the auditor concluded that 'no material uncertainty exists' for twelve months after signing.</t>
        </is>
      </c>
      <c r="I191" s="2" t="inlineStr">
        <is>
          <t>S1</t>
        </is>
      </c>
      <c r="J191" s="2" t="n">
        <v>180</v>
      </c>
      <c r="K191" s="3" t="inlineStr">
        <is>
          <t>has concluded that the liquidity forecasts for the upcoming 18 months show adequate funds available for Fastned to continue as a going concern.</t>
        </is>
      </c>
      <c r="L191" s="2" t="inlineStr">
        <is>
          <t>pend</t>
        </is>
      </c>
      <c r="M191" s="2" t="n"/>
      <c r="N191" s="2" t="n"/>
      <c r="O191" s="3" t="inlineStr">
        <is>
          <t>https://vanillabonds.com/dossier-data/pdf/fastned/fastned-2023-annual-report.pdf#page=180</t>
        </is>
      </c>
    </row>
    <row r="192">
      <c r="A192" s="2" t="inlineStr">
        <is>
          <t>F191</t>
        </is>
      </c>
      <c r="B192" s="2" t="inlineStr">
        <is>
          <t>risk</t>
        </is>
      </c>
      <c r="C192" s="2" t="inlineStr">
        <is>
          <t>risk_fact</t>
        </is>
      </c>
      <c r="D192" s="2" t="inlineStr">
        <is>
          <t>Risk fact</t>
        </is>
      </c>
      <c r="E192" s="2" t="n"/>
      <c r="F192" s="2" t="n"/>
      <c r="G192" s="2" t="n"/>
      <c r="H192" s="3" t="inlineStr">
        <is>
          <t>Auditor: going concern depends on continued access to capital markets and the ability to repay or refinance the existing bonds.</t>
        </is>
      </c>
      <c r="I192" s="2" t="inlineStr">
        <is>
          <t>S1</t>
        </is>
      </c>
      <c r="J192" s="2" t="n">
        <v>180</v>
      </c>
      <c r="K192" s="3" t="inlineStr">
        <is>
          <t>it’s relevant that Fastned continues to have access to capital markets and its compliance with and the ability to repay or refinance of the existing bonds.</t>
        </is>
      </c>
      <c r="L192" s="2" t="inlineStr">
        <is>
          <t>pend</t>
        </is>
      </c>
      <c r="M192" s="2" t="n"/>
      <c r="N192" s="2" t="n"/>
      <c r="O192" s="3" t="inlineStr">
        <is>
          <t>https://vanillabonds.com/dossier-data/pdf/fastned/fastned-2023-annual-report.pdf#page=180</t>
        </is>
      </c>
    </row>
    <row r="193">
      <c r="A193" s="2" t="inlineStr">
        <is>
          <t>F192</t>
        </is>
      </c>
      <c r="B193" s="2" t="inlineStr">
        <is>
          <t>risk</t>
        </is>
      </c>
      <c r="C193" s="2" t="inlineStr">
        <is>
          <t>risk_fact</t>
        </is>
      </c>
      <c r="D193" s="2" t="inlineStr">
        <is>
          <t>Risk fact</t>
        </is>
      </c>
      <c r="E193" s="2" t="n"/>
      <c r="F193" s="2" t="n"/>
      <c r="G193" s="2" t="n"/>
      <c r="H193" s="3" t="inlineStr">
        <is>
          <t>Auditor inspected correspondence with regulators including the AFM and 'did not identify a potential non-compliance risk' with laws and regulations.</t>
        </is>
      </c>
      <c r="I193" s="2" t="inlineStr">
        <is>
          <t>S1</t>
        </is>
      </c>
      <c r="J193" s="2" t="n">
        <v>181</v>
      </c>
      <c r="K193" s="3" t="inlineStr">
        <is>
          <t>The audit procedures described above have resulted in sufficient and appropriate audit evidence and we did not identify a potential</t>
        </is>
      </c>
      <c r="L193" s="2" t="inlineStr">
        <is>
          <t>pend</t>
        </is>
      </c>
      <c r="M193" s="2" t="n"/>
      <c r="N193" s="2" t="n"/>
      <c r="O193" s="3" t="inlineStr">
        <is>
          <t>https://vanillabonds.com/dossier-data/pdf/fastned/fastned-2023-annual-report.pdf#page=181</t>
        </is>
      </c>
    </row>
    <row r="194">
      <c r="A194" s="2" t="inlineStr">
        <is>
          <t>F193</t>
        </is>
      </c>
      <c r="B194" s="2" t="inlineStr">
        <is>
          <t>management</t>
        </is>
      </c>
      <c r="C194" s="2" t="inlineStr">
        <is>
          <t>mgmt_person</t>
        </is>
      </c>
      <c r="D194" s="3" t="inlineStr">
        <is>
          <t>Executive: name, role, since, prior roles (register / report)</t>
        </is>
      </c>
      <c r="E194" s="2" t="n"/>
      <c r="F194" s="2" t="n"/>
      <c r="G194" s="2" t="n"/>
      <c r="H194" s="3" t="inlineStr">
        <is>
          <t>Michiel Langezaal, CEO and co-founder since 2012; owner and managing director of Carraig Aonair Holding B.V.; previously New Business Developer at Epyon/ABB (2010-2012) and strategy consultant at A.T. Kearney (2007-2010); MSc Mechanical Engineering TU Delft.</t>
        </is>
      </c>
      <c r="I194" s="2" t="inlineStr">
        <is>
          <t>S1</t>
        </is>
      </c>
      <c r="J194" s="2" t="n">
        <v>85</v>
      </c>
      <c r="K194" s="3" t="inlineStr">
        <is>
          <t>Before the founding of Fastned and his appointment as CEO of the Company in 2012, Michiel was New Business Developer at Epyon/ABB, a maker of fast chargers for electric vehicles, from 2010 to 2012.</t>
        </is>
      </c>
      <c r="L194" s="2" t="inlineStr">
        <is>
          <t>pend</t>
        </is>
      </c>
      <c r="M194" s="2" t="n"/>
      <c r="N194" s="2" t="n"/>
      <c r="O194" s="3" t="inlineStr">
        <is>
          <t>https://vanillabonds.com/dossier-data/pdf/fastned/fastned-2023-annual-report.pdf#page=85</t>
        </is>
      </c>
    </row>
    <row r="195">
      <c r="A195" s="2" t="inlineStr">
        <is>
          <t>F194</t>
        </is>
      </c>
      <c r="B195" s="2" t="inlineStr">
        <is>
          <t>management</t>
        </is>
      </c>
      <c r="C195" s="2" t="inlineStr">
        <is>
          <t>mgmt_person</t>
        </is>
      </c>
      <c r="D195" s="3" t="inlineStr">
        <is>
          <t>Executive: name, role, since, prior roles (register / report)</t>
        </is>
      </c>
      <c r="E195" s="2" t="n"/>
      <c r="F195" s="2" t="n"/>
      <c r="G195" s="2" t="n"/>
      <c r="H195" s="3" t="inlineStr">
        <is>
          <t>Victor van Dijk, CFO and statutory director since 2019; previously Managing Director Debt Capital Markets at ING, responsible for corporate DCM in Germany, Switzerland and Austria since 2012, 14+ years at ING; MSc Civil Engineering TU Delft.</t>
        </is>
      </c>
      <c r="I195" s="2" t="inlineStr">
        <is>
          <t>S1</t>
        </is>
      </c>
      <c r="J195" s="2" t="n">
        <v>85</v>
      </c>
      <c r="K195" s="3" t="inlineStr">
        <is>
          <t>Victor worked at ING as Managing Director Debt Capital Markets (DCM) where he had been responsible for corporate DCM in Germany, Switzerland and Austria since 2012.</t>
        </is>
      </c>
      <c r="L195" s="2" t="inlineStr">
        <is>
          <t>pend</t>
        </is>
      </c>
      <c r="M195" s="2" t="n"/>
      <c r="N195" s="2" t="n"/>
      <c r="O195" s="3" t="inlineStr">
        <is>
          <t>https://vanillabonds.com/dossier-data/pdf/fastned/fastned-2023-annual-report.pdf#page=85</t>
        </is>
      </c>
    </row>
    <row r="196">
      <c r="A196" s="2" t="inlineStr">
        <is>
          <t>F195</t>
        </is>
      </c>
      <c r="B196" s="2" t="inlineStr">
        <is>
          <t>management</t>
        </is>
      </c>
      <c r="C196" s="2" t="inlineStr">
        <is>
          <t>mgmt_person</t>
        </is>
      </c>
      <c r="D196" s="3" t="inlineStr">
        <is>
          <t>Executive: name, role, since, prior roles (register / report)</t>
        </is>
      </c>
      <c r="E196" s="2" t="n"/>
      <c r="F196" s="2" t="n"/>
      <c r="G196" s="2" t="n"/>
      <c r="H196" s="3" t="inlineStr">
        <is>
          <t>Michiel Langezaal, CEO and statutory director of Fastned B.V.; holds 21.5% of DRs via Carraig Aonair Holding B.V.</t>
        </is>
      </c>
      <c r="I196" s="2" t="inlineStr">
        <is>
          <t>S1</t>
        </is>
      </c>
      <c r="J196" s="2" t="n">
        <v>118</v>
      </c>
      <c r="K196" s="3" t="inlineStr">
        <is>
          <t>The board of directors of Fastned B.V. consist of Michiel Langezaal and Victor van Dijk.</t>
        </is>
      </c>
      <c r="L196" s="2" t="inlineStr">
        <is>
          <t>pend</t>
        </is>
      </c>
      <c r="M196" s="2" t="n"/>
      <c r="N196" s="2" t="n"/>
      <c r="O196" s="3" t="inlineStr">
        <is>
          <t>https://vanillabonds.com/dossier-data/pdf/fastned/fastned-2023-annual-report.pdf#page=118</t>
        </is>
      </c>
    </row>
    <row r="197">
      <c r="A197" s="2" t="inlineStr">
        <is>
          <t>F196</t>
        </is>
      </c>
      <c r="B197" s="2" t="inlineStr">
        <is>
          <t>management</t>
        </is>
      </c>
      <c r="C197" s="2" t="inlineStr">
        <is>
          <t>mgmt_person</t>
        </is>
      </c>
      <c r="D197" s="3" t="inlineStr">
        <is>
          <t>Executive: name, role, since, prior roles (register / report)</t>
        </is>
      </c>
      <c r="E197" s="2" t="n"/>
      <c r="F197" s="2" t="n"/>
      <c r="G197" s="2" t="n"/>
      <c r="H197" s="3" t="inlineStr">
        <is>
          <t>Victor van Dijk, CFO and statutory director of Fastned B.V.; holds 14,105 share options at 31 Dec 2023 (2022: 9,562).</t>
        </is>
      </c>
      <c r="I197" s="2" t="inlineStr">
        <is>
          <t>S1</t>
        </is>
      </c>
      <c r="J197" s="2" t="n">
        <v>147</v>
      </c>
      <c r="K197" s="3" t="inlineStr">
        <is>
          <t>Included in the table above are options granted to Victor van Dijk, director of Fastned B.V., who held 14,105 options as at 31 December 2023 (2022: 9,562).</t>
        </is>
      </c>
      <c r="L197" s="2" t="inlineStr">
        <is>
          <t>pend</t>
        </is>
      </c>
      <c r="M197" s="2" t="n"/>
      <c r="N197" s="2" t="n"/>
      <c r="O197" s="3" t="inlineStr">
        <is>
          <t>https://vanillabonds.com/dossier-data/pdf/fastned/fastned-2023-annual-report.pdf#page=147</t>
        </is>
      </c>
    </row>
    <row r="198">
      <c r="A198" s="2" t="inlineStr">
        <is>
          <t>F197</t>
        </is>
      </c>
      <c r="B198" s="2" t="inlineStr">
        <is>
          <t>management</t>
        </is>
      </c>
      <c r="C198" s="2" t="inlineStr">
        <is>
          <t>acquisition</t>
        </is>
      </c>
      <c r="D198" s="3" t="inlineStr">
        <is>
          <t>Acquisition / disposal: target, year, price, funding, outcome vs case</t>
        </is>
      </c>
      <c r="E198" s="2" t="n"/>
      <c r="F198" s="2" t="n"/>
      <c r="G198" s="2" t="n"/>
      <c r="H198" s="3" t="inlineStr">
        <is>
          <t>target: Fastned Terra 1 B.V.; year: 2023 (29 December 2023); outcome: EUR 0.6m loss on acquisition in exceptional items; Fastned previously operated and maintained its chargers under a service contract.</t>
        </is>
      </c>
      <c r="I198" s="2" t="inlineStr">
        <is>
          <t>S1</t>
        </is>
      </c>
      <c r="J198" s="2" t="n">
        <v>37</v>
      </c>
      <c r="K198" s="3" t="inlineStr">
        <is>
          <t>as well as a €(0.6) million loss incurred with the acquisition of Fastned Terra 1 B.V.</t>
        </is>
      </c>
      <c r="L198" s="2" t="inlineStr">
        <is>
          <t>pend</t>
        </is>
      </c>
      <c r="M198" s="2" t="n"/>
      <c r="N198" s="2" t="n"/>
      <c r="O198" s="3" t="inlineStr">
        <is>
          <t>https://vanillabonds.com/dossier-data/pdf/fastned/fastned-2023-annual-report.pdf#page=37</t>
        </is>
      </c>
    </row>
    <row r="199">
      <c r="A199" s="2" t="inlineStr">
        <is>
          <t>F198</t>
        </is>
      </c>
      <c r="B199" s="2" t="inlineStr">
        <is>
          <t>management</t>
        </is>
      </c>
      <c r="C199" s="2" t="inlineStr">
        <is>
          <t>acquisition</t>
        </is>
      </c>
      <c r="D199" s="3" t="inlineStr">
        <is>
          <t>Acquisition / disposal: target, year, price, funding, outcome vs case</t>
        </is>
      </c>
      <c r="E199" s="2" t="n"/>
      <c r="F199" s="2" t="n"/>
      <c r="G199" s="2" t="n"/>
      <c r="H199" s="3" t="inlineStr">
        <is>
          <t>Fastned Terra 1 B.V.: 90.8% acquired from private investors on 29 Dec 2023, accounted for as an asset acquisition; tangible assets at cost EUR 329k; a further 7.6% acquired 12 Jan 2024 bringing the holding to 98.4%.</t>
        </is>
      </c>
      <c r="I199" s="2" t="inlineStr">
        <is>
          <t>S1</t>
        </is>
      </c>
      <c r="J199" s="2" t="n">
        <v>118</v>
      </c>
      <c r="K199" s="3" t="inlineStr">
        <is>
          <t>On December 29, 2023, Fastned B.V. acquired 90.8% of the shares in Fastned Terra 1 B.V. (Terra 1) from private investors. The acquisition of Terra 1 has been accounted for as an asset acquisition.</t>
        </is>
      </c>
      <c r="L199" s="2" t="inlineStr">
        <is>
          <t>pend</t>
        </is>
      </c>
      <c r="M199" s="2" t="n"/>
      <c r="N199" s="2" t="n"/>
      <c r="O199" s="3" t="inlineStr">
        <is>
          <t>https://vanillabonds.com/dossier-data/pdf/fastned/fastned-2023-annual-report.pdf#page=118</t>
        </is>
      </c>
    </row>
    <row r="200">
      <c r="A200" s="2" t="inlineStr">
        <is>
          <t>F199</t>
        </is>
      </c>
      <c r="B200" s="2" t="inlineStr">
        <is>
          <t>management</t>
        </is>
      </c>
      <c r="C200" s="2" t="inlineStr">
        <is>
          <t>acquisition</t>
        </is>
      </c>
      <c r="D200" s="3" t="inlineStr">
        <is>
          <t>Acquisition / disposal: target, year, price, funding, outcome vs case</t>
        </is>
      </c>
      <c r="E200" s="2" t="n"/>
      <c r="F200" s="2" t="n"/>
      <c r="G200" s="2" t="n"/>
      <c r="H200" s="3" t="inlineStr">
        <is>
          <t>Disposal: sale of a small station in February 2024, EUR 94k transferred to assets held for sale at 31 Dec 2023.</t>
        </is>
      </c>
      <c r="I200" s="2" t="inlineStr">
        <is>
          <t>S1</t>
        </is>
      </c>
      <c r="J200" s="2" t="n">
        <v>131</v>
      </c>
      <c r="K200" s="3" t="inlineStr">
        <is>
          <t>Additionally, €94 thousand was transferred to held for sale. This relates to the sale of a small station, which will take place in February 2024.</t>
        </is>
      </c>
      <c r="L200" s="2" t="inlineStr">
        <is>
          <t>pend</t>
        </is>
      </c>
      <c r="M200" s="2" t="n"/>
      <c r="N200" s="2" t="n"/>
      <c r="O200" s="3" t="inlineStr">
        <is>
          <t>https://vanillabonds.com/dossier-data/pdf/fastned/fastned-2023-annual-report.pdf#page=131</t>
        </is>
      </c>
    </row>
    <row r="201">
      <c r="A201" s="2" t="inlineStr">
        <is>
          <t>F200</t>
        </is>
      </c>
      <c r="B201" s="2" t="inlineStr">
        <is>
          <t>management</t>
        </is>
      </c>
      <c r="C201" s="2" t="inlineStr">
        <is>
          <t>succession</t>
        </is>
      </c>
      <c r="D201" s="3" t="inlineStr">
        <is>
          <t>Succession: plan, last change of CEO / CFO, who decides</t>
        </is>
      </c>
      <c r="E201" s="2" t="n"/>
      <c r="F201" s="2" t="n"/>
      <c r="G201" s="2" t="n"/>
      <c r="H201" s="3" t="inlineStr">
        <is>
          <t>Managing Directors are appointed by the General Meeting for an indefinite period; Supervisory Board members for four years with one four-year extension; last Management Board change: Mr Korthals Altes resigned 9 March 2022; non-founders joined the Board in 2017 and 2019.</t>
        </is>
      </c>
      <c r="I201" s="2" t="inlineStr">
        <is>
          <t>S1</t>
        </is>
      </c>
      <c r="J201" s="2" t="n">
        <v>61</v>
      </c>
      <c r="K201" s="3" t="inlineStr">
        <is>
          <t>The Managing Directors are appointed by the General Meeting for an indefinite period of time, since Fastned believes that a short-term appointment is contrary to the duty of long-term value creation.</t>
        </is>
      </c>
      <c r="L201" s="2" t="inlineStr">
        <is>
          <t>pend</t>
        </is>
      </c>
      <c r="M201" s="2" t="n"/>
      <c r="N201" s="2" t="n"/>
      <c r="O201" s="3" t="inlineStr">
        <is>
          <t>https://vanillabonds.com/dossier-data/pdf/fastned/fastned-2023-annual-report.pdf#page=61</t>
        </is>
      </c>
    </row>
    <row r="202">
      <c r="A202" s="2" t="inlineStr">
        <is>
          <t>F201</t>
        </is>
      </c>
      <c r="B202" s="2" t="inlineStr">
        <is>
          <t>management</t>
        </is>
      </c>
      <c r="C202" s="2" t="inlineStr">
        <is>
          <t>governance</t>
        </is>
      </c>
      <c r="D202" s="3" t="inlineStr">
        <is>
          <t>Board, independent members, group structure, related-party flows, dividends</t>
        </is>
      </c>
      <c r="E202" s="2" t="n"/>
      <c r="F202" s="2" t="n"/>
      <c r="G202" s="2" t="n"/>
      <c r="H202" s="3" t="inlineStr">
        <is>
          <t>Two-tier board: Management Board of two (CEO, CFO) and Supervisory Board of four; Audit Committee and Remuneration and Nomination Committee each consist of all four Supervisory Board members.</t>
        </is>
      </c>
      <c r="I202" s="2" t="inlineStr">
        <is>
          <t>S1</t>
        </is>
      </c>
      <c r="J202" s="2" t="n">
        <v>62</v>
      </c>
      <c r="K202" s="3" t="inlineStr">
        <is>
          <t>The Supervisory Board has two committees: the Audit Committee and the Remuneration Committee. Currently, each of these committees is composed of all members of the Supervisory Board.</t>
        </is>
      </c>
      <c r="L202" s="2" t="inlineStr">
        <is>
          <t>pend</t>
        </is>
      </c>
      <c r="M202" s="2" t="n"/>
      <c r="N202" s="2" t="n"/>
      <c r="O202" s="3" t="inlineStr">
        <is>
          <t>https://vanillabonds.com/dossier-data/pdf/fastned/fastned-2023-annual-report.pdf#page=62</t>
        </is>
      </c>
    </row>
    <row r="203">
      <c r="A203" s="2" t="inlineStr">
        <is>
          <t>F202</t>
        </is>
      </c>
      <c r="B203" s="2" t="inlineStr">
        <is>
          <t>management</t>
        </is>
      </c>
      <c r="C203" s="2" t="inlineStr">
        <is>
          <t>governance</t>
        </is>
      </c>
      <c r="D203" s="3" t="inlineStr">
        <is>
          <t>Board, independent members, group structure, related-party flows, dividends</t>
        </is>
      </c>
      <c r="E203" s="2" t="n"/>
      <c r="F203" s="2" t="n"/>
      <c r="G203" s="2" t="n"/>
      <c r="H203" s="3" t="inlineStr">
        <is>
          <t>Works Council established November 2023 with seven elected members (NL 3, UK, BE, DE, FR one each) for a two-year term under the Dutch Works Council Act.</t>
        </is>
      </c>
      <c r="I203" s="2" t="inlineStr">
        <is>
          <t>S1</t>
        </is>
      </c>
      <c r="J203" s="2" t="n">
        <v>62</v>
      </c>
      <c r="K203" s="3" t="inlineStr">
        <is>
          <t>In November 2023, Fastned’s first Works Council was established. Seven members were elected for a two-year term.</t>
        </is>
      </c>
      <c r="L203" s="2" t="inlineStr">
        <is>
          <t>pend</t>
        </is>
      </c>
      <c r="M203" s="2" t="n"/>
      <c r="N203" s="2" t="n"/>
      <c r="O203" s="3" t="inlineStr">
        <is>
          <t>https://vanillabonds.com/dossier-data/pdf/fastned/fastned-2023-annual-report.pdf#page=62</t>
        </is>
      </c>
    </row>
    <row r="204">
      <c r="A204" s="2" t="inlineStr">
        <is>
          <t>F203</t>
        </is>
      </c>
      <c r="B204" s="2" t="inlineStr">
        <is>
          <t>management</t>
        </is>
      </c>
      <c r="C204" s="2" t="inlineStr">
        <is>
          <t>governance</t>
        </is>
      </c>
      <c r="D204" s="3" t="inlineStr">
        <is>
          <t>Board, independent members, group structure, related-party flows, dividends</t>
        </is>
      </c>
      <c r="E204" s="2" t="n"/>
      <c r="F204" s="2" t="n"/>
      <c r="G204" s="2" t="n"/>
      <c r="H204" s="3" t="inlineStr">
        <is>
          <t>No conflicts of interest reported in 2023 by Management or Supervisory Board; no irregularities reported under the whistleblower policy in 2023.</t>
        </is>
      </c>
      <c r="I204" s="2" t="inlineStr">
        <is>
          <t>S1</t>
        </is>
      </c>
      <c r="J204" s="2" t="n">
        <v>63</v>
      </c>
      <c r="K204" s="3" t="inlineStr">
        <is>
          <t>No irregularities were reported in the financial year 2023.</t>
        </is>
      </c>
      <c r="L204" s="2" t="inlineStr">
        <is>
          <t>pend</t>
        </is>
      </c>
      <c r="M204" s="2" t="n"/>
      <c r="N204" s="2" t="n"/>
      <c r="O204" s="3" t="inlineStr">
        <is>
          <t>https://vanillabonds.com/dossier-data/pdf/fastned/fastned-2023-annual-report.pdf#page=63</t>
        </is>
      </c>
    </row>
    <row r="205">
      <c r="A205" s="2" t="inlineStr">
        <is>
          <t>F204</t>
        </is>
      </c>
      <c r="B205" s="2" t="inlineStr">
        <is>
          <t>management</t>
        </is>
      </c>
      <c r="C205" s="2" t="inlineStr">
        <is>
          <t>governance</t>
        </is>
      </c>
      <c r="D205" s="3" t="inlineStr">
        <is>
          <t>Board, independent members, group structure, related-party flows, dividends</t>
        </is>
      </c>
      <c r="E205" s="2" t="n"/>
      <c r="F205" s="2" t="n"/>
      <c r="G205" s="2" t="n"/>
      <c r="H205" s="3" t="inlineStr">
        <is>
          <t>Ultimate parent is Fastned Administratie Stichting (FAST), which holds all shares, exercises the voting rights independently of Fastned and issues listed DRs carrying economic rights only.</t>
        </is>
      </c>
      <c r="I205" s="2" t="inlineStr">
        <is>
          <t>S1</t>
        </is>
      </c>
      <c r="J205" s="2" t="n">
        <v>64</v>
      </c>
      <c r="K205" s="3" t="inlineStr">
        <is>
          <t>The voting rights are vested in FAST, which exercises these rights independently of Fastned.</t>
        </is>
      </c>
      <c r="L205" s="2" t="inlineStr">
        <is>
          <t>pend</t>
        </is>
      </c>
      <c r="M205" s="2" t="n"/>
      <c r="N205" s="2" t="n"/>
      <c r="O205" s="3" t="inlineStr">
        <is>
          <t>https://vanillabonds.com/dossier-data/pdf/fastned/fastned-2023-annual-report.pdf#page=64</t>
        </is>
      </c>
    </row>
    <row r="206">
      <c r="A206" s="2" t="inlineStr">
        <is>
          <t>F205</t>
        </is>
      </c>
      <c r="B206" s="2" t="inlineStr">
        <is>
          <t>management</t>
        </is>
      </c>
      <c r="C206" s="2" t="inlineStr">
        <is>
          <t>governance</t>
        </is>
      </c>
      <c r="D206" s="3" t="inlineStr">
        <is>
          <t>Board, independent members, group structure, related-party flows, dividends</t>
        </is>
      </c>
      <c r="E206" s="2" t="n"/>
      <c r="F206" s="2" t="n"/>
      <c r="G206" s="2" t="n"/>
      <c r="H206" s="3" t="inlineStr">
        <is>
          <t>Schroders Capital: agreement with a lock-up on DRs until 31 December 2024; no other transfer restrictions, special controlling rights or change-of-control agreements.</t>
        </is>
      </c>
      <c r="I206" s="2" t="inlineStr">
        <is>
          <t>S1</t>
        </is>
      </c>
      <c r="J206" s="2" t="n">
        <v>64</v>
      </c>
      <c r="K206" s="3" t="inlineStr">
        <is>
          <t>The agreement with Schroders include a lock-up period until 31 December 2024.</t>
        </is>
      </c>
      <c r="L206" s="2" t="inlineStr">
        <is>
          <t>pend</t>
        </is>
      </c>
      <c r="M206" s="2" t="n"/>
      <c r="N206" s="2" t="n"/>
      <c r="O206" s="3" t="inlineStr">
        <is>
          <t>https://vanillabonds.com/dossier-data/pdf/fastned/fastned-2023-annual-report.pdf#page=64</t>
        </is>
      </c>
    </row>
    <row r="207">
      <c r="A207" s="2" t="inlineStr">
        <is>
          <t>F206</t>
        </is>
      </c>
      <c r="B207" s="2" t="inlineStr">
        <is>
          <t>management</t>
        </is>
      </c>
      <c r="C207" s="2" t="inlineStr">
        <is>
          <t>governance</t>
        </is>
      </c>
      <c r="D207" s="3" t="inlineStr">
        <is>
          <t>Board, independent members, group structure, related-party flows, dividends</t>
        </is>
      </c>
      <c r="E207" s="2" t="n"/>
      <c r="F207" s="2" t="n"/>
      <c r="G207" s="2" t="n"/>
      <c r="H207" s="3" t="inlineStr">
        <is>
          <t>Management Board authorised on 8 June 2023 for 18 months to issue shares up to 20% of outstanding for general purposes plus a further 20% for the Option Plan, subject to Supervisory Board approval.</t>
        </is>
      </c>
      <c r="I207" s="2" t="inlineStr">
        <is>
          <t>S1</t>
        </is>
      </c>
      <c r="J207" s="2" t="n">
        <v>64</v>
      </c>
      <c r="K207" s="3" t="inlineStr">
        <is>
          <t>up to a maximum of 20% of the Shares issued and outstanding on 8 June 2023 for general purposes</t>
        </is>
      </c>
      <c r="L207" s="2" t="inlineStr">
        <is>
          <t>pend</t>
        </is>
      </c>
      <c r="M207" s="2" t="n"/>
      <c r="N207" s="2" t="n"/>
      <c r="O207" s="3" t="inlineStr">
        <is>
          <t>https://vanillabonds.com/dossier-data/pdf/fastned/fastned-2023-annual-report.pdf#page=64</t>
        </is>
      </c>
    </row>
    <row r="208">
      <c r="A208" s="2" t="inlineStr">
        <is>
          <t>F207</t>
        </is>
      </c>
      <c r="B208" s="2" t="inlineStr">
        <is>
          <t>management</t>
        </is>
      </c>
      <c r="C208" s="2" t="inlineStr">
        <is>
          <t>governance</t>
        </is>
      </c>
      <c r="D208" s="3" t="inlineStr">
        <is>
          <t>Board, independent members, group structure, related-party flows, dividends</t>
        </is>
      </c>
      <c r="E208" s="2" t="n"/>
      <c r="F208" s="2" t="n"/>
      <c r="G208" s="2" t="n"/>
      <c r="H208" s="3" t="inlineStr">
        <is>
          <t>Deviation from Dutch Corporate Governance Code 2.1.7: only two of four Supervisory Board members are independent; Bart Lubbers and Jérôme Janssen (while Schroders holds 10% or more of the DRs) are not independent.</t>
        </is>
      </c>
      <c r="I208" s="2" t="inlineStr">
        <is>
          <t>S1</t>
        </is>
      </c>
      <c r="J208" s="2" t="n">
        <v>65</v>
      </c>
      <c r="K208" s="3" t="inlineStr">
        <is>
          <t>the Supervisory Board consists of four Supervisory Directors and both Bart Lubbers (as further described below) and, for as long as Schroders holds 10% or more of the DRs, Jérôme Janssen are not</t>
        </is>
      </c>
      <c r="L208" s="2" t="inlineStr">
        <is>
          <t>pend</t>
        </is>
      </c>
      <c r="M208" s="2" t="n"/>
      <c r="N208" s="2" t="n"/>
      <c r="O208" s="3" t="inlineStr">
        <is>
          <t>https://vanillabonds.com/dossier-data/pdf/fastned/fastned-2023-annual-report.pdf#page=65</t>
        </is>
      </c>
    </row>
    <row r="209">
      <c r="A209" s="2" t="inlineStr">
        <is>
          <t>F208</t>
        </is>
      </c>
      <c r="B209" s="2" t="inlineStr">
        <is>
          <t>management</t>
        </is>
      </c>
      <c r="C209" s="2" t="inlineStr">
        <is>
          <t>governance</t>
        </is>
      </c>
      <c r="D209" s="3" t="inlineStr">
        <is>
          <t>Board, independent members, group structure, related-party flows, dividends</t>
        </is>
      </c>
      <c r="E209" s="2" t="n"/>
      <c r="F209" s="2" t="n"/>
      <c r="G209" s="2" t="n"/>
      <c r="H209" s="3" t="inlineStr">
        <is>
          <t>DR holders with at least 1% of issued capital may add agenda items; FAST holds a DR-holder meeting before each General Meeting; FAST Board remuneration set by the DR holders' meeting.</t>
        </is>
      </c>
      <c r="I209" s="2" t="inlineStr">
        <is>
          <t>S1</t>
        </is>
      </c>
      <c r="J209" s="2" t="n">
        <v>65</v>
      </c>
      <c r="K209" s="3" t="inlineStr">
        <is>
          <t>Shareholders or DR holders with at least 1% of the Company’s issued and outstanding share capital may request that an item is added to the agenda.</t>
        </is>
      </c>
      <c r="L209" s="2" t="inlineStr">
        <is>
          <t>pend</t>
        </is>
      </c>
      <c r="M209" s="2" t="n"/>
      <c r="N209" s="2" t="n"/>
      <c r="O209" s="3" t="inlineStr">
        <is>
          <t>https://vanillabonds.com/dossier-data/pdf/fastned/fastned-2023-annual-report.pdf#page=65</t>
        </is>
      </c>
    </row>
    <row r="210">
      <c r="A210" s="2" t="inlineStr">
        <is>
          <t>F209</t>
        </is>
      </c>
      <c r="B210" s="2" t="inlineStr">
        <is>
          <t>management</t>
        </is>
      </c>
      <c r="C210" s="2" t="inlineStr">
        <is>
          <t>governance</t>
        </is>
      </c>
      <c r="D210" s="3" t="inlineStr">
        <is>
          <t>Board, independent members, group structure, related-party flows, dividends</t>
        </is>
      </c>
      <c r="E210" s="2" t="n"/>
      <c r="F210" s="2" t="n"/>
      <c r="G210" s="2" t="n"/>
      <c r="H210" s="3" t="inlineStr">
        <is>
          <t>Other Code deviations: 2.2.1 (Managing Directors appointed for an indefinite period), 4.5.2 (FAST board appointed by DR holders), 4.5.8 (no voting proxies to DR holders), 1.3 (internal audit function being built).</t>
        </is>
      </c>
      <c r="I210" s="2" t="inlineStr">
        <is>
          <t>S1</t>
        </is>
      </c>
      <c r="J210" s="2" t="n">
        <v>66</v>
      </c>
      <c r="K210" s="3" t="inlineStr">
        <is>
          <t>Fastned does not comply with the best practice provision 2.2.1, stating that a Management Board member is appointed for a maximum period of four years</t>
        </is>
      </c>
      <c r="L210" s="2" t="inlineStr">
        <is>
          <t>pend</t>
        </is>
      </c>
      <c r="M210" s="2" t="n"/>
      <c r="N210" s="2" t="n"/>
      <c r="O210" s="3" t="inlineStr">
        <is>
          <t>https://vanillabonds.com/dossier-data/pdf/fastned/fastned-2023-annual-report.pdf#page=66</t>
        </is>
      </c>
    </row>
    <row r="211">
      <c r="A211" s="2" t="inlineStr">
        <is>
          <t>F210</t>
        </is>
      </c>
      <c r="B211" s="2" t="inlineStr">
        <is>
          <t>management</t>
        </is>
      </c>
      <c r="C211" s="2" t="inlineStr">
        <is>
          <t>governance</t>
        </is>
      </c>
      <c r="D211" s="3" t="inlineStr">
        <is>
          <t>Board, independent members, group structure, related-party flows, dividends</t>
        </is>
      </c>
      <c r="E211" s="2" t="n"/>
      <c r="F211" s="2" t="n"/>
      <c r="G211" s="2" t="n"/>
      <c r="H211" s="3" t="inlineStr">
        <is>
          <t>No personal loans, advances or guarantees to Management or Supervisory Board members; no severance arrangements; Management Board employment contracts indefinite with one-month notice.</t>
        </is>
      </c>
      <c r="I211" s="2" t="inlineStr">
        <is>
          <t>S1</t>
        </is>
      </c>
      <c r="J211" s="2" t="n">
        <v>68</v>
      </c>
      <c r="K211" s="3" t="inlineStr">
        <is>
          <t>Fastned does not provide any personal loans, advances or guarantees to Management Board members. There are no contractual severance arrangements in place</t>
        </is>
      </c>
      <c r="L211" s="2" t="inlineStr">
        <is>
          <t>pend</t>
        </is>
      </c>
      <c r="M211" s="2" t="n"/>
      <c r="N211" s="2" t="n"/>
      <c r="O211" s="3" t="inlineStr">
        <is>
          <t>https://vanillabonds.com/dossier-data/pdf/fastned/fastned-2023-annual-report.pdf#page=68</t>
        </is>
      </c>
    </row>
    <row r="212">
      <c r="A212" s="2" t="inlineStr">
        <is>
          <t>F211</t>
        </is>
      </c>
      <c r="B212" s="2" t="inlineStr">
        <is>
          <t>management</t>
        </is>
      </c>
      <c r="C212" s="2" t="inlineStr">
        <is>
          <t>governance</t>
        </is>
      </c>
      <c r="D212" s="3" t="inlineStr">
        <is>
          <t>Board, independent members, group structure, related-party flows, dividends</t>
        </is>
      </c>
      <c r="E212" s="2" t="n"/>
      <c r="F212" s="2" t="n"/>
      <c r="G212" s="2" t="n"/>
      <c r="H212" s="3" t="inlineStr">
        <is>
          <t>Supervisory Board held four ordinary and several extraordinary meetings in 2023 with 100% attendance; Audit Committee held four formal meetings with the external auditor, CFO and Group Controller.</t>
        </is>
      </c>
      <c r="I212" s="2" t="inlineStr">
        <is>
          <t>S1</t>
        </is>
      </c>
      <c r="J212" s="2" t="n">
        <v>77</v>
      </c>
      <c r="K212" s="3" t="inlineStr">
        <is>
          <t>The attendance rate of all Supervisory Board members in 2023 was 100%.</t>
        </is>
      </c>
      <c r="L212" s="2" t="inlineStr">
        <is>
          <t>pend</t>
        </is>
      </c>
      <c r="M212" s="2" t="n"/>
      <c r="N212" s="2" t="n"/>
      <c r="O212" s="3" t="inlineStr">
        <is>
          <t>https://vanillabonds.com/dossier-data/pdf/fastned/fastned-2023-annual-report.pdf#page=77</t>
        </is>
      </c>
    </row>
    <row r="213">
      <c r="A213" s="2" t="inlineStr">
        <is>
          <t>F212</t>
        </is>
      </c>
      <c r="B213" s="2" t="inlineStr">
        <is>
          <t>management</t>
        </is>
      </c>
      <c r="C213" s="2" t="inlineStr">
        <is>
          <t>governance</t>
        </is>
      </c>
      <c r="D213" s="3" t="inlineStr">
        <is>
          <t>Board, independent members, group structure, related-party flows, dividends</t>
        </is>
      </c>
      <c r="E213" s="2" t="n"/>
      <c r="F213" s="2" t="n"/>
      <c r="G213" s="2" t="n"/>
      <c r="H213" s="3" t="inlineStr">
        <is>
          <t>No dividends; retained earnings EUR -101.8m at end 2023; legal reserve EUR 0.7m for internally generated software is not distributable.</t>
        </is>
      </c>
      <c r="I213" s="2" t="inlineStr">
        <is>
          <t>S1</t>
        </is>
      </c>
      <c r="J213" s="2" t="n">
        <v>109</v>
      </c>
      <c r="K213" s="3" t="inlineStr">
        <is>
          <t>Legal reserves are not available for distribution to the Group’s shareholders.</t>
        </is>
      </c>
      <c r="L213" s="2" t="inlineStr">
        <is>
          <t>pend</t>
        </is>
      </c>
      <c r="M213" s="2" t="n"/>
      <c r="N213" s="2" t="n"/>
      <c r="O213" s="3" t="inlineStr">
        <is>
          <t>https://vanillabonds.com/dossier-data/pdf/fastned/fastned-2023-annual-report.pdf#page=109</t>
        </is>
      </c>
    </row>
    <row r="214">
      <c r="A214" s="2" t="inlineStr">
        <is>
          <t>F213</t>
        </is>
      </c>
      <c r="B214" s="2" t="inlineStr">
        <is>
          <t>management</t>
        </is>
      </c>
      <c r="C214" s="2" t="inlineStr">
        <is>
          <t>governance</t>
        </is>
      </c>
      <c r="D214" s="3" t="inlineStr">
        <is>
          <t>Board, independent members, group structure, related-party flows, dividends</t>
        </is>
      </c>
      <c r="E214" s="2" t="n"/>
      <c r="F214" s="2" t="n"/>
      <c r="G214" s="2" t="n"/>
      <c r="H214" s="3" t="inlineStr">
        <is>
          <t>Shares in Fastned B.V. are held by FAST; DR holders have no voting rights but may attend and speak at General Meetings and appoint FAST board members on nomination by the FAST board.</t>
        </is>
      </c>
      <c r="I214" s="2" t="inlineStr">
        <is>
          <t>S1</t>
        </is>
      </c>
      <c r="J214" s="2" t="n">
        <v>144</v>
      </c>
      <c r="K214" s="3" t="inlineStr">
        <is>
          <t>The shares do carry voting rights. Holders of the DR's do not have voting rights and have the right to attend the General Meetings to speak at such meetings.</t>
        </is>
      </c>
      <c r="L214" s="2" t="inlineStr">
        <is>
          <t>pend</t>
        </is>
      </c>
      <c r="M214" s="2" t="n"/>
      <c r="N214" s="2" t="n"/>
      <c r="O214" s="3" t="inlineStr">
        <is>
          <t>https://vanillabonds.com/dossier-data/pdf/fastned/fastned-2023-annual-report.pdf#page=144</t>
        </is>
      </c>
    </row>
    <row r="215">
      <c r="A215" s="2" t="inlineStr">
        <is>
          <t>F214</t>
        </is>
      </c>
      <c r="B215" s="2" t="inlineStr">
        <is>
          <t>management</t>
        </is>
      </c>
      <c r="C215" s="2" t="inlineStr">
        <is>
          <t>governance</t>
        </is>
      </c>
      <c r="D215" s="3" t="inlineStr">
        <is>
          <t>Board, independent members, group structure, related-party flows, dividends</t>
        </is>
      </c>
      <c r="E215" s="2" t="n"/>
      <c r="F215" s="2" t="n"/>
      <c r="G215" s="2" t="n"/>
      <c r="H215" s="3" t="inlineStr">
        <is>
          <t>Issued and fully paid shares 19,152,877 of EUR 0.01 at 31 Dec 2023 (incl. 135,100 treasury shares); 19,279,506 shares per the movement table after 89,414 issued in 2023; share premium EUR 247,172k.</t>
        </is>
      </c>
      <c r="I215" s="2" t="inlineStr">
        <is>
          <t>S1</t>
        </is>
      </c>
      <c r="J215" s="2" t="n">
        <v>144</v>
      </c>
      <c r="K215" s="2" t="inlineStr">
        <is>
          <t>At 31 December 2023 19,279,506 193</t>
        </is>
      </c>
      <c r="L215" s="2" t="inlineStr">
        <is>
          <t>pend</t>
        </is>
      </c>
      <c r="M215" s="2" t="n"/>
      <c r="N215" s="2" t="n"/>
      <c r="O215" s="3" t="inlineStr">
        <is>
          <t>https://vanillabonds.com/dossier-data/pdf/fastned/fastned-2023-annual-report.pdf#page=144</t>
        </is>
      </c>
    </row>
    <row r="216">
      <c r="A216" s="2" t="inlineStr">
        <is>
          <t>F215</t>
        </is>
      </c>
      <c r="B216" s="2" t="inlineStr">
        <is>
          <t>management</t>
        </is>
      </c>
      <c r="C216" s="2" t="inlineStr">
        <is>
          <t>governance</t>
        </is>
      </c>
      <c r="D216" s="3" t="inlineStr">
        <is>
          <t>Board, independent members, group structure, related-party flows, dividends</t>
        </is>
      </c>
      <c r="E216" s="2" t="n"/>
      <c r="F216" s="2" t="n"/>
      <c r="G216" s="2" t="n"/>
      <c r="H216" s="3" t="inlineStr">
        <is>
          <t>Non-controlling interest relates fully to the Terra 1 acquisition; 8,456 DRs were held by Fastned B.V. for the option scheme at 31 Dec 2023.</t>
        </is>
      </c>
      <c r="I216" s="2" t="inlineStr">
        <is>
          <t>S1</t>
        </is>
      </c>
      <c r="J216" s="2" t="n">
        <v>144</v>
      </c>
      <c r="K216" s="3" t="inlineStr">
        <is>
          <t>The non controlling interest fully relates to the acquisition of Terra 1.</t>
        </is>
      </c>
      <c r="L216" s="2" t="inlineStr">
        <is>
          <t>pend</t>
        </is>
      </c>
      <c r="M216" s="2" t="n"/>
      <c r="N216" s="2" t="n"/>
      <c r="O216" s="3" t="inlineStr">
        <is>
          <t>https://vanillabonds.com/dossier-data/pdf/fastned/fastned-2023-annual-report.pdf#page=144</t>
        </is>
      </c>
    </row>
    <row r="217">
      <c r="A217" s="2" t="inlineStr">
        <is>
          <t>F216</t>
        </is>
      </c>
      <c r="B217" s="2" t="inlineStr">
        <is>
          <t>management</t>
        </is>
      </c>
      <c r="C217" s="2" t="inlineStr">
        <is>
          <t>governance</t>
        </is>
      </c>
      <c r="D217" s="3" t="inlineStr">
        <is>
          <t>Board, independent members, group structure, related-party flows, dividends</t>
        </is>
      </c>
      <c r="E217" s="2" t="n"/>
      <c r="F217" s="2" t="n"/>
      <c r="G217" s="2" t="n"/>
      <c r="H217" s="3" t="inlineStr">
        <is>
          <t>Option grants to a Managing Director are decided by the Supervisory Board, to other participants by the Management Board; exercise price never below EUR 10 per option.</t>
        </is>
      </c>
      <c r="I217" s="2" t="inlineStr">
        <is>
          <t>S1</t>
        </is>
      </c>
      <c r="J217" s="2" t="n">
        <v>148</v>
      </c>
      <c r="K217" s="3" t="inlineStr">
        <is>
          <t>The criteria for the granting of options will be determined by the Supervisory Board if it concerns a Managing Director and by the Management Board if it concerns other participants</t>
        </is>
      </c>
      <c r="L217" s="2" t="inlineStr">
        <is>
          <t>pend</t>
        </is>
      </c>
      <c r="M217" s="2" t="n"/>
      <c r="N217" s="2" t="n"/>
      <c r="O217" s="3" t="inlineStr">
        <is>
          <t>https://vanillabonds.com/dossier-data/pdf/fastned/fastned-2023-annual-report.pdf#page=148</t>
        </is>
      </c>
    </row>
    <row r="218">
      <c r="A218" s="2" t="inlineStr">
        <is>
          <t>F217</t>
        </is>
      </c>
      <c r="B218" s="2" t="inlineStr">
        <is>
          <t>management</t>
        </is>
      </c>
      <c r="C218" s="2" t="inlineStr">
        <is>
          <t>governance</t>
        </is>
      </c>
      <c r="D218" s="3" t="inlineStr">
        <is>
          <t>Board, independent members, group structure, related-party flows, dividends</t>
        </is>
      </c>
      <c r="E218" s="2" t="n"/>
      <c r="F218" s="2" t="n"/>
      <c r="G218" s="2" t="n"/>
      <c r="H218" s="3" t="inlineStr">
        <is>
          <t>Supervisory directors receive a fixed annual fee set by the General Meeting; no additional fee for Audit Committee membership; FAST Board remuneration set by the meeting of DR holders.</t>
        </is>
      </c>
      <c r="I218" s="2" t="inlineStr">
        <is>
          <t>S1</t>
        </is>
      </c>
      <c r="J218" s="2" t="n">
        <v>154</v>
      </c>
      <c r="K218" s="3" t="inlineStr">
        <is>
          <t>No additional fees are due for their membership of the Audit Committee.</t>
        </is>
      </c>
      <c r="L218" s="2" t="inlineStr">
        <is>
          <t>pend</t>
        </is>
      </c>
      <c r="M218" s="2" t="n"/>
      <c r="N218" s="2" t="n"/>
      <c r="O218" s="3" t="inlineStr">
        <is>
          <t>https://vanillabonds.com/dossier-data/pdf/fastned/fastned-2023-annual-report.pdf#page=154</t>
        </is>
      </c>
    </row>
    <row r="219">
      <c r="A219" s="2" t="inlineStr">
        <is>
          <t>F218</t>
        </is>
      </c>
      <c r="B219" s="2" t="inlineStr">
        <is>
          <t>management</t>
        </is>
      </c>
      <c r="C219" s="2" t="inlineStr">
        <is>
          <t>governance</t>
        </is>
      </c>
      <c r="D219" s="3" t="inlineStr">
        <is>
          <t>Board, independent members, group structure, related-party flows, dividends</t>
        </is>
      </c>
      <c r="E219" s="2" t="n"/>
      <c r="F219" s="2" t="n"/>
      <c r="G219" s="2" t="n"/>
      <c r="H219" s="3" t="inlineStr">
        <is>
          <t>The 2022 annual report was adopted by the General Meeting on 8 June 2023; the board proposes to deduct the 2023 loss of EUR 19,250,000 from the other reserves.</t>
        </is>
      </c>
      <c r="I219" s="2" t="inlineStr">
        <is>
          <t>S1</t>
        </is>
      </c>
      <c r="J219" s="2" t="n">
        <v>174</v>
      </c>
      <c r="K219" s="3" t="inlineStr">
        <is>
          <t>The board of directors proposes to deduct the 2023 loss of €19,250,000 from the other reserves.</t>
        </is>
      </c>
      <c r="L219" s="2" t="inlineStr">
        <is>
          <t>pend</t>
        </is>
      </c>
      <c r="M219" s="2" t="n"/>
      <c r="N219" s="2" t="n"/>
      <c r="O219" s="3" t="inlineStr">
        <is>
          <t>https://vanillabonds.com/dossier-data/pdf/fastned/fastned-2023-annual-report.pdf#page=174</t>
        </is>
      </c>
    </row>
    <row r="220">
      <c r="A220" s="2" t="inlineStr">
        <is>
          <t>F219</t>
        </is>
      </c>
      <c r="B220" s="2" t="inlineStr">
        <is>
          <t>management</t>
        </is>
      </c>
      <c r="C220" s="2" t="inlineStr">
        <is>
          <t>governance</t>
        </is>
      </c>
      <c r="D220" s="3" t="inlineStr">
        <is>
          <t>Board, independent members, group structure, related-party flows, dividends</t>
        </is>
      </c>
      <c r="E220" s="2" t="n"/>
      <c r="F220" s="2" t="n"/>
      <c r="G220" s="2" t="n"/>
      <c r="H220" s="3" t="inlineStr">
        <is>
          <t>Articles (art. 19): dividends only to the extent equity exceeds legal and statutory reserves, after approval of the directors; interim dividends allowed.</t>
        </is>
      </c>
      <c r="I220" s="2" t="inlineStr">
        <is>
          <t>S1</t>
        </is>
      </c>
      <c r="J220" s="2" t="n">
        <v>176</v>
      </c>
      <c r="K220" s="3" t="inlineStr">
        <is>
          <t>dividend distributions to shareholders and other parties entitled to the distributable profit only to the extent that the shareholders' equity exceeds the legal and statutory reserves</t>
        </is>
      </c>
      <c r="L220" s="2" t="inlineStr">
        <is>
          <t>pend</t>
        </is>
      </c>
      <c r="M220" s="2" t="n"/>
      <c r="N220" s="2" t="n"/>
      <c r="O220" s="3" t="inlineStr">
        <is>
          <t>https://vanillabonds.com/dossier-data/pdf/fastned/fastned-2023-annual-report.pdf#page=176</t>
        </is>
      </c>
    </row>
    <row r="221">
      <c r="A221" s="2" t="inlineStr">
        <is>
          <t>F220</t>
        </is>
      </c>
      <c r="B221" s="2" t="inlineStr">
        <is>
          <t>management</t>
        </is>
      </c>
      <c r="C221" s="2" t="inlineStr">
        <is>
          <t>governance</t>
        </is>
      </c>
      <c r="D221" s="3" t="inlineStr">
        <is>
          <t>Board, independent members, group structure, related-party flows, dividends</t>
        </is>
      </c>
      <c r="E221" s="2" t="n"/>
      <c r="F221" s="2" t="n"/>
      <c r="G221" s="2" t="n"/>
      <c r="H221" s="3" t="inlineStr">
        <is>
          <t>Supervisory and FAST boards engage through quarterly update meetings, monthly Management Board calls and regular meetings with the Head of Legal and Chief of Staff; topics include funding plan/budget, risk and quarterly results.</t>
        </is>
      </c>
      <c r="I221" s="2" t="inlineStr">
        <is>
          <t>S1</t>
        </is>
      </c>
      <c r="J221" s="2" t="n">
        <v>200</v>
      </c>
      <c r="K221" s="2" t="inlineStr">
        <is>
          <t>Monthly Management Board calls</t>
        </is>
      </c>
      <c r="L221" s="2" t="inlineStr">
        <is>
          <t>pend</t>
        </is>
      </c>
      <c r="M221" s="2" t="n"/>
      <c r="N221" s="2" t="n"/>
      <c r="O221" s="3" t="inlineStr">
        <is>
          <t>https://vanillabonds.com/dossier-data/pdf/fastned/fastned-2023-annual-report.pdf#page=200</t>
        </is>
      </c>
    </row>
    <row r="222">
      <c r="A222" s="2" t="inlineStr">
        <is>
          <t>F221</t>
        </is>
      </c>
      <c r="B222" s="2" t="inlineStr">
        <is>
          <t>management</t>
        </is>
      </c>
      <c r="C222" s="2" t="inlineStr">
        <is>
          <t>reporting_practice</t>
        </is>
      </c>
      <c r="D222" s="3" t="inlineStr">
        <is>
          <t>Monitoring: KPI reporting, frequency, budget process, controlling</t>
        </is>
      </c>
      <c r="E222" s="2" t="n"/>
      <c r="F222" s="2" t="n"/>
      <c r="G222" s="2" t="n"/>
      <c r="H222" s="3" t="inlineStr">
        <is>
          <t>Risk management per ISO 31000:2018 with central risk and audit tooling; three-lines model; internal audit charter and annual risk-based audit plan approved by the Audit Committee in 2023; compliance charter planned 2024.</t>
        </is>
      </c>
      <c r="I222" s="2" t="inlineStr">
        <is>
          <t>S1</t>
        </is>
      </c>
      <c r="J222" s="2" t="n">
        <v>52</v>
      </c>
      <c r="K222" s="3" t="inlineStr">
        <is>
          <t>In the past year, Fastned improved the internal risk management and control system in line with the ISO31000:2018 standard.</t>
        </is>
      </c>
      <c r="L222" s="2" t="inlineStr">
        <is>
          <t>pend</t>
        </is>
      </c>
      <c r="M222" s="2" t="n"/>
      <c r="N222" s="2" t="n"/>
      <c r="O222" s="3" t="inlineStr">
        <is>
          <t>https://vanillabonds.com/dossier-data/pdf/fastned/fastned-2023-annual-report.pdf#page=52</t>
        </is>
      </c>
    </row>
    <row r="223">
      <c r="A223" s="2" t="inlineStr">
        <is>
          <t>F222</t>
        </is>
      </c>
      <c r="B223" s="2" t="inlineStr">
        <is>
          <t>management</t>
        </is>
      </c>
      <c r="C223" s="2" t="inlineStr">
        <is>
          <t>reporting_practice</t>
        </is>
      </c>
      <c r="D223" s="3" t="inlineStr">
        <is>
          <t>Monitoring: KPI reporting, frequency, budget process, controlling</t>
        </is>
      </c>
      <c r="E223" s="2" t="n"/>
      <c r="F223" s="2" t="n"/>
      <c r="G223" s="2" t="n"/>
      <c r="H223" s="3" t="inlineStr">
        <is>
          <t>Supervisory Board regularly discusses strategy, budget, liquidity, funding, HR, diversity, remuneration and ESG; financial result, cash flow, capex and funding reviewed at meetings.</t>
        </is>
      </c>
      <c r="I223" s="2" t="inlineStr">
        <is>
          <t>S1</t>
        </is>
      </c>
      <c r="J223" s="2" t="n">
        <v>62</v>
      </c>
      <c r="K223" s="3" t="inlineStr">
        <is>
          <t>regularly discusses topics such as the strategy, budget, liquidity, funding, HR organisation, diversity and inclusion, remuneration and ESG-related topics.</t>
        </is>
      </c>
      <c r="L223" s="2" t="inlineStr">
        <is>
          <t>pend</t>
        </is>
      </c>
      <c r="M223" s="2" t="n"/>
      <c r="N223" s="2" t="n"/>
      <c r="O223" s="3" t="inlineStr">
        <is>
          <t>https://vanillabonds.com/dossier-data/pdf/fastned/fastned-2023-annual-report.pdf#page=62</t>
        </is>
      </c>
    </row>
    <row r="224">
      <c r="A224" s="2" t="inlineStr">
        <is>
          <t>F223</t>
        </is>
      </c>
      <c r="B224" s="2" t="inlineStr">
        <is>
          <t>management</t>
        </is>
      </c>
      <c r="C224" s="2" t="inlineStr">
        <is>
          <t>reporting_practice</t>
        </is>
      </c>
      <c r="D224" s="3" t="inlineStr">
        <is>
          <t>Monitoring: KPI reporting, frequency, budget process, controlling</t>
        </is>
      </c>
      <c r="E224" s="2" t="n"/>
      <c r="F224" s="2" t="n"/>
      <c r="G224" s="2" t="n"/>
      <c r="H224" s="3" t="inlineStr">
        <is>
          <t>Audit Committee reviewed quarterly financial results in 2023, the audit approach and Key Audit Matters, non-audit services and the auditor's interim findings; approved audit engagement letters and fees.</t>
        </is>
      </c>
      <c r="I224" s="2" t="inlineStr">
        <is>
          <t>S1</t>
        </is>
      </c>
      <c r="J224" s="2" t="n">
        <v>77</v>
      </c>
      <c r="K224" s="3" t="inlineStr">
        <is>
          <t>In 2023, the audit committee reviewed quarterly financial results, discussed with both management and the external auditor the audit approach and methodology applied</t>
        </is>
      </c>
      <c r="L224" s="2" t="inlineStr">
        <is>
          <t>pend</t>
        </is>
      </c>
      <c r="M224" s="2" t="n"/>
      <c r="N224" s="2" t="n"/>
      <c r="O224" s="3" t="inlineStr">
        <is>
          <t>https://vanillabonds.com/dossier-data/pdf/fastned/fastned-2023-annual-report.pdf#page=77</t>
        </is>
      </c>
    </row>
    <row r="225">
      <c r="A225" s="2" t="inlineStr">
        <is>
          <t>F224</t>
        </is>
      </c>
      <c r="B225" s="2" t="inlineStr">
        <is>
          <t>management</t>
        </is>
      </c>
      <c r="C225" s="2" t="inlineStr">
        <is>
          <t>reporting_practice</t>
        </is>
      </c>
      <c r="D225" s="3" t="inlineStr">
        <is>
          <t>Monitoring: KPI reporting, frequency, budget process, controlling</t>
        </is>
      </c>
      <c r="E225" s="2" t="n"/>
      <c r="F225" s="2" t="n"/>
      <c r="G225" s="2" t="n"/>
      <c r="H225" s="3" t="inlineStr">
        <is>
          <t>In-control statement (CEO, CFO): going-concern basis grounded on current cash position, OpEx and CapEx budget and revenue projections; management report covers the 12 months after issue.</t>
        </is>
      </c>
      <c r="I225" s="2" t="inlineStr">
        <is>
          <t>S1</t>
        </is>
      </c>
      <c r="J225" s="2" t="n">
        <v>86</v>
      </c>
      <c r="K225" s="3" t="inlineStr">
        <is>
          <t>In the current situation, based on the current cash position, the OpEx and CapEx budget and the revenue projections, it is appropriate for the financial report to be prepared on a going concern basis</t>
        </is>
      </c>
      <c r="L225" s="2" t="inlineStr">
        <is>
          <t>pend</t>
        </is>
      </c>
      <c r="M225" s="2" t="n"/>
      <c r="N225" s="2" t="n"/>
      <c r="O225" s="3" t="inlineStr">
        <is>
          <t>https://vanillabonds.com/dossier-data/pdf/fastned/fastned-2023-annual-report.pdf#page=86</t>
        </is>
      </c>
    </row>
    <row r="226">
      <c r="A226" s="2" t="inlineStr">
        <is>
          <t>F225</t>
        </is>
      </c>
      <c r="B226" s="2" t="inlineStr">
        <is>
          <t>management</t>
        </is>
      </c>
      <c r="C226" s="2" t="inlineStr">
        <is>
          <t>reporting_practice</t>
        </is>
      </c>
      <c r="D226" s="3" t="inlineStr">
        <is>
          <t>Monitoring: KPI reporting, frequency, budget process, controlling</t>
        </is>
      </c>
      <c r="E226" s="2" t="n"/>
      <c r="F226" s="2" t="n"/>
      <c r="G226" s="2" t="n"/>
      <c r="H226" s="3" t="inlineStr">
        <is>
          <t>Non-IFRS measures (operational EBITDA, underlying company EBITDA, exceptional items) are management measures, not audited or reviewed; definitions on page 88.</t>
        </is>
      </c>
      <c r="I226" s="2" t="inlineStr">
        <is>
          <t>S1</t>
        </is>
      </c>
      <c r="J226" s="2" t="n">
        <v>87</v>
      </c>
      <c r="K226" s="3" t="inlineStr">
        <is>
          <t>The non-IFRS financial measures presented are measures used by management to monitor the underlying performance of the business and operations and have therefore not been audited or reviewed.</t>
        </is>
      </c>
      <c r="L226" s="2" t="inlineStr">
        <is>
          <t>pend</t>
        </is>
      </c>
      <c r="M226" s="2" t="n"/>
      <c r="N226" s="2" t="n"/>
      <c r="O226" s="3" t="inlineStr">
        <is>
          <t>https://vanillabonds.com/dossier-data/pdf/fastned/fastned-2023-annual-report.pdf#page=87</t>
        </is>
      </c>
    </row>
    <row r="227">
      <c r="A227" s="2" t="inlineStr">
        <is>
          <t>F226</t>
        </is>
      </c>
      <c r="B227" s="2" t="inlineStr">
        <is>
          <t>management</t>
        </is>
      </c>
      <c r="C227" s="2" t="inlineStr">
        <is>
          <t>reporting_practice</t>
        </is>
      </c>
      <c r="D227" s="3" t="inlineStr">
        <is>
          <t>Monitoring: KPI reporting, frequency, budget process, controlling</t>
        </is>
      </c>
      <c r="E227" s="2" t="n"/>
      <c r="F227" s="2" t="n"/>
      <c r="G227" s="2" t="n"/>
      <c r="H227" s="3" t="inlineStr">
        <is>
          <t>Management monitors cash and liquidity forecasts continuously against a minimum desired cash level; forecast uses revenue projections from BEV analyst forecasts and detailed capex and opex budgets.</t>
        </is>
      </c>
      <c r="I227" s="2" t="inlineStr">
        <is>
          <t>S1</t>
        </is>
      </c>
      <c r="J227" s="2" t="n">
        <v>97</v>
      </c>
      <c r="K227" s="3" t="inlineStr">
        <is>
          <t>Management monitors cash and liquidity forecasts on a continuous basis, whereby a minimum desired cash level is to be maintained throughout the forecast period.</t>
        </is>
      </c>
      <c r="L227" s="2" t="inlineStr">
        <is>
          <t>pend</t>
        </is>
      </c>
      <c r="M227" s="2" t="n"/>
      <c r="N227" s="2" t="n"/>
      <c r="O227" s="3" t="inlineStr">
        <is>
          <t>https://vanillabonds.com/dossier-data/pdf/fastned/fastned-2023-annual-report.pdf#page=97</t>
        </is>
      </c>
    </row>
    <row r="228">
      <c r="A228" s="2" t="inlineStr">
        <is>
          <t>F227</t>
        </is>
      </c>
      <c r="B228" s="2" t="inlineStr">
        <is>
          <t>management</t>
        </is>
      </c>
      <c r="C228" s="2" t="inlineStr">
        <is>
          <t>reporting_practice</t>
        </is>
      </c>
      <c r="D228" s="3" t="inlineStr">
        <is>
          <t>Monitoring: KPI reporting, frequency, budget process, controlling</t>
        </is>
      </c>
      <c r="E228" s="2" t="n"/>
      <c r="F228" s="2" t="n"/>
      <c r="G228" s="2" t="n"/>
      <c r="H228" s="3" t="inlineStr">
        <is>
          <t>The CODM is the CEO and CFO; segments are monitored geographically with EBITDA as the alternative performance measure.</t>
        </is>
      </c>
      <c r="I228" s="2" t="inlineStr">
        <is>
          <t>S1</t>
        </is>
      </c>
      <c r="J228" s="2" t="n">
        <v>119</v>
      </c>
      <c r="K228" s="3" t="inlineStr">
        <is>
          <t>The chief operating decision-maker ('CODM'), who is responsible for allocating resources and assessing the performance of the operating segments, has been identified as the Company’s CEO and CFO.</t>
        </is>
      </c>
      <c r="L228" s="2" t="inlineStr">
        <is>
          <t>pend</t>
        </is>
      </c>
      <c r="M228" s="2" t="n"/>
      <c r="N228" s="2" t="n"/>
      <c r="O228" s="3" t="inlineStr">
        <is>
          <t>https://vanillabonds.com/dossier-data/pdf/fastned/fastned-2023-annual-report.pdf#page=119</t>
        </is>
      </c>
    </row>
    <row r="229">
      <c r="A229" s="2" t="inlineStr">
        <is>
          <t>F228</t>
        </is>
      </c>
      <c r="B229" s="2" t="inlineStr">
        <is>
          <t>management</t>
        </is>
      </c>
      <c r="C229" s="2" t="inlineStr">
        <is>
          <t>reporting_practice</t>
        </is>
      </c>
      <c r="D229" s="3" t="inlineStr">
        <is>
          <t>Monitoring: KPI reporting, frequency, budget process, controlling</t>
        </is>
      </c>
      <c r="E229" s="2" t="n"/>
      <c r="F229" s="2" t="n"/>
      <c r="G229" s="2" t="n"/>
      <c r="H229" s="3" t="inlineStr">
        <is>
          <t>Capex budget allocation and performance monitoring are determined at country level; a five-year budget underlies the DCF value-in-use model.</t>
        </is>
      </c>
      <c r="I229" s="2" t="inlineStr">
        <is>
          <t>S1</t>
        </is>
      </c>
      <c r="J229" s="2" t="n">
        <v>131</v>
      </c>
      <c r="K229" s="3" t="inlineStr">
        <is>
          <t>Management performance monitoring and allocation of available capex budget is determined on a country level.</t>
        </is>
      </c>
      <c r="L229" s="2" t="inlineStr">
        <is>
          <t>pend</t>
        </is>
      </c>
      <c r="M229" s="2" t="n"/>
      <c r="N229" s="2" t="n"/>
      <c r="O229" s="3" t="inlineStr">
        <is>
          <t>https://vanillabonds.com/dossier-data/pdf/fastned/fastned-2023-annual-report.pdf#page=131</t>
        </is>
      </c>
    </row>
    <row r="230">
      <c r="A230" s="2" t="inlineStr">
        <is>
          <t>F229</t>
        </is>
      </c>
      <c r="B230" s="2" t="inlineStr">
        <is>
          <t>management</t>
        </is>
      </c>
      <c r="C230" s="2" t="inlineStr">
        <is>
          <t>reporting_practice</t>
        </is>
      </c>
      <c r="D230" s="3" t="inlineStr">
        <is>
          <t>Monitoring: KPI reporting, frequency, budget process, controlling</t>
        </is>
      </c>
      <c r="E230" s="2" t="n"/>
      <c r="F230" s="2" t="n"/>
      <c r="G230" s="2" t="n"/>
      <c r="H230" s="3" t="inlineStr">
        <is>
          <t>Liquidity is monitored with a liquidity planning tool; the going concern assessment covers an 18-month liquidity forecast.</t>
        </is>
      </c>
      <c r="I230" s="2" t="inlineStr">
        <is>
          <t>S1</t>
        </is>
      </c>
      <c r="J230" s="2" t="n">
        <v>141</v>
      </c>
      <c r="K230" s="3" t="inlineStr">
        <is>
          <t>The Group monitors its risk of a shortage of funds using a liquidity planning tool.</t>
        </is>
      </c>
      <c r="L230" s="2" t="inlineStr">
        <is>
          <t>pend</t>
        </is>
      </c>
      <c r="M230" s="2" t="n"/>
      <c r="N230" s="2" t="n"/>
      <c r="O230" s="3" t="inlineStr">
        <is>
          <t>https://vanillabonds.com/dossier-data/pdf/fastned/fastned-2023-annual-report.pdf#page=141</t>
        </is>
      </c>
    </row>
    <row r="231">
      <c r="A231" s="2" t="inlineStr">
        <is>
          <t>F230</t>
        </is>
      </c>
      <c r="B231" s="2" t="inlineStr">
        <is>
          <t>management</t>
        </is>
      </c>
      <c r="C231" s="2" t="inlineStr">
        <is>
          <t>reporting_practice</t>
        </is>
      </c>
      <c r="D231" s="3" t="inlineStr">
        <is>
          <t>Monitoring: KPI reporting, frequency, budget process, controlling</t>
        </is>
      </c>
      <c r="E231" s="2" t="n"/>
      <c r="F231" s="2" t="n"/>
      <c r="G231" s="2" t="n"/>
      <c r="H231" s="3" t="inlineStr">
        <is>
          <t>Publicly available quarterly performance updates to institutional and retail investors; auditor discussed progress with the Audit Committee quarterly; internal audit department being set up in 2023.</t>
        </is>
      </c>
      <c r="I231" s="2" t="inlineStr">
        <is>
          <t>S1</t>
        </is>
      </c>
      <c r="J231" s="2" t="n">
        <v>186</v>
      </c>
      <c r="K231" s="3" t="inlineStr">
        <is>
          <t>In 2023 Fastned also took various steps to set up an internal audit department.</t>
        </is>
      </c>
      <c r="L231" s="2" t="inlineStr">
        <is>
          <t>pend</t>
        </is>
      </c>
      <c r="M231" s="2" t="n"/>
      <c r="N231" s="2" t="n"/>
      <c r="O231" s="3" t="inlineStr">
        <is>
          <t>https://vanillabonds.com/dossier-data/pdf/fastned/fastned-2023-annual-report.pdf#page=186</t>
        </is>
      </c>
    </row>
    <row r="232">
      <c r="A232" s="2" t="inlineStr">
        <is>
          <t>F231</t>
        </is>
      </c>
      <c r="B232" s="2" t="inlineStr">
        <is>
          <t>management</t>
        </is>
      </c>
      <c r="C232" s="2" t="inlineStr">
        <is>
          <t>reporting_practice</t>
        </is>
      </c>
      <c r="D232" s="3" t="inlineStr">
        <is>
          <t>Monitoring: KPI reporting, frequency, budget process, controlling</t>
        </is>
      </c>
      <c r="E232" s="2" t="n"/>
      <c r="F232" s="2" t="n"/>
      <c r="G232" s="2" t="n"/>
      <c r="H232" s="3" t="inlineStr">
        <is>
          <t>The CFO oversees the Reporting team with a full-time sustainability manager and meets the sustainability manager bi-weekly; sustainability risks are part of regular risk assessments and third-party risk assessment of new vendors.</t>
        </is>
      </c>
      <c r="I232" s="2" t="inlineStr">
        <is>
          <t>S1</t>
        </is>
      </c>
      <c r="J232" s="2" t="n">
        <v>193</v>
      </c>
      <c r="K232" s="3" t="inlineStr">
        <is>
          <t>The CFO meets with the Sustainability Manager on a bi-weekly basis to discuss a wide variety of sustainability topics</t>
        </is>
      </c>
      <c r="L232" s="2" t="inlineStr">
        <is>
          <t>pend</t>
        </is>
      </c>
      <c r="M232" s="2" t="n"/>
      <c r="N232" s="2" t="n"/>
      <c r="O232" s="3" t="inlineStr">
        <is>
          <t>https://vanillabonds.com/dossier-data/pdf/fastned/fastned-2023-annual-report.pdf#page=193</t>
        </is>
      </c>
    </row>
    <row r="233">
      <c r="A233" s="2" t="inlineStr">
        <is>
          <t>F232</t>
        </is>
      </c>
      <c r="B233" s="2" t="inlineStr">
        <is>
          <t>market</t>
        </is>
      </c>
      <c r="C233" s="2" t="inlineStr">
        <is>
          <t>market_fact</t>
        </is>
      </c>
      <c r="D233" s="3" t="inlineStr">
        <is>
          <t>Market: size, growth, share, competitor capacity, regulation (source named)</t>
        </is>
      </c>
      <c r="E233" s="2" t="n"/>
      <c r="F233" s="2" t="n"/>
      <c r="G233" s="2" t="n"/>
      <c r="H233" s="3" t="inlineStr">
        <is>
          <t>company statement: Fastned is one of the top three fast charging companies in Western Europe by sales and by charging sessions, with four times fewer sites than some competitors; its stations have four to five times more daily visitors than other significant players.</t>
        </is>
      </c>
      <c r="I233" s="2" t="inlineStr">
        <is>
          <t>S1</t>
        </is>
      </c>
      <c r="J233" s="2" t="n">
        <v>14</v>
      </c>
      <c r="K233" s="3" t="inlineStr">
        <is>
          <t>Fastned is one of the top three fast charging companies in Western Europe in terms of sales, despite having four-times fewer sites than some of our competitors.</t>
        </is>
      </c>
      <c r="L233" s="2" t="inlineStr">
        <is>
          <t>pend</t>
        </is>
      </c>
      <c r="M233" s="2" t="n"/>
      <c r="N233" s="2" t="n"/>
      <c r="O233" s="3" t="inlineStr">
        <is>
          <t>https://vanillabonds.com/dossier-data/pdf/fastned/fastned-2023-annual-report.pdf#page=14</t>
        </is>
      </c>
    </row>
    <row r="234">
      <c r="A234" s="2" t="inlineStr">
        <is>
          <t>F233</t>
        </is>
      </c>
      <c r="B234" s="2" t="inlineStr">
        <is>
          <t>market</t>
        </is>
      </c>
      <c r="C234" s="2" t="inlineStr">
        <is>
          <t>market_fact</t>
        </is>
      </c>
      <c r="D234" s="3" t="inlineStr">
        <is>
          <t>Market: size, growth, share, competitor capacity, regulation (source named)</t>
        </is>
      </c>
      <c r="E234" s="2" t="n"/>
      <c r="F234" s="2" t="n"/>
      <c r="G234" s="2" t="n"/>
      <c r="H234" s="3" t="inlineStr">
        <is>
          <t>cites ACEA: over 1.5 million new BEVs sold in Europe in 2023, +37% vs 2022, 14.6% of new registrations; Q4 2023 weak after a strong year-end 2022 and a slowdown in Germany.</t>
        </is>
      </c>
      <c r="I234" s="2" t="inlineStr">
        <is>
          <t>S1</t>
        </is>
      </c>
      <c r="J234" s="2" t="n">
        <v>27</v>
      </c>
      <c r="K234" s="3" t="inlineStr">
        <is>
          <t>In 2023, 37% more new BEVs1 were sold compared to 2022 in Europe, representing over 1.5 million cars and 14.6% of all new registrations.</t>
        </is>
      </c>
      <c r="L234" s="2" t="inlineStr">
        <is>
          <t>pend</t>
        </is>
      </c>
      <c r="M234" s="2" t="n"/>
      <c r="N234" s="2" t="n"/>
      <c r="O234" s="3" t="inlineStr">
        <is>
          <t>https://vanillabonds.com/dossier-data/pdf/fastned/fastned-2023-annual-report.pdf#page=27</t>
        </is>
      </c>
    </row>
    <row r="235">
      <c r="A235" s="2" t="inlineStr">
        <is>
          <t>F234</t>
        </is>
      </c>
      <c r="B235" s="2" t="inlineStr">
        <is>
          <t>market</t>
        </is>
      </c>
      <c r="C235" s="2" t="inlineStr">
        <is>
          <t>market_fact</t>
        </is>
      </c>
      <c r="D235" s="3" t="inlineStr">
        <is>
          <t>Market: size, growth, share, competitor capacity, regulation (source named)</t>
        </is>
      </c>
      <c r="E235" s="2" t="n"/>
      <c r="F235" s="2" t="n"/>
      <c r="G235" s="2" t="n"/>
      <c r="H235" s="3" t="inlineStr">
        <is>
          <t>cites BNEF Electric Vehicle Outlook 2023: 40 million BEVs in Europe by 2030, of which 11 million corporate fleet, a market of 100 billion kWh per year; company expects EV fleet penetration (3.9%) to more than double by 2026 and grow five-fold by 2030.</t>
        </is>
      </c>
      <c r="I235" s="2" t="inlineStr">
        <is>
          <t>S1</t>
        </is>
      </c>
      <c r="J235" s="2" t="n">
        <v>27</v>
      </c>
      <c r="K235" s="3" t="inlineStr">
        <is>
          <t>By 2030, 11 million BEVs from corporate fleets are expected on European roads, and the total number of BEVs is expected to grow to 40 million in Europe, creating a market of 100 billion kWh per annum</t>
        </is>
      </c>
      <c r="L235" s="2" t="inlineStr">
        <is>
          <t>pend</t>
        </is>
      </c>
      <c r="M235" s="2" t="n"/>
      <c r="N235" s="2" t="n"/>
      <c r="O235" s="3" t="inlineStr">
        <is>
          <t>https://vanillabonds.com/dossier-data/pdf/fastned/fastned-2023-annual-report.pdf#page=27</t>
        </is>
      </c>
    </row>
    <row r="236">
      <c r="A236" s="2" t="inlineStr">
        <is>
          <t>F235</t>
        </is>
      </c>
      <c r="B236" s="2" t="inlineStr">
        <is>
          <t>market</t>
        </is>
      </c>
      <c r="C236" s="2" t="inlineStr">
        <is>
          <t>market_fact</t>
        </is>
      </c>
      <c r="D236" s="3" t="inlineStr">
        <is>
          <t>Market: size, growth, share, competitor capacity, regulation (source named)</t>
        </is>
      </c>
      <c r="E236" s="2" t="n"/>
      <c r="F236" s="2" t="n"/>
      <c r="G236" s="2" t="n"/>
      <c r="H236" s="3" t="inlineStr">
        <is>
          <t>company statement: EU sales of new internal combustion engine cars end by 2035; Greening Corporate Fleets Initiative being drafted; French Social Lease Plan (2023) offers EVs at EUR 100 per month to households with taxable income below EUR 15,400.</t>
        </is>
      </c>
      <c r="I236" s="2" t="inlineStr">
        <is>
          <t>S1</t>
        </is>
      </c>
      <c r="J236" s="2" t="n">
        <v>28</v>
      </c>
      <c r="K236" s="3" t="inlineStr">
        <is>
          <t>As a result of EU policy, sales of new cars with internal combustion engines will end by 2035.</t>
        </is>
      </c>
      <c r="L236" s="2" t="inlineStr">
        <is>
          <t>pend</t>
        </is>
      </c>
      <c r="M236" s="2" t="n"/>
      <c r="N236" s="2" t="n"/>
      <c r="O236" s="3" t="inlineStr">
        <is>
          <t>https://vanillabonds.com/dossier-data/pdf/fastned/fastned-2023-annual-report.pdf#page=28</t>
        </is>
      </c>
    </row>
    <row r="237">
      <c r="A237" s="2" t="inlineStr">
        <is>
          <t>F236</t>
        </is>
      </c>
      <c r="B237" s="2" t="inlineStr">
        <is>
          <t>market</t>
        </is>
      </c>
      <c r="C237" s="2" t="inlineStr">
        <is>
          <t>market_fact</t>
        </is>
      </c>
      <c r="D237" s="3" t="inlineStr">
        <is>
          <t>Market: size, growth, share, competitor capacity, regulation (source named)</t>
        </is>
      </c>
      <c r="E237" s="2" t="n"/>
      <c r="F237" s="2" t="n"/>
      <c r="G237" s="2" t="n"/>
      <c r="H237" s="3" t="inlineStr">
        <is>
          <t>cites European Environment Agency: 22.5% of energy consumed in the EU in 2022 from renewable sources; EU target 42.5% for 2030; 2023 saw a record number of hours with negative energy prices (company).</t>
        </is>
      </c>
      <c r="I237" s="2" t="inlineStr">
        <is>
          <t>S1</t>
        </is>
      </c>
      <c r="J237" s="2" t="n">
        <v>29</v>
      </c>
      <c r="K237" s="3" t="inlineStr">
        <is>
          <t>According to the European Environment Agency’s (EEA) early estimates, 22.5% of energy consumed in the EU in 2022 was generated from renewable sources.</t>
        </is>
      </c>
      <c r="L237" s="2" t="inlineStr">
        <is>
          <t>pend</t>
        </is>
      </c>
      <c r="M237" s="2" t="n"/>
      <c r="N237" s="2" t="n"/>
      <c r="O237" s="3" t="inlineStr">
        <is>
          <t>https://vanillabonds.com/dossier-data/pdf/fastned/fastned-2023-annual-report.pdf#page=29</t>
        </is>
      </c>
    </row>
    <row r="238">
      <c r="A238" s="2" t="inlineStr">
        <is>
          <t>F237</t>
        </is>
      </c>
      <c r="B238" s="2" t="inlineStr">
        <is>
          <t>market</t>
        </is>
      </c>
      <c r="C238" s="2" t="inlineStr">
        <is>
          <t>market_fact</t>
        </is>
      </c>
      <c r="D238" s="3" t="inlineStr">
        <is>
          <t>Market: size, growth, share, competitor capacity, regulation (source named)</t>
        </is>
      </c>
      <c r="E238" s="2" t="n"/>
      <c r="F238" s="2" t="n"/>
      <c r="G238" s="2" t="n"/>
      <c r="H238" s="3" t="inlineStr">
        <is>
          <t>company statement: grid utilisation around 30% on average, peak utilisation is the constraint; electricity demand set to grow 60% by end of the decade; European Commission Action Plan for Grids launched November 2023.</t>
        </is>
      </c>
      <c r="I238" s="2" t="inlineStr">
        <is>
          <t>S1</t>
        </is>
      </c>
      <c r="J238" s="2" t="n">
        <v>29</v>
      </c>
      <c r="K238" s="3" t="inlineStr">
        <is>
          <t>In November 2023, the European Commission launched an Action Plan for Grids. It includes a 14-point plan to modernise Europe’s electricity grid</t>
        </is>
      </c>
      <c r="L238" s="2" t="inlineStr">
        <is>
          <t>pend</t>
        </is>
      </c>
      <c r="M238" s="2" t="n"/>
      <c r="N238" s="2" t="n"/>
      <c r="O238" s="3" t="inlineStr">
        <is>
          <t>https://vanillabonds.com/dossier-data/pdf/fastned/fastned-2023-annual-report.pdf#page=29</t>
        </is>
      </c>
    </row>
    <row r="239">
      <c r="A239" s="2" t="inlineStr">
        <is>
          <t>F238</t>
        </is>
      </c>
      <c r="B239" s="2" t="inlineStr">
        <is>
          <t>market</t>
        </is>
      </c>
      <c r="C239" s="2" t="inlineStr">
        <is>
          <t>market_fact</t>
        </is>
      </c>
      <c r="D239" s="3" t="inlineStr">
        <is>
          <t>Market: size, growth, share, competitor capacity, regulation (source named)</t>
        </is>
      </c>
      <c r="E239" s="2" t="n"/>
      <c r="F239" s="2" t="n"/>
      <c r="G239" s="2" t="n"/>
      <c r="H239" s="3" t="inlineStr">
        <is>
          <t>company statement: the EV charging market is not sufficiently developed for long-term margins per country to be known with certainty; management expects the same trends and growth patterns in each country at different stages of EV adoption.</t>
        </is>
      </c>
      <c r="I239" s="2" t="inlineStr">
        <is>
          <t>S1</t>
        </is>
      </c>
      <c r="J239" s="2" t="n">
        <v>119</v>
      </c>
      <c r="K239" s="3" t="inlineStr">
        <is>
          <t>The EV charging market is not sufficiently developed for long term margins in each of the countries to be known with any certainty</t>
        </is>
      </c>
      <c r="L239" s="2" t="inlineStr">
        <is>
          <t>pend</t>
        </is>
      </c>
      <c r="M239" s="2" t="n"/>
      <c r="N239" s="2" t="n"/>
      <c r="O239" s="3" t="inlineStr">
        <is>
          <t>https://vanillabonds.com/dossier-data/pdf/fastned/fastned-2023-annual-report.pdf#page=119</t>
        </is>
      </c>
    </row>
    <row r="240">
      <c r="A240" s="2" t="inlineStr">
        <is>
          <t>F239</t>
        </is>
      </c>
      <c r="B240" s="2" t="inlineStr">
        <is>
          <t>market</t>
        </is>
      </c>
      <c r="C240" s="2" t="inlineStr">
        <is>
          <t>market_fact</t>
        </is>
      </c>
      <c r="D240" s="3" t="inlineStr">
        <is>
          <t>Market: size, growth, share, competitor capacity, regulation (source named)</t>
        </is>
      </c>
      <c r="E240" s="2" t="n"/>
      <c r="F240" s="2" t="n"/>
      <c r="G240" s="2" t="n"/>
      <c r="H240" s="3" t="inlineStr">
        <is>
          <t>company statement: grid congestion contributed to a slower construction pace in the Netherlands, France, Belgium and the UK in 2023; 55 new stations delivered across seven countries.</t>
        </is>
      </c>
      <c r="I240" s="2" t="inlineStr">
        <is>
          <t>S1</t>
        </is>
      </c>
      <c r="J240" s="2" t="n">
        <v>197</v>
      </c>
      <c r="K240" s="3" t="inlineStr">
        <is>
          <t>Grid congestion has contributed to a slower construction pace in the Netherlands, France, Belgium and in the United Kingdom.</t>
        </is>
      </c>
      <c r="L240" s="2" t="inlineStr">
        <is>
          <t>pend</t>
        </is>
      </c>
      <c r="M240" s="2" t="n"/>
      <c r="N240" s="2" t="n"/>
      <c r="O240" s="3" t="inlineStr">
        <is>
          <t>https://vanillabonds.com/dossier-data/pdf/fastned/fastned-2023-annual-report.pdf#page=197</t>
        </is>
      </c>
    </row>
    <row r="241">
      <c r="A241" s="2" t="inlineStr">
        <is>
          <t>F240</t>
        </is>
      </c>
      <c r="B241" s="2" t="inlineStr">
        <is>
          <t>market</t>
        </is>
      </c>
      <c r="C241" s="2" t="inlineStr">
        <is>
          <t>market_fact</t>
        </is>
      </c>
      <c r="D241" s="3" t="inlineStr">
        <is>
          <t>Market: size, growth, share, competitor capacity, regulation (source named)</t>
        </is>
      </c>
      <c r="E241" s="2" t="n"/>
      <c r="F241" s="2" t="n"/>
      <c r="G241" s="2" t="n"/>
      <c r="H241" s="3" t="inlineStr">
        <is>
          <t>company statement (AR 2022, p. 9): Dutch distribution network operators have difficulty keeping up with electricity demand, sometimes limiting new connections; similar issues expected in other countries.</t>
        </is>
      </c>
      <c r="I241" s="2" t="inlineStr">
        <is>
          <t>S1</t>
        </is>
      </c>
      <c r="J241" s="2" t="n">
        <v>197</v>
      </c>
      <c r="K241" s="3" t="inlineStr">
        <is>
          <t>In the Netherlands, distribution network operators have difficulty keeping up with the growing demand for electricity from new housing and industries converting to electricity.</t>
        </is>
      </c>
      <c r="L241" s="2" t="inlineStr">
        <is>
          <t>pend</t>
        </is>
      </c>
      <c r="M241" s="2" t="n"/>
      <c r="N241" s="2" t="n"/>
      <c r="O241" s="3" t="inlineStr">
        <is>
          <t>https://vanillabonds.com/dossier-data/pdf/fastned/fastned-2023-annual-report.pdf#page=197</t>
        </is>
      </c>
    </row>
    <row r="242">
      <c r="A242" s="2" t="inlineStr">
        <is>
          <t>F241</t>
        </is>
      </c>
      <c r="B242" s="2" t="inlineStr">
        <is>
          <t>market</t>
        </is>
      </c>
      <c r="C242" s="2" t="inlineStr">
        <is>
          <t>concentration</t>
        </is>
      </c>
      <c r="D242" s="3" t="inlineStr">
        <is>
          <t>Concentration: top customers / suppliers share, key contracts, sites</t>
        </is>
      </c>
      <c r="E242" s="2" t="n"/>
      <c r="F242" s="2" t="n"/>
      <c r="G242" s="2" t="n"/>
      <c r="H242" s="3" t="inlineStr">
        <is>
          <t>Denmark: first station (Helsingør) opened end 2023; Italy and Spain: no operational stations yet, first contracts signed.</t>
        </is>
      </c>
      <c r="I242" s="2" t="inlineStr">
        <is>
          <t>S1</t>
        </is>
      </c>
      <c r="J242" s="2" t="n">
        <v>3</v>
      </c>
      <c r="K242" s="3" t="inlineStr">
        <is>
          <t>Fastned opens its first station in Denmark</t>
        </is>
      </c>
      <c r="L242" s="2" t="inlineStr">
        <is>
          <t>pend</t>
        </is>
      </c>
      <c r="M242" s="2" t="n"/>
      <c r="N242" s="2" t="n"/>
      <c r="O242" s="3" t="inlineStr">
        <is>
          <t>https://vanillabonds.com/dossier-data/pdf/fastned/fastned-2023-annual-report.pdf#page=3</t>
        </is>
      </c>
    </row>
    <row r="243">
      <c r="A243" s="2" t="inlineStr">
        <is>
          <t>F242</t>
        </is>
      </c>
      <c r="B243" s="2" t="inlineStr">
        <is>
          <t>market</t>
        </is>
      </c>
      <c r="C243" s="2" t="inlineStr">
        <is>
          <t>concentration</t>
        </is>
      </c>
      <c r="D243" s="3" t="inlineStr">
        <is>
          <t>Concentration: top customers / suppliers share, key contracts, sites</t>
        </is>
      </c>
      <c r="E243" s="2" t="n"/>
      <c r="F243" s="2" t="n"/>
      <c r="G243" s="2" t="n"/>
      <c r="H243" s="3" t="inlineStr">
        <is>
          <t>Netherlands: 168 of 297 operational stations at end 2023 (19 new in 2023), 31 locations under development.</t>
        </is>
      </c>
      <c r="I243" s="2" t="inlineStr">
        <is>
          <t>S1</t>
        </is>
      </c>
      <c r="J243" s="2" t="n">
        <v>22</v>
      </c>
      <c r="K243" s="3" t="inlineStr">
        <is>
          <t>The Netherlands 19 New stations 168 Total number of stations 31 Stations under development</t>
        </is>
      </c>
      <c r="L243" s="2" t="inlineStr">
        <is>
          <t>pend</t>
        </is>
      </c>
      <c r="M243" s="2" t="n"/>
      <c r="N243" s="2" t="n"/>
      <c r="O243" s="3" t="inlineStr">
        <is>
          <t>https://vanillabonds.com/dossier-data/pdf/fastned/fastned-2023-annual-report.pdf#page=22</t>
        </is>
      </c>
    </row>
    <row r="244">
      <c r="A244" s="2" t="inlineStr">
        <is>
          <t>F243</t>
        </is>
      </c>
      <c r="B244" s="2" t="inlineStr">
        <is>
          <t>market</t>
        </is>
      </c>
      <c r="C244" s="2" t="inlineStr">
        <is>
          <t>concentration</t>
        </is>
      </c>
      <c r="D244" s="3" t="inlineStr">
        <is>
          <t>Concentration: top customers / suppliers share, key contracts, sites</t>
        </is>
      </c>
      <c r="E244" s="2" t="n"/>
      <c r="F244" s="2" t="n"/>
      <c r="G244" s="2" t="n"/>
      <c r="H244" s="3" t="inlineStr">
        <is>
          <t>Germany: 39 operational stations at end 2023 (2 new in 2023), 4 under development, before Deutschlandnetz.</t>
        </is>
      </c>
      <c r="I244" s="2" t="inlineStr">
        <is>
          <t>S1</t>
        </is>
      </c>
      <c r="J244" s="2" t="n">
        <v>22</v>
      </c>
      <c r="K244" s="3" t="inlineStr">
        <is>
          <t>39 Total number of stations 4 Stations under development Operational stations Locations under development Germany 2 New stations</t>
        </is>
      </c>
      <c r="L244" s="2" t="inlineStr">
        <is>
          <t>pend</t>
        </is>
      </c>
      <c r="M244" s="2" t="n"/>
      <c r="N244" s="2" t="n"/>
      <c r="O244" s="3" t="inlineStr">
        <is>
          <t>https://vanillabonds.com/dossier-data/pdf/fastned/fastned-2023-annual-report.pdf#page=22</t>
        </is>
      </c>
    </row>
    <row r="245">
      <c r="A245" s="2" t="inlineStr">
        <is>
          <t>F244</t>
        </is>
      </c>
      <c r="B245" s="2" t="inlineStr">
        <is>
          <t>market</t>
        </is>
      </c>
      <c r="C245" s="2" t="inlineStr">
        <is>
          <t>concentration</t>
        </is>
      </c>
      <c r="D245" s="3" t="inlineStr">
        <is>
          <t>Concentration: top customers / suppliers share, key contracts, sites</t>
        </is>
      </c>
      <c r="E245" s="2" t="n"/>
      <c r="F245" s="2" t="n"/>
      <c r="G245" s="2" t="n"/>
      <c r="H245" s="3" t="inlineStr">
        <is>
          <t>France: 38 operational stations at end 2023 (15 new in 2023), 10 under development.</t>
        </is>
      </c>
      <c r="I245" s="2" t="inlineStr">
        <is>
          <t>S1</t>
        </is>
      </c>
      <c r="J245" s="2" t="n">
        <v>23</v>
      </c>
      <c r="K245" s="3" t="inlineStr">
        <is>
          <t>France 15 New stations 38 Total number of stations 10 Stations under development</t>
        </is>
      </c>
      <c r="L245" s="2" t="inlineStr">
        <is>
          <t>pend</t>
        </is>
      </c>
      <c r="M245" s="2" t="n"/>
      <c r="N245" s="2" t="n"/>
      <c r="O245" s="3" t="inlineStr">
        <is>
          <t>https://vanillabonds.com/dossier-data/pdf/fastned/fastned-2023-annual-report.pdf#page=23</t>
        </is>
      </c>
    </row>
    <row r="246">
      <c r="A246" s="2" t="inlineStr">
        <is>
          <t>F245</t>
        </is>
      </c>
      <c r="B246" s="2" t="inlineStr">
        <is>
          <t>market</t>
        </is>
      </c>
      <c r="C246" s="2" t="inlineStr">
        <is>
          <t>concentration</t>
        </is>
      </c>
      <c r="D246" s="3" t="inlineStr">
        <is>
          <t>Concentration: top customers / suppliers share, key contracts, sites</t>
        </is>
      </c>
      <c r="E246" s="2" t="n"/>
      <c r="F246" s="2" t="n"/>
      <c r="G246" s="2" t="n"/>
      <c r="H246" s="3" t="inlineStr">
        <is>
          <t>Belgium: 24 operational stations at end 2023 (6 new in 2023), 29 under development.</t>
        </is>
      </c>
      <c r="I246" s="2" t="inlineStr">
        <is>
          <t>S1</t>
        </is>
      </c>
      <c r="J246" s="2" t="n">
        <v>23</v>
      </c>
      <c r="K246" s="3" t="inlineStr">
        <is>
          <t>6 New stations 24 Total number of stations 29 Stations under development</t>
        </is>
      </c>
      <c r="L246" s="2" t="inlineStr">
        <is>
          <t>pend</t>
        </is>
      </c>
      <c r="M246" s="2" t="n"/>
      <c r="N246" s="2" t="n"/>
      <c r="O246" s="3" t="inlineStr">
        <is>
          <t>https://vanillabonds.com/dossier-data/pdf/fastned/fastned-2023-annual-report.pdf#page=23</t>
        </is>
      </c>
    </row>
    <row r="247">
      <c r="A247" s="2" t="inlineStr">
        <is>
          <t>F246</t>
        </is>
      </c>
      <c r="B247" s="2" t="inlineStr">
        <is>
          <t>market</t>
        </is>
      </c>
      <c r="C247" s="2" t="inlineStr">
        <is>
          <t>concentration</t>
        </is>
      </c>
      <c r="D247" s="3" t="inlineStr">
        <is>
          <t>Concentration: top customers / suppliers share, key contracts, sites</t>
        </is>
      </c>
      <c r="E247" s="2" t="n"/>
      <c r="F247" s="2" t="n"/>
      <c r="G247" s="2" t="n"/>
      <c r="H247" s="3" t="inlineStr">
        <is>
          <t>United Kingdom: 20 operational stations at end 2023 (8 new in 2023), 30 under development.</t>
        </is>
      </c>
      <c r="I247" s="2" t="inlineStr">
        <is>
          <t>S1</t>
        </is>
      </c>
      <c r="J247" s="2" t="n">
        <v>24</v>
      </c>
      <c r="K247" s="3" t="inlineStr">
        <is>
          <t>The United Kingdom 8 New stations 20 Total number of stations 30 Stations under development</t>
        </is>
      </c>
      <c r="L247" s="2" t="inlineStr">
        <is>
          <t>pend</t>
        </is>
      </c>
      <c r="M247" s="2" t="n"/>
      <c r="N247" s="2" t="n"/>
      <c r="O247" s="3" t="inlineStr">
        <is>
          <t>https://vanillabonds.com/dossier-data/pdf/fastned/fastned-2023-annual-report.pdf#page=24</t>
        </is>
      </c>
    </row>
    <row r="248">
      <c r="A248" s="2" t="inlineStr">
        <is>
          <t>F247</t>
        </is>
      </c>
      <c r="B248" s="2" t="inlineStr">
        <is>
          <t>market</t>
        </is>
      </c>
      <c r="C248" s="2" t="inlineStr">
        <is>
          <t>concentration</t>
        </is>
      </c>
      <c r="D248" s="3" t="inlineStr">
        <is>
          <t>Concentration: top customers / suppliers share, key contracts, sites</t>
        </is>
      </c>
      <c r="E248" s="2" t="n"/>
      <c r="F248" s="2" t="n"/>
      <c r="G248" s="2" t="n"/>
      <c r="H248" s="3" t="inlineStr">
        <is>
          <t>Switzerland: 7 operational stations at end 2023 (4 new in 2023), 18 under development.</t>
        </is>
      </c>
      <c r="I248" s="2" t="inlineStr">
        <is>
          <t>S1</t>
        </is>
      </c>
      <c r="J248" s="2" t="n">
        <v>24</v>
      </c>
      <c r="K248" s="3" t="inlineStr">
        <is>
          <t>4 New stations 7 Total number of stations Switzerland Operational stations 18 Stations under development</t>
        </is>
      </c>
      <c r="L248" s="2" t="inlineStr">
        <is>
          <t>pend</t>
        </is>
      </c>
      <c r="M248" s="2" t="n"/>
      <c r="N248" s="2" t="n"/>
      <c r="O248" s="3" t="inlineStr">
        <is>
          <t>https://vanillabonds.com/dossier-data/pdf/fastned/fastned-2023-annual-report.pdf#page=24</t>
        </is>
      </c>
    </row>
    <row r="249">
      <c r="A249" s="2" t="inlineStr">
        <is>
          <t>F248</t>
        </is>
      </c>
      <c r="B249" s="2" t="inlineStr">
        <is>
          <t>market</t>
        </is>
      </c>
      <c r="C249" s="2" t="inlineStr">
        <is>
          <t>concentration</t>
        </is>
      </c>
      <c r="D249" s="3" t="inlineStr">
        <is>
          <t>Concentration: top customers / suppliers share, key contracts, sites</t>
        </is>
      </c>
      <c r="E249" s="2" t="n"/>
      <c r="F249" s="2" t="n"/>
      <c r="G249" s="2" t="n"/>
      <c r="H249" s="3" t="inlineStr">
        <is>
          <t>Largest office Amsterdam (HQ Mondriaantoren); new Paris office opened 2023; employees in nine countries.</t>
        </is>
      </c>
      <c r="I249" s="2" t="inlineStr">
        <is>
          <t>S1</t>
        </is>
      </c>
      <c r="J249" s="2" t="n">
        <v>74</v>
      </c>
      <c r="K249" s="3" t="inlineStr">
        <is>
          <t>In November 2023, the Supervisory Board members and Management Board visited the new Paris office.</t>
        </is>
      </c>
      <c r="L249" s="2" t="inlineStr">
        <is>
          <t>pend</t>
        </is>
      </c>
      <c r="M249" s="2" t="n"/>
      <c r="N249" s="2" t="n"/>
      <c r="O249" s="3" t="inlineStr">
        <is>
          <t>https://vanillabonds.com/dossier-data/pdf/fastned/fastned-2023-annual-report.pdf#page=74</t>
        </is>
      </c>
    </row>
    <row r="250">
      <c r="A250" s="2" t="inlineStr">
        <is>
          <t>F249</t>
        </is>
      </c>
      <c r="B250" s="2" t="inlineStr">
        <is>
          <t>market</t>
        </is>
      </c>
      <c r="C250" s="2" t="inlineStr">
        <is>
          <t>concentration</t>
        </is>
      </c>
      <c r="D250" s="3" t="inlineStr">
        <is>
          <t>Concentration: top customers / suppliers share, key contracts, sites</t>
        </is>
      </c>
      <c r="E250" s="2" t="n"/>
      <c r="F250" s="2" t="n"/>
      <c r="G250" s="2" t="n"/>
      <c r="H250" s="3" t="inlineStr">
        <is>
          <t>No customer accounts for 10% or more of revenue in 2023 or 2022.</t>
        </is>
      </c>
      <c r="I250" s="2" t="inlineStr">
        <is>
          <t>S1</t>
        </is>
      </c>
      <c r="J250" s="2" t="n">
        <v>122</v>
      </c>
      <c r="K250" s="3" t="inlineStr">
        <is>
          <t>There are no customers that account for 10% or more of revenue as at December 31, 2023 and 2022.</t>
        </is>
      </c>
      <c r="L250" s="2" t="inlineStr">
        <is>
          <t>pend</t>
        </is>
      </c>
      <c r="M250" s="2" t="n"/>
      <c r="N250" s="2" t="n"/>
      <c r="O250" s="3" t="inlineStr">
        <is>
          <t>https://vanillabonds.com/dossier-data/pdf/fastned/fastned-2023-annual-report.pdf#page=122</t>
        </is>
      </c>
    </row>
    <row r="251">
      <c r="A251" s="2" t="inlineStr">
        <is>
          <t>F250</t>
        </is>
      </c>
      <c r="B251" s="2" t="inlineStr">
        <is>
          <t>market</t>
        </is>
      </c>
      <c r="C251" s="2" t="inlineStr">
        <is>
          <t>concentration</t>
        </is>
      </c>
      <c r="D251" s="3" t="inlineStr">
        <is>
          <t>Concentration: top customers / suppliers share, key contracts, sites</t>
        </is>
      </c>
      <c r="E251" s="2" t="n"/>
      <c r="F251" s="2" t="n"/>
      <c r="G251" s="2" t="n"/>
      <c r="H251" s="3" t="inlineStr">
        <is>
          <t>Revenue by country 2023: Netherlands EUR 41,190k of 60,514k, Germany 7,121k, Belgium 5,634k, France 3,311k, UK 3,018k, Other Europe 240k.</t>
        </is>
      </c>
      <c r="I251" s="2" t="inlineStr">
        <is>
          <t>S1</t>
        </is>
      </c>
      <c r="J251" s="2" t="n">
        <v>122</v>
      </c>
      <c r="K251" s="2" t="inlineStr">
        <is>
          <t>The Netherlands 41,190 27,187</t>
        </is>
      </c>
      <c r="L251" s="2" t="inlineStr">
        <is>
          <t>pend</t>
        </is>
      </c>
      <c r="M251" s="2" t="n"/>
      <c r="N251" s="2" t="n"/>
      <c r="O251" s="3" t="inlineStr">
        <is>
          <t>https://vanillabonds.com/dossier-data/pdf/fastned/fastned-2023-annual-report.pdf#page=122</t>
        </is>
      </c>
    </row>
    <row r="252">
      <c r="A252" s="2" t="inlineStr">
        <is>
          <t>F251</t>
        </is>
      </c>
      <c r="B252" s="2" t="inlineStr">
        <is>
          <t>plan</t>
        </is>
      </c>
      <c r="C252" s="2" t="inlineStr">
        <is>
          <t>plan_item</t>
        </is>
      </c>
      <c r="D252" s="3" t="inlineStr">
        <is>
          <t>Investment plan item: what, amount, timing, contracted / ordered / planned</t>
        </is>
      </c>
      <c r="E252" s="2" t="n"/>
      <c r="F252" s="2" t="n"/>
      <c r="G252" s="2" t="n"/>
      <c r="H252" s="3" t="inlineStr">
        <is>
          <t>Locations under development at end 2023: 135 (NL 31, UK 30, BE 29, CH 18, FR 10, DE 4 per pp. 22-24, remainder in DK, IT, ES) next to 297 operational stations.</t>
        </is>
      </c>
      <c r="I252" s="2" t="inlineStr">
        <is>
          <t>S1</t>
        </is>
      </c>
      <c r="J252" s="2" t="n">
        <v>6</v>
      </c>
      <c r="K252" s="3" t="inlineStr">
        <is>
          <t>135 Locations under development 297 Operational stations</t>
        </is>
      </c>
      <c r="L252" s="2" t="inlineStr">
        <is>
          <t>pend</t>
        </is>
      </c>
      <c r="M252" s="2" t="n"/>
      <c r="N252" s="2" t="n"/>
      <c r="O252" s="3" t="inlineStr">
        <is>
          <t>https://vanillabonds.com/dossier-data/pdf/fastned/fastned-2023-annual-report.pdf#page=6</t>
        </is>
      </c>
    </row>
    <row r="253">
      <c r="A253" s="2" t="inlineStr">
        <is>
          <t>F252</t>
        </is>
      </c>
      <c r="B253" s="2" t="inlineStr">
        <is>
          <t>plan</t>
        </is>
      </c>
      <c r="C253" s="2" t="inlineStr">
        <is>
          <t>plan_item</t>
        </is>
      </c>
      <c r="D253" s="3" t="inlineStr">
        <is>
          <t>Investment plan item: what, amount, timing, contracted / ordered / planned</t>
        </is>
      </c>
      <c r="E253" s="2" t="n"/>
      <c r="F253" s="2" t="n"/>
      <c r="G253" s="2" t="n"/>
      <c r="H253" s="3" t="inlineStr">
        <is>
          <t>First Fastned shop to open in Brecht, Belgium in early 2024 (own shop concept for sites without amenities).</t>
        </is>
      </c>
      <c r="I253" s="2" t="inlineStr">
        <is>
          <t>S1</t>
        </is>
      </c>
      <c r="J253" s="2" t="n">
        <v>15</v>
      </c>
      <c r="K253" s="3" t="inlineStr">
        <is>
          <t>In early 2024, we will open our first shop in Brecht, Belgium.</t>
        </is>
      </c>
      <c r="L253" s="2" t="inlineStr">
        <is>
          <t>pend</t>
        </is>
      </c>
      <c r="M253" s="2" t="n"/>
      <c r="N253" s="2" t="n"/>
      <c r="O253" s="3" t="inlineStr">
        <is>
          <t>https://vanillabonds.com/dossier-data/pdf/fastned/fastned-2023-annual-report.pdf#page=15</t>
        </is>
      </c>
    </row>
    <row r="254">
      <c r="A254" s="2" t="inlineStr">
        <is>
          <t>F253</t>
        </is>
      </c>
      <c r="B254" s="2" t="inlineStr">
        <is>
          <t>plan</t>
        </is>
      </c>
      <c r="C254" s="2" t="inlineStr">
        <is>
          <t>plan_item</t>
        </is>
      </c>
      <c r="D254" s="3" t="inlineStr">
        <is>
          <t>Investment plan item: what, amount, timing, contracted / ordered / planned</t>
        </is>
      </c>
      <c r="E254" s="2" t="n"/>
      <c r="F254" s="2" t="n"/>
      <c r="G254" s="2" t="n"/>
      <c r="H254" s="3" t="inlineStr">
        <is>
          <t>Pipeline of 432 sites across Europe at end 2023 (Helsingør to Madrid); 59 new locations secured in 2023; new private locations more than doubled.</t>
        </is>
      </c>
      <c r="I254" s="2" t="inlineStr">
        <is>
          <t>S1</t>
        </is>
      </c>
      <c r="J254" s="2" t="n">
        <v>18</v>
      </c>
      <c r="K254" s="3" t="inlineStr">
        <is>
          <t>At the end of the year, our total pipeline comprised 432 sites across Europe, from Helsingør in the north all the way to Madrid in the south.</t>
        </is>
      </c>
      <c r="L254" s="2" t="inlineStr">
        <is>
          <t>pend</t>
        </is>
      </c>
      <c r="M254" s="2" t="n"/>
      <c r="N254" s="2" t="n"/>
      <c r="O254" s="3" t="inlineStr">
        <is>
          <t>https://vanillabonds.com/dossier-data/pdf/fastned/fastned-2023-annual-report.pdf#page=18</t>
        </is>
      </c>
    </row>
    <row r="255">
      <c r="A255" s="2" t="inlineStr">
        <is>
          <t>F254</t>
        </is>
      </c>
      <c r="B255" s="2" t="inlineStr">
        <is>
          <t>plan</t>
        </is>
      </c>
      <c r="C255" s="2" t="inlineStr">
        <is>
          <t>plan_item</t>
        </is>
      </c>
      <c r="D255" s="3" t="inlineStr">
        <is>
          <t>Investment plan item: what, amount, timing, contracted / ordered / planned</t>
        </is>
      </c>
      <c r="E255" s="2" t="n"/>
      <c r="F255" s="2" t="n"/>
      <c r="G255" s="2" t="n"/>
      <c r="H255" s="3" t="inlineStr">
        <is>
          <t>Deutschlandnetz: 92 large fast charging stations in Germany in the next few years, tripling the German network; location agreements being signed.</t>
        </is>
      </c>
      <c r="I255" s="2" t="inlineStr">
        <is>
          <t>S1</t>
        </is>
      </c>
      <c r="J255" s="2" t="n">
        <v>18</v>
      </c>
      <c r="K255" s="3" t="inlineStr">
        <is>
          <t>This win alone will enable us to triple the number of our stations in Germany in the next few years</t>
        </is>
      </c>
      <c r="L255" s="2" t="inlineStr">
        <is>
          <t>pend</t>
        </is>
      </c>
      <c r="M255" s="2" t="n"/>
      <c r="N255" s="2" t="n"/>
      <c r="O255" s="3" t="inlineStr">
        <is>
          <t>https://vanillabonds.com/dossier-data/pdf/fastned/fastned-2023-annual-report.pdf#page=18</t>
        </is>
      </c>
    </row>
    <row r="256">
      <c r="A256" s="2" t="inlineStr">
        <is>
          <t>F255</t>
        </is>
      </c>
      <c r="B256" s="2" t="inlineStr">
        <is>
          <t>plan</t>
        </is>
      </c>
      <c r="C256" s="2" t="inlineStr">
        <is>
          <t>plan_item</t>
        </is>
      </c>
      <c r="D256" s="3" t="inlineStr">
        <is>
          <t>Investment plan item: what, amount, timing, contracted / ordered / planned</t>
        </is>
      </c>
      <c r="E256" s="2" t="n"/>
      <c r="F256" s="2" t="n"/>
      <c r="G256" s="2" t="n"/>
      <c r="H256" s="3" t="inlineStr">
        <is>
          <t>Commodity price risk: further mitigation actions planned for 2024 (planned); PPA of 15 GWh/year starts 1 Feb 2024 (contracted).</t>
        </is>
      </c>
      <c r="I256" s="2" t="inlineStr">
        <is>
          <t>S1</t>
        </is>
      </c>
      <c r="J256" s="2" t="n">
        <v>140</v>
      </c>
      <c r="K256" s="3" t="inlineStr">
        <is>
          <t>Further mitigation actions are planned for 2024. Reference made to note 25 as well.</t>
        </is>
      </c>
      <c r="L256" s="2" t="inlineStr">
        <is>
          <t>pend</t>
        </is>
      </c>
      <c r="M256" s="2" t="n"/>
      <c r="N256" s="2" t="n"/>
      <c r="O256" s="3" t="inlineStr">
        <is>
          <t>https://vanillabonds.com/dossier-data/pdf/fastned/fastned-2023-annual-report.pdf#page=140</t>
        </is>
      </c>
    </row>
    <row r="257">
      <c r="A257" s="2" t="inlineStr">
        <is>
          <t>F256</t>
        </is>
      </c>
      <c r="B257" s="2" t="inlineStr">
        <is>
          <t>plan</t>
        </is>
      </c>
      <c r="C257" s="2" t="inlineStr">
        <is>
          <t>plan_item</t>
        </is>
      </c>
      <c r="D257" s="3" t="inlineStr">
        <is>
          <t>Investment plan item: what, amount, timing, contracted / ordered / planned</t>
        </is>
      </c>
      <c r="E257" s="2" t="n"/>
      <c r="F257" s="2" t="n">
        <v>22.7</v>
      </c>
      <c r="G257" s="2" t="n"/>
      <c r="H257" s="3" t="inlineStr">
        <is>
          <t>Construction of several fast-charging stations initiated at 31 Dec 2023, to be realised in H1 2024; outstanding commitment about EUR 22.71m (contracted); orders partly prepaid.</t>
        </is>
      </c>
      <c r="I257" s="2" t="inlineStr">
        <is>
          <t>S1</t>
        </is>
      </c>
      <c r="J257" s="2" t="n">
        <v>150</v>
      </c>
      <c r="K257" s="3" t="inlineStr">
        <is>
          <t>At 31 December 2023, the Group had initiated the construction of several fast charging stations, these will be realised in the first half of 2024.</t>
        </is>
      </c>
      <c r="L257" s="2" t="inlineStr">
        <is>
          <t>pend</t>
        </is>
      </c>
      <c r="M257" s="2" t="n"/>
      <c r="N257" s="2" t="n"/>
      <c r="O257" s="3" t="inlineStr">
        <is>
          <t>https://vanillabonds.com/dossier-data/pdf/fastned/fastned-2023-annual-report.pdf#page=150</t>
        </is>
      </c>
    </row>
    <row r="258">
      <c r="A258" s="2" t="inlineStr">
        <is>
          <t>F257</t>
        </is>
      </c>
      <c r="B258" s="2" t="inlineStr">
        <is>
          <t>plan</t>
        </is>
      </c>
      <c r="C258" s="2" t="inlineStr">
        <is>
          <t>use_of_proceeds</t>
        </is>
      </c>
      <c r="D258" s="2" t="inlineStr">
        <is>
          <t>Use of proceeds (one line per use)</t>
        </is>
      </c>
      <c r="E258" s="2" t="n"/>
      <c r="F258" s="2" t="n"/>
      <c r="G258" s="2" t="n"/>
      <c r="H258" s="3" t="inlineStr">
        <is>
          <t>Bond proceeds finance new stations and operating expenses.</t>
        </is>
      </c>
      <c r="I258" s="2" t="inlineStr">
        <is>
          <t>S1</t>
        </is>
      </c>
      <c r="J258" s="2" t="n">
        <v>136</v>
      </c>
      <c r="K258" s="3" t="inlineStr">
        <is>
          <t>The purpose of the bond is to finance new stations and operating expenses.</t>
        </is>
      </c>
      <c r="L258" s="2" t="inlineStr">
        <is>
          <t>pend</t>
        </is>
      </c>
      <c r="M258" s="2" t="n"/>
      <c r="N258" s="2" t="n"/>
      <c r="O258" s="3" t="inlineStr">
        <is>
          <t>https://vanillabonds.com/dossier-data/pdf/fastned/fastned-2023-annual-report.pdf#page=136</t>
        </is>
      </c>
    </row>
    <row r="259">
      <c r="A259" s="2" t="inlineStr">
        <is>
          <t>F258</t>
        </is>
      </c>
      <c r="B259" s="2" t="inlineStr">
        <is>
          <t>plan</t>
        </is>
      </c>
      <c r="C259" s="2" t="inlineStr">
        <is>
          <t>funding_mix</t>
        </is>
      </c>
      <c r="D259" s="3" t="inlineStr">
        <is>
          <t>Plan funding: bond / cash flow / bank / equity (one line per source)</t>
        </is>
      </c>
      <c r="E259" s="2" t="n"/>
      <c r="F259" s="2" t="n"/>
      <c r="G259" s="2" t="n"/>
      <c r="H259" s="3" t="inlineStr">
        <is>
          <t>Cash: EUR 126.6m at end 2023 funds station growth in the short term (management: 'sufficient funding').</t>
        </is>
      </c>
      <c r="I259" s="2" t="inlineStr">
        <is>
          <t>S1</t>
        </is>
      </c>
      <c r="J259" s="2" t="n">
        <v>38</v>
      </c>
      <c r="K259" s="3" t="inlineStr">
        <is>
          <t>Fastned’s cash and cash equivalent position was €126.6 million at the end of 2023, ensuring sufficient funding to grow the number of stations in the network in the short term.</t>
        </is>
      </c>
      <c r="L259" s="2" t="inlineStr">
        <is>
          <t>pend</t>
        </is>
      </c>
      <c r="M259" s="2" t="n"/>
      <c r="N259" s="2" t="n"/>
      <c r="O259" s="3" t="inlineStr">
        <is>
          <t>https://vanillabonds.com/dossier-data/pdf/fastned/fastned-2023-annual-report.pdf#page=38</t>
        </is>
      </c>
    </row>
    <row r="260">
      <c r="A260" s="2" t="inlineStr">
        <is>
          <t>F259</t>
        </is>
      </c>
      <c r="B260" s="2" t="inlineStr">
        <is>
          <t>plan</t>
        </is>
      </c>
      <c r="C260" s="2" t="inlineStr">
        <is>
          <t>funding_mix</t>
        </is>
      </c>
      <c r="D260" s="3" t="inlineStr">
        <is>
          <t>Plan funding: bond / cash flow / bank / equity (one line per source)</t>
        </is>
      </c>
      <c r="E260" s="2" t="n"/>
      <c r="F260" s="2" t="n"/>
      <c r="G260" s="2" t="n"/>
      <c r="H260" s="3" t="inlineStr">
        <is>
          <t>Government: German government refunds capital investments under certain conditions under the Deutschlandnetz tender.</t>
        </is>
      </c>
      <c r="I260" s="2" t="inlineStr">
        <is>
          <t>S1</t>
        </is>
      </c>
      <c r="J260" s="2" t="n">
        <v>56</v>
      </c>
      <c r="K260" s="3" t="inlineStr">
        <is>
          <t>In addition, the German government will also refund capital investments under certain conditions as part of the Deutschlandnetz tender.</t>
        </is>
      </c>
      <c r="L260" s="2" t="inlineStr">
        <is>
          <t>pend</t>
        </is>
      </c>
      <c r="M260" s="2" t="n"/>
      <c r="N260" s="2" t="n"/>
      <c r="O260" s="3" t="inlineStr">
        <is>
          <t>https://vanillabonds.com/dossier-data/pdf/fastned/fastned-2023-annual-report.pdf#page=56</t>
        </is>
      </c>
    </row>
    <row r="261">
      <c r="A261" s="2" t="inlineStr">
        <is>
          <t>F260</t>
        </is>
      </c>
      <c r="B261" s="2" t="inlineStr">
        <is>
          <t>plan</t>
        </is>
      </c>
      <c r="C261" s="2" t="inlineStr">
        <is>
          <t>funding_mix</t>
        </is>
      </c>
      <c r="D261" s="3" t="inlineStr">
        <is>
          <t>Plan funding: bond / cash flow / bank / equity (one line per source)</t>
        </is>
      </c>
      <c r="E261" s="2" t="n"/>
      <c r="F261" s="2" t="n"/>
      <c r="G261" s="2" t="n"/>
      <c r="H261" s="3" t="inlineStr">
        <is>
          <t>Bonds: proceeds from borrowings EUR 55.0m in 2023 (2022: EUR 36.1m), mainly two retail bond issues.</t>
        </is>
      </c>
      <c r="I261" s="2" t="inlineStr">
        <is>
          <t>S1</t>
        </is>
      </c>
      <c r="J261" s="2" t="n">
        <v>95</v>
      </c>
      <c r="K261" s="3" t="inlineStr">
        <is>
          <t>Proceeds from borrowings 14.3 55,024 36,144</t>
        </is>
      </c>
      <c r="L261" s="2" t="inlineStr">
        <is>
          <t>pend</t>
        </is>
      </c>
      <c r="M261" s="2" t="n"/>
      <c r="N261" s="2" t="n"/>
      <c r="O261" s="3" t="inlineStr">
        <is>
          <t>https://vanillabonds.com/dossier-data/pdf/fastned/fastned-2023-annual-report.pdf#page=95</t>
        </is>
      </c>
    </row>
    <row r="262">
      <c r="A262" s="2" t="inlineStr">
        <is>
          <t>F261</t>
        </is>
      </c>
      <c r="B262" s="2" t="inlineStr">
        <is>
          <t>plan</t>
        </is>
      </c>
      <c r="C262" s="2" t="inlineStr">
        <is>
          <t>funding_mix</t>
        </is>
      </c>
      <c r="D262" s="3" t="inlineStr">
        <is>
          <t>Plan funding: bond / cash flow / bank / equity (one line per source)</t>
        </is>
      </c>
      <c r="E262" s="2" t="n"/>
      <c r="F262" s="2" t="n"/>
      <c r="G262" s="2" t="n"/>
      <c r="H262" s="3" t="inlineStr">
        <is>
          <t>Equity: certificates of shares (DRs) issued via FAST; share premium received EUR 0.9m in 2023 and EUR 75.9m in 2022.</t>
        </is>
      </c>
      <c r="I262" s="2" t="inlineStr">
        <is>
          <t>S1</t>
        </is>
      </c>
      <c r="J262" s="2" t="n">
        <v>95</v>
      </c>
      <c r="K262" s="2" t="inlineStr">
        <is>
          <t>Share premium received 17 925 75,862</t>
        </is>
      </c>
      <c r="L262" s="2" t="inlineStr">
        <is>
          <t>pend</t>
        </is>
      </c>
      <c r="M262" s="2" t="n"/>
      <c r="N262" s="2" t="n"/>
      <c r="O262" s="3" t="inlineStr">
        <is>
          <t>https://vanillabonds.com/dossier-data/pdf/fastned/fastned-2023-annual-report.pdf#page=95</t>
        </is>
      </c>
    </row>
    <row r="263">
      <c r="A263" s="2" t="inlineStr">
        <is>
          <t>F262</t>
        </is>
      </c>
      <c r="B263" s="2" t="inlineStr">
        <is>
          <t>plan</t>
        </is>
      </c>
      <c r="C263" s="2" t="inlineStr">
        <is>
          <t>debt_maturing</t>
        </is>
      </c>
      <c r="D263" s="2" t="inlineStr">
        <is>
          <t>Debt principal falling due in the period</t>
        </is>
      </c>
      <c r="E263" s="2" t="inlineStr">
        <is>
          <t>FY2023</t>
        </is>
      </c>
      <c r="F263" s="2" t="n">
        <v>8.9</v>
      </c>
      <c r="G263" s="2" t="inlineStr">
        <is>
          <t>EUR m</t>
        </is>
      </c>
      <c r="H263" s="3" t="inlineStr">
        <is>
          <t>Interest-bearing loans and borrowings classified as current at 31 Dec 2022 (EUR 8,909k): 6% bond due 30/10/2023</t>
        </is>
      </c>
      <c r="I263" s="2" t="inlineStr">
        <is>
          <t>S1</t>
        </is>
      </c>
      <c r="J263" s="2" t="n">
        <v>159</v>
      </c>
      <c r="K263" s="3" t="inlineStr">
        <is>
          <t>Interest-bearing loans and borrowings 14.3 16,963 8,909</t>
        </is>
      </c>
      <c r="L263" s="2" t="inlineStr">
        <is>
          <t>pend</t>
        </is>
      </c>
      <c r="M263" s="2" t="n"/>
      <c r="N263" s="2" t="n"/>
      <c r="O263" s="3" t="inlineStr">
        <is>
          <t>https://vanillabonds.com/dossier-data/pdf/fastned/fastned-2023-annual-report.pdf#page=159</t>
        </is>
      </c>
    </row>
    <row r="264">
      <c r="A264" s="2" t="inlineStr">
        <is>
          <t>F263</t>
        </is>
      </c>
      <c r="B264" s="2" t="inlineStr">
        <is>
          <t>plan</t>
        </is>
      </c>
      <c r="C264" s="2" t="inlineStr">
        <is>
          <t>debt_maturing</t>
        </is>
      </c>
      <c r="D264" s="2" t="inlineStr">
        <is>
          <t>Debt principal falling due in the period</t>
        </is>
      </c>
      <c r="E264" s="2" t="inlineStr">
        <is>
          <t>FY2024E</t>
        </is>
      </c>
      <c r="F264" s="2" t="n">
        <v>17</v>
      </c>
      <c r="G264" s="2" t="inlineStr">
        <is>
          <t>EUR m</t>
        </is>
      </c>
      <c r="H264" s="3" t="inlineStr">
        <is>
          <t>Interest-bearing loans and borrowings classified as current at 31 Dec 2023 (EUR 16,963k): 6% bonds due 21/03/2024 (7,304k) and 12/12/2024 (9,659k)</t>
        </is>
      </c>
      <c r="I264" s="2" t="inlineStr">
        <is>
          <t>S1</t>
        </is>
      </c>
      <c r="J264" s="2" t="n">
        <v>159</v>
      </c>
      <c r="K264" s="3" t="inlineStr">
        <is>
          <t>Interest-bearing loans and borrowings 14.3 16,963 8,909</t>
        </is>
      </c>
      <c r="L264" s="2" t="inlineStr">
        <is>
          <t>pend</t>
        </is>
      </c>
      <c r="M264" s="2" t="n"/>
      <c r="N264" s="2" t="n"/>
      <c r="O264" s="3" t="inlineStr">
        <is>
          <t>https://vanillabonds.com/dossier-data/pdf/fastned/fastned-2023-annual-report.pdf#page=159</t>
        </is>
      </c>
    </row>
    <row r="265">
      <c r="A265" s="2" t="inlineStr">
        <is>
          <t>F264</t>
        </is>
      </c>
      <c r="B265" s="2" t="inlineStr">
        <is>
          <t>plan</t>
        </is>
      </c>
      <c r="C265" s="2" t="inlineStr">
        <is>
          <t>bank_line</t>
        </is>
      </c>
      <c r="D265" s="3" t="inlineStr">
        <is>
          <t>Bank facility: lender, amount, maturity, renewal history</t>
        </is>
      </c>
      <c r="E265" s="2" t="n"/>
      <c r="F265" s="2" t="n"/>
      <c r="G265" s="2" t="n"/>
      <c r="H265" s="3" t="inlineStr">
        <is>
          <t>Caisse des Dépôts secured loans contracted in 2022 and 2023 (EUR 2,160k due 2031 and 1,921k due 2032): 4% fixed and capitalised in the first two years, variable component based on kWh sold thereafter, payable annually in arrears.</t>
        </is>
      </c>
      <c r="I265" s="2" t="inlineStr">
        <is>
          <t>S1</t>
        </is>
      </c>
      <c r="J265" s="2" t="n">
        <v>136</v>
      </c>
      <c r="K265" s="3" t="inlineStr">
        <is>
          <t>Fastned secured a new loan with Caisse des Dépôts during 2022 and 2023. Interest is a fixed component of 4% in the first two years and will be capitalised.</t>
        </is>
      </c>
      <c r="L265" s="2" t="inlineStr">
        <is>
          <t>pend</t>
        </is>
      </c>
      <c r="M265" s="2" t="n"/>
      <c r="N265" s="2" t="n"/>
      <c r="O265" s="3" t="inlineStr">
        <is>
          <t>https://vanillabonds.com/dossier-data/pdf/fastned/fastned-2023-annual-report.pdf#page=136</t>
        </is>
      </c>
    </row>
    <row r="266">
      <c r="A266" s="2" t="inlineStr">
        <is>
          <t>F265</t>
        </is>
      </c>
      <c r="B266" s="2" t="inlineStr">
        <is>
          <t>governance</t>
        </is>
      </c>
      <c r="C266" s="2" t="inlineStr">
        <is>
          <t>group_entity</t>
        </is>
      </c>
      <c r="D266" s="3" t="inlineStr">
        <is>
          <t>Group entity: entity; jurisdiction; revenue; ebitda; assets; debt; guarantor (yes / no)</t>
        </is>
      </c>
      <c r="E266" s="2" t="n"/>
      <c r="F266" s="2" t="n"/>
      <c r="G266" s="2" t="n"/>
      <c r="H266" s="3" t="inlineStr">
        <is>
          <t>entity: Fastned Verwaltungsgesellschaft mbH; jurisdiction: DE; guarantor: no (general partner of Fastned Deutschland GmbH &amp; Co KG, 100%)</t>
        </is>
      </c>
      <c r="I266" s="2" t="inlineStr">
        <is>
          <t>S1</t>
        </is>
      </c>
      <c r="J266" s="2" t="n">
        <v>117</v>
      </c>
      <c r="K266" s="3" t="inlineStr">
        <is>
          <t>Fastned Verwaltungsgesellschaft mbH General partner Fastned Deutschland GmbH &amp; Co KG Germany 100 100</t>
        </is>
      </c>
      <c r="L266" s="2" t="inlineStr">
        <is>
          <t>pend</t>
        </is>
      </c>
      <c r="M266" s="2" t="n"/>
      <c r="N266" s="2" t="n"/>
      <c r="O266" s="3" t="inlineStr">
        <is>
          <t>https://vanillabonds.com/dossier-data/pdf/fastned/fastned-2023-annual-report.pdf#page=117</t>
        </is>
      </c>
    </row>
    <row r="267">
      <c r="A267" s="2" t="inlineStr">
        <is>
          <t>F266</t>
        </is>
      </c>
      <c r="B267" s="2" t="inlineStr">
        <is>
          <t>governance</t>
        </is>
      </c>
      <c r="C267" s="2" t="inlineStr">
        <is>
          <t>group_entity</t>
        </is>
      </c>
      <c r="D267" s="3" t="inlineStr">
        <is>
          <t>Group entity: entity; jurisdiction; revenue; ebitda; assets; debt; guarantor (yes / no)</t>
        </is>
      </c>
      <c r="E267" s="2" t="n"/>
      <c r="F267" s="2" t="n"/>
      <c r="G267" s="2" t="n"/>
      <c r="H267" s="3" t="inlineStr">
        <is>
          <t>entity: Fastned Terra 1 B.V.; jurisdiction: NL; guarantor: no (91% owned at 31 Dec 2023, commercial operation of chargers at charging stations)</t>
        </is>
      </c>
      <c r="I267" s="2" t="inlineStr">
        <is>
          <t>S1</t>
        </is>
      </c>
      <c r="J267" s="2" t="n">
        <v>117</v>
      </c>
      <c r="K267" s="3" t="inlineStr">
        <is>
          <t>Fastned Terra 1 B.V. Commercial operation of chargers at charging stations Netherlands 91 —</t>
        </is>
      </c>
      <c r="L267" s="2" t="inlineStr">
        <is>
          <t>pend</t>
        </is>
      </c>
      <c r="M267" s="2" t="n"/>
      <c r="N267" s="2" t="n"/>
      <c r="O267" s="3" t="inlineStr">
        <is>
          <t>https://vanillabonds.com/dossier-data/pdf/fastned/fastned-2023-annual-report.pdf#page=117</t>
        </is>
      </c>
    </row>
    <row r="268">
      <c r="A268" s="2" t="inlineStr">
        <is>
          <t>F267</t>
        </is>
      </c>
      <c r="B268" s="2" t="inlineStr">
        <is>
          <t>governance</t>
        </is>
      </c>
      <c r="C268" s="2" t="inlineStr">
        <is>
          <t>group_entity</t>
        </is>
      </c>
      <c r="D268" s="3" t="inlineStr">
        <is>
          <t>Group entity: entity; jurisdiction; revenue; ebitda; assets; debt; guarantor (yes / no)</t>
        </is>
      </c>
      <c r="E268" s="2" t="n"/>
      <c r="F268" s="2" t="n"/>
      <c r="G268" s="2" t="n"/>
      <c r="H268" s="3" t="inlineStr">
        <is>
          <t>entity: Fastned Products B.V.; jurisdiction: NL; guarantor: no (100% owned, currently inactive)</t>
        </is>
      </c>
      <c r="I268" s="2" t="inlineStr">
        <is>
          <t>S1</t>
        </is>
      </c>
      <c r="J268" s="2" t="n">
        <v>117</v>
      </c>
      <c r="K268" s="3" t="inlineStr">
        <is>
          <t>Fastned Products B.V. Currently Inactive Netherlands 100 100</t>
        </is>
      </c>
      <c r="L268" s="2" t="inlineStr">
        <is>
          <t>pend</t>
        </is>
      </c>
      <c r="M268" s="2" t="n"/>
      <c r="N268" s="2" t="n"/>
      <c r="O268" s="3" t="inlineStr">
        <is>
          <t>https://vanillabonds.com/dossier-data/pdf/fastned/fastned-2023-annual-report.pdf#page=117</t>
        </is>
      </c>
    </row>
    <row r="269">
      <c r="A269" s="2" t="inlineStr">
        <is>
          <t>F268</t>
        </is>
      </c>
      <c r="B269" s="2" t="inlineStr">
        <is>
          <t>governance</t>
        </is>
      </c>
      <c r="C269" s="2" t="inlineStr">
        <is>
          <t>group_entity</t>
        </is>
      </c>
      <c r="D269" s="3" t="inlineStr">
        <is>
          <t>Group entity: entity; jurisdiction; revenue; ebitda; assets; debt; guarantor (yes / no)</t>
        </is>
      </c>
      <c r="E269" s="2" t="n"/>
      <c r="F269" s="2" t="n"/>
      <c r="G269" s="2" t="n"/>
      <c r="H269" s="3" t="inlineStr">
        <is>
          <t>entity: Fastned Beheer B.V.; jurisdiction: NL; guarantor: no (100% owned, management services; manages the chargers of Fastned Terra 1 B.V.)</t>
        </is>
      </c>
      <c r="I269" s="2" t="inlineStr">
        <is>
          <t>S1</t>
        </is>
      </c>
      <c r="J269" s="2" t="n">
        <v>118</v>
      </c>
      <c r="K269" s="3" t="inlineStr">
        <is>
          <t>Fastned Beheer B.V. performs administrative, financial, commercial and technical management of fast chargers owned by Fastned Terra 1 B.V.</t>
        </is>
      </c>
      <c r="L269" s="2" t="inlineStr">
        <is>
          <t>pend</t>
        </is>
      </c>
      <c r="M269" s="2" t="n"/>
      <c r="N269" s="2" t="n"/>
      <c r="O269" s="3" t="inlineStr">
        <is>
          <t>https://vanillabonds.com/dossier-data/pdf/fastned/fastned-2023-annual-report.pdf#page=118</t>
        </is>
      </c>
    </row>
    <row r="270">
      <c r="A270" s="2" t="inlineStr">
        <is>
          <t>F269</t>
        </is>
      </c>
      <c r="B270" s="2" t="inlineStr">
        <is>
          <t>governance</t>
        </is>
      </c>
      <c r="C270" s="2" t="inlineStr">
        <is>
          <t>group_entity</t>
        </is>
      </c>
      <c r="D270" s="3" t="inlineStr">
        <is>
          <t>Group entity: entity; jurisdiction; revenue; ebitda; assets; debt; guarantor (yes / no)</t>
        </is>
      </c>
      <c r="E270" s="2" t="n"/>
      <c r="F270" s="2" t="n">
        <v>21.1</v>
      </c>
      <c r="G270" s="2" t="n"/>
      <c r="H270" s="3" t="inlineStr">
        <is>
          <t>entity: Fastned Deutschland GmbH &amp; Co KG; jurisdiction: DE; debt: 21.1 (intercompany loan from Fastned B.V. at 5%, due 31.12.2024); guarantor: no (100% owned)</t>
        </is>
      </c>
      <c r="I270" s="2" t="inlineStr">
        <is>
          <t>S1</t>
        </is>
      </c>
      <c r="J270" s="2" t="n">
        <v>170</v>
      </c>
      <c r="K270" s="3" t="inlineStr">
        <is>
          <t>Loan account Fastned Deutschland GmbH &amp; Co KG 5 31.12.2024 21,120 — 21,120 18,620</t>
        </is>
      </c>
      <c r="L270" s="2" t="inlineStr">
        <is>
          <t>pend</t>
        </is>
      </c>
      <c r="M270" s="2" t="n"/>
      <c r="N270" s="2" t="n"/>
      <c r="O270" s="3" t="inlineStr">
        <is>
          <t>https://vanillabonds.com/dossier-data/pdf/fastned/fastned-2023-annual-report.pdf#page=170</t>
        </is>
      </c>
    </row>
    <row r="271">
      <c r="A271" s="2" t="inlineStr">
        <is>
          <t>F270</t>
        </is>
      </c>
      <c r="B271" s="2" t="inlineStr">
        <is>
          <t>governance</t>
        </is>
      </c>
      <c r="C271" s="2" t="inlineStr">
        <is>
          <t>group_entity</t>
        </is>
      </c>
      <c r="D271" s="3" t="inlineStr">
        <is>
          <t>Group entity: entity; jurisdiction; revenue; ebitda; assets; debt; guarantor (yes / no)</t>
        </is>
      </c>
      <c r="E271" s="2" t="n"/>
      <c r="F271" s="2" t="n">
        <v>28.3</v>
      </c>
      <c r="G271" s="2" t="n"/>
      <c r="H271" s="3" t="inlineStr">
        <is>
          <t>entity: Fastned UK Ltd; jurisdiction: GB; debt: 28.3 (intercompany loan at 6.15%, provision 8,262k); guarantor: no (100% owned, Company Nr 11140404)</t>
        </is>
      </c>
      <c r="I271" s="2" t="inlineStr">
        <is>
          <t>S1</t>
        </is>
      </c>
      <c r="J271" s="2" t="n">
        <v>170</v>
      </c>
      <c r="K271" s="3" t="inlineStr">
        <is>
          <t>Loan account Fastned UK Ltd 6.15 31.12.2024 28,326 (8,262) 20,064 12,078</t>
        </is>
      </c>
      <c r="L271" s="2" t="inlineStr">
        <is>
          <t>pend</t>
        </is>
      </c>
      <c r="M271" s="2" t="n"/>
      <c r="N271" s="2" t="n"/>
      <c r="O271" s="3" t="inlineStr">
        <is>
          <t>https://vanillabonds.com/dossier-data/pdf/fastned/fastned-2023-annual-report.pdf#page=170</t>
        </is>
      </c>
    </row>
    <row r="272">
      <c r="A272" s="2" t="inlineStr">
        <is>
          <t>F271</t>
        </is>
      </c>
      <c r="B272" s="2" t="inlineStr">
        <is>
          <t>governance</t>
        </is>
      </c>
      <c r="C272" s="2" t="inlineStr">
        <is>
          <t>group_entity</t>
        </is>
      </c>
      <c r="D272" s="3" t="inlineStr">
        <is>
          <t>Group entity: entity; jurisdiction; revenue; ebitda; assets; debt; guarantor (yes / no)</t>
        </is>
      </c>
      <c r="E272" s="2" t="n"/>
      <c r="F272" s="2" t="n">
        <v>23.8</v>
      </c>
      <c r="G272" s="2" t="n"/>
      <c r="H272" s="3" t="inlineStr">
        <is>
          <t>entity: Fastned Belgie BV; jurisdiction: BE; debt: 23.8 (intercompany loan at 6.15%, provision 3,455k); guarantor: no (100% owned, Company Nr 0702751835)</t>
        </is>
      </c>
      <c r="I272" s="2" t="inlineStr">
        <is>
          <t>S1</t>
        </is>
      </c>
      <c r="J272" s="2" t="n">
        <v>170</v>
      </c>
      <c r="K272" s="3" t="inlineStr">
        <is>
          <t>Loan account Fastned Belgie BV 6.15 31.12.2024 23,780 (3,455) 20,325 12,365</t>
        </is>
      </c>
      <c r="L272" s="2" t="inlineStr">
        <is>
          <t>pend</t>
        </is>
      </c>
      <c r="M272" s="2" t="n"/>
      <c r="N272" s="2" t="n"/>
      <c r="O272" s="3" t="inlineStr">
        <is>
          <t>https://vanillabonds.com/dossier-data/pdf/fastned/fastned-2023-annual-report.pdf#page=170</t>
        </is>
      </c>
    </row>
    <row r="273">
      <c r="A273" s="2" t="inlineStr">
        <is>
          <t>F272</t>
        </is>
      </c>
      <c r="B273" s="2" t="inlineStr">
        <is>
          <t>governance</t>
        </is>
      </c>
      <c r="C273" s="2" t="inlineStr">
        <is>
          <t>group_entity</t>
        </is>
      </c>
      <c r="D273" s="3" t="inlineStr">
        <is>
          <t>Group entity: entity; jurisdiction; revenue; ebitda; assets; debt; guarantor (yes / no)</t>
        </is>
      </c>
      <c r="E273" s="2" t="n"/>
      <c r="F273" s="2" t="n">
        <v>36.4</v>
      </c>
      <c r="G273" s="2" t="n"/>
      <c r="H273" s="3" t="inlineStr">
        <is>
          <t>entity: Fastned France SAS; jurisdiction: FR; debt: 36.4 (intercompany loan at 6.15% due 31.12.2025, provision 765k); guarantor: no (100% owned, Company Nr 853 300 010)</t>
        </is>
      </c>
      <c r="I273" s="2" t="inlineStr">
        <is>
          <t>S1</t>
        </is>
      </c>
      <c r="J273" s="2" t="n">
        <v>170</v>
      </c>
      <c r="K273" s="3" t="inlineStr">
        <is>
          <t>Loan account Fastned France SAS 6.15 31.12.2025 36,360 (765) 35,595 32,610</t>
        </is>
      </c>
      <c r="L273" s="2" t="inlineStr">
        <is>
          <t>pend</t>
        </is>
      </c>
      <c r="M273" s="2" t="n"/>
      <c r="N273" s="2" t="n"/>
      <c r="O273" s="3" t="inlineStr">
        <is>
          <t>https://vanillabonds.com/dossier-data/pdf/fastned/fastned-2023-annual-report.pdf#page=170</t>
        </is>
      </c>
    </row>
    <row r="274">
      <c r="A274" s="2" t="inlineStr">
        <is>
          <t>F273</t>
        </is>
      </c>
      <c r="B274" s="2" t="inlineStr">
        <is>
          <t>governance</t>
        </is>
      </c>
      <c r="C274" s="2" t="inlineStr">
        <is>
          <t>group_entity</t>
        </is>
      </c>
      <c r="D274" s="3" t="inlineStr">
        <is>
          <t>Group entity: entity; jurisdiction; revenue; ebitda; assets; debt; guarantor (yes / no)</t>
        </is>
      </c>
      <c r="E274" s="2" t="n"/>
      <c r="F274" s="2" t="n">
        <v>6</v>
      </c>
      <c r="G274" s="2" t="n"/>
      <c r="H274" s="3" t="inlineStr">
        <is>
          <t>entity: Fastned France SPV 1; jurisdiction: FR; debt: 6.0 (intercompany loan at 6.15% due 31.12.2027); guarantor: no (100% owned)</t>
        </is>
      </c>
      <c r="I274" s="2" t="inlineStr">
        <is>
          <t>S1</t>
        </is>
      </c>
      <c r="J274" s="2" t="n">
        <v>170</v>
      </c>
      <c r="K274" s="3" t="inlineStr">
        <is>
          <t>Loan account Fastned France SPV 6.15 31.12.2027 6,045 — 6,045 —</t>
        </is>
      </c>
      <c r="L274" s="2" t="inlineStr">
        <is>
          <t>pend</t>
        </is>
      </c>
      <c r="M274" s="2" t="n"/>
      <c r="N274" s="2" t="n"/>
      <c r="O274" s="3" t="inlineStr">
        <is>
          <t>https://vanillabonds.com/dossier-data/pdf/fastned/fastned-2023-annual-report.pdf#page=170</t>
        </is>
      </c>
    </row>
    <row r="275">
      <c r="A275" s="2" t="inlineStr">
        <is>
          <t>F274</t>
        </is>
      </c>
      <c r="B275" s="2" t="inlineStr">
        <is>
          <t>governance</t>
        </is>
      </c>
      <c r="C275" s="2" t="inlineStr">
        <is>
          <t>group_entity</t>
        </is>
      </c>
      <c r="D275" s="3" t="inlineStr">
        <is>
          <t>Group entity: entity; jurisdiction; revenue; ebitda; assets; debt; guarantor (yes / no)</t>
        </is>
      </c>
      <c r="E275" s="2" t="n"/>
      <c r="F275" s="2" t="n">
        <v>5.2</v>
      </c>
      <c r="G275" s="2" t="n"/>
      <c r="H275" s="3" t="inlineStr">
        <is>
          <t>entity: Fastned Switzerland AG; jurisdiction: CH; debt: 5.2 (intercompany loan at 6.15% due 31.12.2025); guarantor: no (100% owned, CHE-394.882.929)</t>
        </is>
      </c>
      <c r="I275" s="2" t="inlineStr">
        <is>
          <t>S1</t>
        </is>
      </c>
      <c r="J275" s="2" t="n">
        <v>170</v>
      </c>
      <c r="K275" s="3" t="inlineStr">
        <is>
          <t>Loan account Fastned Switzerland AG 6.15 31.12.2025 5,156 — 5,156 3,336</t>
        </is>
      </c>
      <c r="L275" s="2" t="inlineStr">
        <is>
          <t>pend</t>
        </is>
      </c>
      <c r="M275" s="2" t="n"/>
      <c r="N275" s="2" t="n"/>
      <c r="O275" s="3" t="inlineStr">
        <is>
          <t>https://vanillabonds.com/dossier-data/pdf/fastned/fastned-2023-annual-report.pdf#page=170</t>
        </is>
      </c>
    </row>
    <row r="276">
      <c r="A276" s="2" t="inlineStr">
        <is>
          <t>F275</t>
        </is>
      </c>
      <c r="B276" s="2" t="inlineStr">
        <is>
          <t>governance</t>
        </is>
      </c>
      <c r="C276" s="2" t="inlineStr">
        <is>
          <t>group_entity</t>
        </is>
      </c>
      <c r="D276" s="3" t="inlineStr">
        <is>
          <t>Group entity: entity; jurisdiction; revenue; ebitda; assets; debt; guarantor (yes / no)</t>
        </is>
      </c>
      <c r="E276" s="2" t="n"/>
      <c r="F276" s="2" t="n">
        <v>0.6</v>
      </c>
      <c r="G276" s="2" t="n"/>
      <c r="H276" s="3" t="inlineStr">
        <is>
          <t>entity: The Fast Charging Network B.V.; jurisdiction: NL; debt: 0.6 (intercompany loan at 6.15% due 31.12.2025); guarantor: no (100% owned)</t>
        </is>
      </c>
      <c r="I276" s="2" t="inlineStr">
        <is>
          <t>S1</t>
        </is>
      </c>
      <c r="J276" s="2" t="n">
        <v>170</v>
      </c>
      <c r="K276" s="3" t="inlineStr">
        <is>
          <t>Loan account The Fast Charging Network B.V. 6.15 31.12.2025 551 — 551 1,735</t>
        </is>
      </c>
      <c r="L276" s="2" t="inlineStr">
        <is>
          <t>pend</t>
        </is>
      </c>
      <c r="M276" s="2" t="n"/>
      <c r="N276" s="2" t="n"/>
      <c r="O276" s="3" t="inlineStr">
        <is>
          <t>https://vanillabonds.com/dossier-data/pdf/fastned/fastned-2023-annual-report.pdf#page=170</t>
        </is>
      </c>
    </row>
    <row r="277">
      <c r="A277" s="2" t="inlineStr">
        <is>
          <t>F276</t>
        </is>
      </c>
      <c r="B277" s="2" t="inlineStr">
        <is>
          <t>governance</t>
        </is>
      </c>
      <c r="C277" s="2" t="inlineStr">
        <is>
          <t>group_entity</t>
        </is>
      </c>
      <c r="D277" s="3" t="inlineStr">
        <is>
          <t>Group entity: entity; jurisdiction; revenue; ebitda; assets; debt; guarantor (yes / no)</t>
        </is>
      </c>
      <c r="E277" s="2" t="n"/>
      <c r="F277" s="2" t="n">
        <v>0.1</v>
      </c>
      <c r="G277" s="2" t="n"/>
      <c r="H277" s="3" t="inlineStr">
        <is>
          <t>entity: Fastned Italia SRL; jurisdiction: IT; debt: 0.1 (intercompany loan at 6.15% due 31.12.2028); guarantor: no (100% owned)</t>
        </is>
      </c>
      <c r="I277" s="2" t="inlineStr">
        <is>
          <t>S1</t>
        </is>
      </c>
      <c r="J277" s="2" t="n">
        <v>170</v>
      </c>
      <c r="K277" s="3" t="inlineStr">
        <is>
          <t>Loan account Fastned Italia SRL 6.15 31.12.2028 135 — 135 —</t>
        </is>
      </c>
      <c r="L277" s="2" t="inlineStr">
        <is>
          <t>pend</t>
        </is>
      </c>
      <c r="M277" s="2" t="n"/>
      <c r="N277" s="2" t="n"/>
      <c r="O277" s="3" t="inlineStr">
        <is>
          <t>https://vanillabonds.com/dossier-data/pdf/fastned/fastned-2023-annual-report.pdf#page=170</t>
        </is>
      </c>
    </row>
    <row r="278">
      <c r="A278" s="2" t="inlineStr">
        <is>
          <t>F277</t>
        </is>
      </c>
      <c r="B278" s="2" t="inlineStr">
        <is>
          <t>governance</t>
        </is>
      </c>
      <c r="C278" s="2" t="inlineStr">
        <is>
          <t>group_entity</t>
        </is>
      </c>
      <c r="D278" s="3" t="inlineStr">
        <is>
          <t>Group entity: entity; jurisdiction; revenue; ebitda; assets; debt; guarantor (yes / no)</t>
        </is>
      </c>
      <c r="E278" s="2" t="n"/>
      <c r="F278" s="2" t="n">
        <v>0.4</v>
      </c>
      <c r="G278" s="2" t="n"/>
      <c r="H278" s="3" t="inlineStr">
        <is>
          <t>entity: Fastned España SL; jurisdiction: ES; debt: 0.4 (intercompany loan at 6.15% due 31.12.2028); guarantor: no (100% owned, established 13 June 2023)</t>
        </is>
      </c>
      <c r="I278" s="2" t="inlineStr">
        <is>
          <t>S1</t>
        </is>
      </c>
      <c r="J278" s="2" t="n">
        <v>170</v>
      </c>
      <c r="K278" s="3" t="inlineStr">
        <is>
          <t>Loan account Fastned España SL 6.15 31.12.2028 411 — 411 —</t>
        </is>
      </c>
      <c r="L278" s="2" t="inlineStr">
        <is>
          <t>pend</t>
        </is>
      </c>
      <c r="M278" s="2" t="n"/>
      <c r="N278" s="2" t="n"/>
      <c r="O278" s="3" t="inlineStr">
        <is>
          <t>https://vanillabonds.com/dossier-data/pdf/fastned/fastned-2023-annual-report.pdf#page=170</t>
        </is>
      </c>
    </row>
    <row r="279">
      <c r="A279" s="2" t="inlineStr">
        <is>
          <t>F278</t>
        </is>
      </c>
      <c r="B279" s="2" t="inlineStr">
        <is>
          <t>governance</t>
        </is>
      </c>
      <c r="C279" s="2" t="inlineStr">
        <is>
          <t>group_entity</t>
        </is>
      </c>
      <c r="D279" s="3" t="inlineStr">
        <is>
          <t>Group entity: entity; jurisdiction; revenue; ebitda; assets; debt; guarantor (yes / no)</t>
        </is>
      </c>
      <c r="E279" s="2" t="n"/>
      <c r="F279" s="2" t="n">
        <v>0.5</v>
      </c>
      <c r="G279" s="2" t="n"/>
      <c r="H279" s="3" t="inlineStr">
        <is>
          <t>entity: Fastned Denmark ApS; jurisdiction: DK; debt: 0.5 (intercompany loan at 6.15% due 31.12.2028, provision 20k); guarantor: no (100% owned, incorporated 10 August 2023)</t>
        </is>
      </c>
      <c r="I279" s="2" t="inlineStr">
        <is>
          <t>S1</t>
        </is>
      </c>
      <c r="J279" s="2" t="n">
        <v>170</v>
      </c>
      <c r="K279" s="3" t="inlineStr">
        <is>
          <t>Loan account Fastned Denmark ApS 6.15 31.12.2028 545 (20) 525 —</t>
        </is>
      </c>
      <c r="L279" s="2" t="inlineStr">
        <is>
          <t>pend</t>
        </is>
      </c>
      <c r="M279" s="2" t="n"/>
      <c r="N279" s="2" t="n"/>
      <c r="O279" s="3" t="inlineStr">
        <is>
          <t>https://vanillabonds.com/dossier-data/pdf/fastned/fastned-2023-annual-report.pdf#page=170</t>
        </is>
      </c>
    </row>
    <row r="280">
      <c r="A280" s="2" t="inlineStr">
        <is>
          <t>F279</t>
        </is>
      </c>
      <c r="B280" s="2" t="inlineStr">
        <is>
          <t>governance</t>
        </is>
      </c>
      <c r="C280" s="2" t="inlineStr">
        <is>
          <t>group_entity</t>
        </is>
      </c>
      <c r="D280" s="3" t="inlineStr">
        <is>
          <t>Group entity: entity; jurisdiction; revenue; ebitda; assets; debt; guarantor (yes / no)</t>
        </is>
      </c>
      <c r="E280" s="2" t="n"/>
      <c r="F280" s="2" t="n">
        <v>0.1</v>
      </c>
      <c r="G280" s="2" t="n"/>
      <c r="H280" s="3" t="inlineStr">
        <is>
          <t>entity: Fastned Terra 2 B.V.; jurisdiction: NL; debt: 0.1 (intercompany loan at 6%, provision 60k); guarantor: no (100% owned)</t>
        </is>
      </c>
      <c r="I280" s="2" t="inlineStr">
        <is>
          <t>S1</t>
        </is>
      </c>
      <c r="J280" s="2" t="n">
        <v>170</v>
      </c>
      <c r="K280" s="3" t="inlineStr">
        <is>
          <t>Loan account Fastned Terra 2 B.V. 6 31.12.2024 117 (60) 57 99</t>
        </is>
      </c>
      <c r="L280" s="2" t="inlineStr">
        <is>
          <t>pend</t>
        </is>
      </c>
      <c r="M280" s="2" t="n"/>
      <c r="N280" s="2" t="n"/>
      <c r="O280" s="3" t="inlineStr">
        <is>
          <t>https://vanillabonds.com/dossier-data/pdf/fastned/fastned-2023-annual-report.pdf#page=170</t>
        </is>
      </c>
    </row>
    <row r="281">
      <c r="A281" s="2" t="inlineStr">
        <is>
          <t>F280</t>
        </is>
      </c>
      <c r="B281" s="2" t="inlineStr">
        <is>
          <t>governance</t>
        </is>
      </c>
      <c r="C281" s="2" t="inlineStr">
        <is>
          <t>board_member</t>
        </is>
      </c>
      <c r="D281" s="3" t="inlineStr">
        <is>
          <t>Board member: name; body (management / supervisory); role; since; independent (yes / no); committees</t>
        </is>
      </c>
      <c r="E281" s="2" t="n"/>
      <c r="F281" s="2" t="n"/>
      <c r="G281" s="2" t="n"/>
      <c r="H281" s="3" t="inlineStr">
        <is>
          <t>name: Liselotte Kooi; body: supervisory; role: Chair; since: 2023-06; independent: yes; committees: Audit, Remuneration and Nomination</t>
        </is>
      </c>
      <c r="I281" s="2" t="inlineStr">
        <is>
          <t>S1</t>
        </is>
      </c>
      <c r="J281" s="2" t="n">
        <v>80</v>
      </c>
      <c r="K281" s="3" t="inlineStr">
        <is>
          <t>Liselotte Kooi 1978 Chair 2023 2027 Dutch</t>
        </is>
      </c>
      <c r="L281" s="2" t="inlineStr">
        <is>
          <t>pend</t>
        </is>
      </c>
      <c r="M281" s="2" t="n"/>
      <c r="N281" s="2" t="n"/>
      <c r="O281" s="3" t="inlineStr">
        <is>
          <t>https://vanillabonds.com/dossier-data/pdf/fastned/fastned-2023-annual-report.pdf#page=80</t>
        </is>
      </c>
    </row>
    <row r="282">
      <c r="A282" s="2" t="inlineStr">
        <is>
          <t>F281</t>
        </is>
      </c>
      <c r="B282" s="2" t="inlineStr">
        <is>
          <t>governance</t>
        </is>
      </c>
      <c r="C282" s="2" t="inlineStr">
        <is>
          <t>board_member</t>
        </is>
      </c>
      <c r="D282" s="3" t="inlineStr">
        <is>
          <t>Board member: name; body (management / supervisory); role; since; independent (yes / no); committees</t>
        </is>
      </c>
      <c r="E282" s="2" t="n"/>
      <c r="F282" s="2" t="n"/>
      <c r="G282" s="2" t="n"/>
      <c r="H282" s="3" t="inlineStr">
        <is>
          <t>name: Jérôme Janssen; body: supervisory; role: member, co-head infrastructure equity at Schroders Capital; since: 2022; independent: no; committees: Audit, Remuneration and Nomination</t>
        </is>
      </c>
      <c r="I282" s="2" t="inlineStr">
        <is>
          <t>S1</t>
        </is>
      </c>
      <c r="J282" s="2" t="n">
        <v>80</v>
      </c>
      <c r="K282" s="3" t="inlineStr">
        <is>
          <t>Jérôme Janssen 1979 Member 2022 2026 French</t>
        </is>
      </c>
      <c r="L282" s="2" t="inlineStr">
        <is>
          <t>pend</t>
        </is>
      </c>
      <c r="M282" s="2" t="n"/>
      <c r="N282" s="2" t="n"/>
      <c r="O282" s="3" t="inlineStr">
        <is>
          <t>https://vanillabonds.com/dossier-data/pdf/fastned/fastned-2023-annual-report.pdf#page=80</t>
        </is>
      </c>
    </row>
    <row r="283">
      <c r="A283" s="2" t="inlineStr">
        <is>
          <t>F282</t>
        </is>
      </c>
      <c r="B283" s="2" t="inlineStr">
        <is>
          <t>governance</t>
        </is>
      </c>
      <c r="C283" s="2" t="inlineStr">
        <is>
          <t>board_member</t>
        </is>
      </c>
      <c r="D283" s="3" t="inlineStr">
        <is>
          <t>Board member: name; body (management / supervisory); role; since; independent (yes / no); committees</t>
        </is>
      </c>
      <c r="E283" s="2" t="n"/>
      <c r="F283" s="2" t="n"/>
      <c r="G283" s="2" t="n"/>
      <c r="H283" s="3" t="inlineStr">
        <is>
          <t>name: Bart Lubbers; body: supervisory; role: member (Chair until June 2023), co-founder; since: 2019; independent: no; committees: Audit, Remuneration and Nomination</t>
        </is>
      </c>
      <c r="I283" s="2" t="inlineStr">
        <is>
          <t>S1</t>
        </is>
      </c>
      <c r="J283" s="2" t="n">
        <v>81</v>
      </c>
      <c r="K283" s="3" t="inlineStr">
        <is>
          <t>Bart Lubbers is a non-independent member of the Supervisory Board. He is one of the founders of Fastned.</t>
        </is>
      </c>
      <c r="L283" s="2" t="inlineStr">
        <is>
          <t>pend</t>
        </is>
      </c>
      <c r="M283" s="2" t="n"/>
      <c r="N283" s="2" t="n"/>
      <c r="O283" s="3" t="inlineStr">
        <is>
          <t>https://vanillabonds.com/dossier-data/pdf/fastned/fastned-2023-annual-report.pdf#page=81</t>
        </is>
      </c>
    </row>
    <row r="284">
      <c r="A284" s="2" t="inlineStr">
        <is>
          <t>F283</t>
        </is>
      </c>
      <c r="B284" s="2" t="inlineStr">
        <is>
          <t>governance</t>
        </is>
      </c>
      <c r="C284" s="2" t="inlineStr">
        <is>
          <t>board_member</t>
        </is>
      </c>
      <c r="D284" s="3" t="inlineStr">
        <is>
          <t>Board member: name; body (management / supervisory); role; since; independent (yes / no); committees</t>
        </is>
      </c>
      <c r="E284" s="2" t="n"/>
      <c r="F284" s="2" t="n"/>
      <c r="G284" s="2" t="n"/>
      <c r="H284" s="3" t="inlineStr">
        <is>
          <t>name: Nancy Kabalt; body: supervisory; role: member; since: 2021; independent: yes; committees: Audit, Remuneration and Nomination</t>
        </is>
      </c>
      <c r="I284" s="2" t="inlineStr">
        <is>
          <t>S1</t>
        </is>
      </c>
      <c r="J284" s="2" t="n">
        <v>82</v>
      </c>
      <c r="K284" s="3" t="inlineStr">
        <is>
          <t>Nancy Kabalt is an independent member of the Supervisory Board.</t>
        </is>
      </c>
      <c r="L284" s="2" t="inlineStr">
        <is>
          <t>pend</t>
        </is>
      </c>
      <c r="M284" s="2" t="n"/>
      <c r="N284" s="2" t="n"/>
      <c r="O284" s="3" t="inlineStr">
        <is>
          <t>https://vanillabonds.com/dossier-data/pdf/fastned/fastned-2023-annual-report.pdf#page=82</t>
        </is>
      </c>
    </row>
    <row r="285">
      <c r="A285" s="2" t="inlineStr">
        <is>
          <t>F284</t>
        </is>
      </c>
      <c r="B285" s="2" t="inlineStr">
        <is>
          <t>governance</t>
        </is>
      </c>
      <c r="C285" s="2" t="inlineStr">
        <is>
          <t>board_member</t>
        </is>
      </c>
      <c r="D285" s="3" t="inlineStr">
        <is>
          <t>Board member: name; body (management / supervisory); role; since; independent (yes / no); committees</t>
        </is>
      </c>
      <c r="E285" s="2" t="n"/>
      <c r="F285" s="2" t="n"/>
      <c r="G285" s="2" t="n"/>
      <c r="H285" s="3" t="inlineStr">
        <is>
          <t>name: Maaike Veen; body: FAST foundation board (trust office); role: Chair; since: 2021-06-03</t>
        </is>
      </c>
      <c r="I285" s="2" t="inlineStr">
        <is>
          <t>S1</t>
        </is>
      </c>
      <c r="J285" s="2" t="n">
        <v>83</v>
      </c>
      <c r="K285" s="2" t="inlineStr">
        <is>
          <t>Maaike Veen 1971 Chair 2021 2025 Dutch</t>
        </is>
      </c>
      <c r="L285" s="2" t="inlineStr">
        <is>
          <t>pend</t>
        </is>
      </c>
      <c r="M285" s="2" t="n"/>
      <c r="N285" s="2" t="n"/>
      <c r="O285" s="3" t="inlineStr">
        <is>
          <t>https://vanillabonds.com/dossier-data/pdf/fastned/fastned-2023-annual-report.pdf#page=83</t>
        </is>
      </c>
    </row>
    <row r="286">
      <c r="A286" s="2" t="inlineStr">
        <is>
          <t>F285</t>
        </is>
      </c>
      <c r="B286" s="2" t="inlineStr">
        <is>
          <t>governance</t>
        </is>
      </c>
      <c r="C286" s="2" t="inlineStr">
        <is>
          <t>board_member</t>
        </is>
      </c>
      <c r="D286" s="3" t="inlineStr">
        <is>
          <t>Board member: name; body (management / supervisory); role; since; independent (yes / no); committees</t>
        </is>
      </c>
      <c r="E286" s="2" t="n"/>
      <c r="F286" s="2" t="n"/>
      <c r="G286" s="2" t="n"/>
      <c r="H286" s="3" t="inlineStr">
        <is>
          <t>name: Henk Pals; body: FAST foundation board (trust office); role: member (secretary); since: 2019-05-24</t>
        </is>
      </c>
      <c r="I286" s="2" t="inlineStr">
        <is>
          <t>S1</t>
        </is>
      </c>
      <c r="J286" s="2" t="n">
        <v>83</v>
      </c>
      <c r="K286" s="2" t="inlineStr">
        <is>
          <t>Henk Pals 1959 Member 2019 2027 Dutch</t>
        </is>
      </c>
      <c r="L286" s="2" t="inlineStr">
        <is>
          <t>pend</t>
        </is>
      </c>
      <c r="M286" s="2" t="n"/>
      <c r="N286" s="2" t="n"/>
      <c r="O286" s="3" t="inlineStr">
        <is>
          <t>https://vanillabonds.com/dossier-data/pdf/fastned/fastned-2023-annual-report.pdf#page=83</t>
        </is>
      </c>
    </row>
    <row r="287">
      <c r="A287" s="2" t="inlineStr">
        <is>
          <t>F286</t>
        </is>
      </c>
      <c r="B287" s="2" t="inlineStr">
        <is>
          <t>governance</t>
        </is>
      </c>
      <c r="C287" s="2" t="inlineStr">
        <is>
          <t>board_member</t>
        </is>
      </c>
      <c r="D287" s="3" t="inlineStr">
        <is>
          <t>Board member: name; body (management / supervisory); role; since; independent (yes / no); committees</t>
        </is>
      </c>
      <c r="E287" s="2" t="n"/>
      <c r="F287" s="2" t="n"/>
      <c r="G287" s="2" t="n"/>
      <c r="H287" s="3" t="inlineStr">
        <is>
          <t>name: Michiel Weghs; body: FAST foundation board (trust office); role: member; since: 2023-06</t>
        </is>
      </c>
      <c r="I287" s="2" t="inlineStr">
        <is>
          <t>S1</t>
        </is>
      </c>
      <c r="J287" s="2" t="n">
        <v>83</v>
      </c>
      <c r="K287" s="3" t="inlineStr">
        <is>
          <t>Michiel Weghs 1983 Member 2023 2027 Dutch</t>
        </is>
      </c>
      <c r="L287" s="2" t="inlineStr">
        <is>
          <t>pend</t>
        </is>
      </c>
      <c r="M287" s="2" t="n"/>
      <c r="N287" s="2" t="n"/>
      <c r="O287" s="3" t="inlineStr">
        <is>
          <t>https://vanillabonds.com/dossier-data/pdf/fastned/fastned-2023-annual-report.pdf#page=83</t>
        </is>
      </c>
    </row>
    <row r="288">
      <c r="A288" s="2" t="inlineStr">
        <is>
          <t>F287</t>
        </is>
      </c>
      <c r="B288" s="2" t="inlineStr">
        <is>
          <t>governance</t>
        </is>
      </c>
      <c r="C288" s="2" t="inlineStr">
        <is>
          <t>board_member</t>
        </is>
      </c>
      <c r="D288" s="3" t="inlineStr">
        <is>
          <t>Board member: name; body (management / supervisory); role; since; independent (yes / no); committees</t>
        </is>
      </c>
      <c r="E288" s="2" t="n"/>
      <c r="F288" s="2" t="n"/>
      <c r="G288" s="2" t="n"/>
      <c r="H288" s="3" t="inlineStr">
        <is>
          <t>name: Michiel Langezaal; body: management; role: CEO, Chair of the Management Board, co-founder; since: 2012; independent: no</t>
        </is>
      </c>
      <c r="I288" s="2" t="inlineStr">
        <is>
          <t>S1</t>
        </is>
      </c>
      <c r="J288" s="2" t="n">
        <v>85</v>
      </c>
      <c r="K288" s="3" t="inlineStr">
        <is>
          <t>Michiel Langezaal 1981 Chief Executive Officer 2012 Dutch</t>
        </is>
      </c>
      <c r="L288" s="2" t="inlineStr">
        <is>
          <t>pend</t>
        </is>
      </c>
      <c r="M288" s="2" t="n"/>
      <c r="N288" s="2" t="n"/>
      <c r="O288" s="3" t="inlineStr">
        <is>
          <t>https://vanillabonds.com/dossier-data/pdf/fastned/fastned-2023-annual-report.pdf#page=85</t>
        </is>
      </c>
    </row>
    <row r="289">
      <c r="A289" s="2" t="inlineStr">
        <is>
          <t>F288</t>
        </is>
      </c>
      <c r="B289" s="2" t="inlineStr">
        <is>
          <t>governance</t>
        </is>
      </c>
      <c r="C289" s="2" t="inlineStr">
        <is>
          <t>board_member</t>
        </is>
      </c>
      <c r="D289" s="3" t="inlineStr">
        <is>
          <t>Board member: name; body (management / supervisory); role; since; independent (yes / no); committees</t>
        </is>
      </c>
      <c r="E289" s="2" t="n"/>
      <c r="F289" s="2" t="n"/>
      <c r="G289" s="2" t="n"/>
      <c r="H289" s="3" t="inlineStr">
        <is>
          <t>name: Victor van Dijk; body: management; role: CFO, statutory director; since: 2019; independent: no</t>
        </is>
      </c>
      <c r="I289" s="2" t="inlineStr">
        <is>
          <t>S1</t>
        </is>
      </c>
      <c r="J289" s="2" t="n">
        <v>85</v>
      </c>
      <c r="K289" s="3" t="inlineStr">
        <is>
          <t>Victor van Dijk 1979 Chief Financial Officer 2019 Dutch</t>
        </is>
      </c>
      <c r="L289" s="2" t="inlineStr">
        <is>
          <t>pend</t>
        </is>
      </c>
      <c r="M289" s="2" t="n"/>
      <c r="N289" s="2" t="n"/>
      <c r="O289" s="3" t="inlineStr">
        <is>
          <t>https://vanillabonds.com/dossier-data/pdf/fastned/fastned-2023-annual-report.pdf#page=85</t>
        </is>
      </c>
    </row>
    <row r="290">
      <c r="A290" s="2" t="inlineStr">
        <is>
          <t>F289</t>
        </is>
      </c>
      <c r="B290" s="2" t="inlineStr">
        <is>
          <t>governance</t>
        </is>
      </c>
      <c r="C290" s="2" t="inlineStr">
        <is>
          <t>board_member</t>
        </is>
      </c>
      <c r="D290" s="3" t="inlineStr">
        <is>
          <t>Board member: name; body (management / supervisory); role; since; independent (yes / no); committees</t>
        </is>
      </c>
      <c r="E290" s="2" t="n"/>
      <c r="F290" s="2" t="n"/>
      <c r="G290" s="2" t="n"/>
      <c r="H290" s="3" t="inlineStr">
        <is>
          <t>name: Bart Lubbers; body: supervisory; role: member; independent: no (37.0% of DRs via Wilhelmina-Dok B.V.)</t>
        </is>
      </c>
      <c r="I290" s="2" t="inlineStr">
        <is>
          <t>S1</t>
        </is>
      </c>
      <c r="J290" s="2" t="n">
        <v>118</v>
      </c>
      <c r="K290" s="3" t="inlineStr">
        <is>
          <t>The supervisory board of Fastned B.V. consists of Liselotte Kooi (chair), Bart Lubbers, Jérôme Janssen and Nancy Kabalt.</t>
        </is>
      </c>
      <c r="L290" s="2" t="inlineStr">
        <is>
          <t>pend</t>
        </is>
      </c>
      <c r="M290" s="2" t="n"/>
      <c r="N290" s="2" t="n"/>
      <c r="O290" s="3" t="inlineStr">
        <is>
          <t>https://vanillabonds.com/dossier-data/pdf/fastned/fastned-2023-annual-report.pdf#page=118</t>
        </is>
      </c>
    </row>
    <row r="291">
      <c r="A291" s="2" t="inlineStr">
        <is>
          <t>F290</t>
        </is>
      </c>
      <c r="B291" s="2" t="inlineStr">
        <is>
          <t>governance</t>
        </is>
      </c>
      <c r="C291" s="2" t="inlineStr">
        <is>
          <t>board_member</t>
        </is>
      </c>
      <c r="D291" s="3" t="inlineStr">
        <is>
          <t>Board member: name; body (management / supervisory); role; since; independent (yes / no); committees</t>
        </is>
      </c>
      <c r="E291" s="2" t="n"/>
      <c r="F291" s="2" t="n"/>
      <c r="G291" s="2" t="n"/>
      <c r="H291" s="3" t="inlineStr">
        <is>
          <t>name: Nancy Kabalt; body: supervisory; role: member</t>
        </is>
      </c>
      <c r="I291" s="2" t="inlineStr">
        <is>
          <t>S1</t>
        </is>
      </c>
      <c r="J291" s="2" t="n">
        <v>118</v>
      </c>
      <c r="K291" s="3" t="inlineStr">
        <is>
          <t>The supervisory board of Fastned B.V. consists of Liselotte Kooi (chair), Bart Lubbers, Jérôme Janssen and Nancy Kabalt.</t>
        </is>
      </c>
      <c r="L291" s="2" t="inlineStr">
        <is>
          <t>pend</t>
        </is>
      </c>
      <c r="M291" s="2" t="n"/>
      <c r="N291" s="2" t="n"/>
      <c r="O291" s="3" t="inlineStr">
        <is>
          <t>https://vanillabonds.com/dossier-data/pdf/fastned/fastned-2023-annual-report.pdf#page=118</t>
        </is>
      </c>
    </row>
    <row r="292">
      <c r="A292" s="2" t="inlineStr">
        <is>
          <t>F291</t>
        </is>
      </c>
      <c r="B292" s="2" t="inlineStr">
        <is>
          <t>governance</t>
        </is>
      </c>
      <c r="C292" s="2" t="inlineStr">
        <is>
          <t>board_member</t>
        </is>
      </c>
      <c r="D292" s="3" t="inlineStr">
        <is>
          <t>Board member: name; body (management / supervisory); role; since; independent (yes / no); committees</t>
        </is>
      </c>
      <c r="E292" s="2" t="n"/>
      <c r="F292" s="2" t="n"/>
      <c r="G292" s="2" t="n"/>
      <c r="H292" s="3" t="inlineStr">
        <is>
          <t>name: Liselotte Kooi; body: supervisory; role: chair; since: 2023-06-08 (chair); committees: not stated (also on the FAST Board)</t>
        </is>
      </c>
      <c r="I292" s="2" t="inlineStr">
        <is>
          <t>S1</t>
        </is>
      </c>
      <c r="J292" s="2" t="n">
        <v>153</v>
      </c>
      <c r="K292" s="3" t="inlineStr">
        <is>
          <t>Liselotte Kooi was appointed chair of the Supervisory Board per 8 June 2023.</t>
        </is>
      </c>
      <c r="L292" s="2" t="inlineStr">
        <is>
          <t>pend</t>
        </is>
      </c>
      <c r="M292" s="2" t="n"/>
      <c r="N292" s="2" t="n"/>
      <c r="O292" s="3" t="inlineStr">
        <is>
          <t>https://vanillabonds.com/dossier-data/pdf/fastned/fastned-2023-annual-report.pdf#page=153</t>
        </is>
      </c>
    </row>
    <row r="293">
      <c r="A293" s="2" t="inlineStr">
        <is>
          <t>F292</t>
        </is>
      </c>
      <c r="B293" s="2" t="inlineStr">
        <is>
          <t>governance</t>
        </is>
      </c>
      <c r="C293" s="2" t="inlineStr">
        <is>
          <t>board_member</t>
        </is>
      </c>
      <c r="D293" s="3" t="inlineStr">
        <is>
          <t>Board member: name; body (management / supervisory); role; since; independent (yes / no); committees</t>
        </is>
      </c>
      <c r="E293" s="2" t="n"/>
      <c r="F293" s="2" t="n"/>
      <c r="G293" s="2" t="n"/>
      <c r="H293" s="3" t="inlineStr">
        <is>
          <t>name: Maaike Veen; body: FAST Board (Fastned Administratie Stichting); role: member</t>
        </is>
      </c>
      <c r="I293" s="2" t="inlineStr">
        <is>
          <t>S1</t>
        </is>
      </c>
      <c r="J293" s="2" t="n">
        <v>153</v>
      </c>
      <c r="K293" s="2" t="inlineStr">
        <is>
          <t>Maaike Veen 16 13</t>
        </is>
      </c>
      <c r="L293" s="2" t="inlineStr">
        <is>
          <t>pend</t>
        </is>
      </c>
      <c r="M293" s="2" t="n"/>
      <c r="N293" s="2" t="n"/>
      <c r="O293" s="3" t="inlineStr">
        <is>
          <t>https://vanillabonds.com/dossier-data/pdf/fastned/fastned-2023-annual-report.pdf#page=153</t>
        </is>
      </c>
    </row>
    <row r="294">
      <c r="A294" s="2" t="inlineStr">
        <is>
          <t>F293</t>
        </is>
      </c>
      <c r="B294" s="2" t="inlineStr">
        <is>
          <t>governance</t>
        </is>
      </c>
      <c r="C294" s="2" t="inlineStr">
        <is>
          <t>board_member</t>
        </is>
      </c>
      <c r="D294" s="3" t="inlineStr">
        <is>
          <t>Board member: name; body (management / supervisory); role; since; independent (yes / no); committees</t>
        </is>
      </c>
      <c r="E294" s="2" t="n"/>
      <c r="F294" s="2" t="n"/>
      <c r="G294" s="2" t="n"/>
      <c r="H294" s="3" t="inlineStr">
        <is>
          <t>name: Henk Pals; body: FAST Board; role: member</t>
        </is>
      </c>
      <c r="I294" s="2" t="inlineStr">
        <is>
          <t>S1</t>
        </is>
      </c>
      <c r="J294" s="2" t="n">
        <v>153</v>
      </c>
      <c r="K294" s="2" t="inlineStr">
        <is>
          <t>Henk Pals 11 10</t>
        </is>
      </c>
      <c r="L294" s="2" t="inlineStr">
        <is>
          <t>pend</t>
        </is>
      </c>
      <c r="M294" s="2" t="n"/>
      <c r="N294" s="2" t="n"/>
      <c r="O294" s="3" t="inlineStr">
        <is>
          <t>https://vanillabonds.com/dossier-data/pdf/fastned/fastned-2023-annual-report.pdf#page=153</t>
        </is>
      </c>
    </row>
    <row r="295">
      <c r="A295" s="2" t="inlineStr">
        <is>
          <t>F294</t>
        </is>
      </c>
      <c r="B295" s="2" t="inlineStr">
        <is>
          <t>governance</t>
        </is>
      </c>
      <c r="C295" s="2" t="inlineStr">
        <is>
          <t>board_member</t>
        </is>
      </c>
      <c r="D295" s="3" t="inlineStr">
        <is>
          <t>Board member: name; body (management / supervisory); role; since; independent (yes / no); committees</t>
        </is>
      </c>
      <c r="E295" s="2" t="n"/>
      <c r="F295" s="2" t="n"/>
      <c r="G295" s="2" t="n"/>
      <c r="H295" s="3" t="inlineStr">
        <is>
          <t>name: Michiel Weghs; body: FAST Board; role: member; since: 2023-06-08</t>
        </is>
      </c>
      <c r="I295" s="2" t="inlineStr">
        <is>
          <t>S1</t>
        </is>
      </c>
      <c r="J295" s="2" t="n">
        <v>153</v>
      </c>
      <c r="K295" s="3" t="inlineStr">
        <is>
          <t>Michiel Weghs was appointed as a new member of the FAST Board per the same date.</t>
        </is>
      </c>
      <c r="L295" s="2" t="inlineStr">
        <is>
          <t>pend</t>
        </is>
      </c>
      <c r="M295" s="2" t="n"/>
      <c r="N295" s="2" t="n"/>
      <c r="O295" s="3" t="inlineStr">
        <is>
          <t>https://vanillabonds.com/dossier-data/pdf/fastned/fastned-2023-annual-report.pdf#page=153</t>
        </is>
      </c>
    </row>
    <row r="296">
      <c r="A296" s="2" t="inlineStr">
        <is>
          <t>F295</t>
        </is>
      </c>
      <c r="B296" s="2" t="inlineStr">
        <is>
          <t>governance</t>
        </is>
      </c>
      <c r="C296" s="2" t="inlineStr">
        <is>
          <t>board_member</t>
        </is>
      </c>
      <c r="D296" s="3" t="inlineStr">
        <is>
          <t>Board member: name; body (management / supervisory); role; since; independent (yes / no); committees</t>
        </is>
      </c>
      <c r="E296" s="2" t="n"/>
      <c r="F296" s="2" t="n"/>
      <c r="G296" s="2" t="n"/>
      <c r="H296" s="3" t="inlineStr">
        <is>
          <t>name: Jérôme Janssen; body: supervisory; role: member; since: 2022; committees: not stated (no remuneration, travel expenses up to EUR 7.5k)</t>
        </is>
      </c>
      <c r="I296" s="2" t="inlineStr">
        <is>
          <t>S1</t>
        </is>
      </c>
      <c r="J296" s="2" t="n">
        <v>155</v>
      </c>
      <c r="K296" s="3" t="inlineStr">
        <is>
          <t>In 2022, Jérôme Janssen was appointed member of the Supervisory Board. He does not receive a remuneration.</t>
        </is>
      </c>
      <c r="L296" s="2" t="inlineStr">
        <is>
          <t>pend</t>
        </is>
      </c>
      <c r="M296" s="2" t="n"/>
      <c r="N296" s="2" t="n"/>
      <c r="O296" s="3" t="inlineStr">
        <is>
          <t>https://vanillabonds.com/dossier-data/pdf/fastned/fastned-2023-annual-report.pdf#page=155</t>
        </is>
      </c>
    </row>
    <row r="297">
      <c r="A297" s="2" t="inlineStr">
        <is>
          <t>F296</t>
        </is>
      </c>
      <c r="B297" s="2" t="inlineStr">
        <is>
          <t>governance</t>
        </is>
      </c>
      <c r="C297" s="2" t="inlineStr">
        <is>
          <t>board_member</t>
        </is>
      </c>
      <c r="D297" s="3" t="inlineStr">
        <is>
          <t>Board member: name; body (management / supervisory); role; since; independent (yes / no); committees</t>
        </is>
      </c>
      <c r="E297" s="2" t="n"/>
      <c r="F297" s="2" t="n"/>
      <c r="G297" s="2" t="n"/>
      <c r="H297" s="3" t="inlineStr">
        <is>
          <t>name: Michiel Langezaal; body: management; role: CEO</t>
        </is>
      </c>
      <c r="I297" s="2" t="inlineStr">
        <is>
          <t>S1</t>
        </is>
      </c>
      <c r="J297" s="2" t="n">
        <v>175</v>
      </c>
      <c r="K297" s="3" t="inlineStr">
        <is>
          <t>Management Board Michiel Langezaal CEO Victor van Dijk CFO</t>
        </is>
      </c>
      <c r="L297" s="2" t="inlineStr">
        <is>
          <t>pend</t>
        </is>
      </c>
      <c r="M297" s="2" t="n"/>
      <c r="N297" s="2" t="n"/>
      <c r="O297" s="3" t="inlineStr">
        <is>
          <t>https://vanillabonds.com/dossier-data/pdf/fastned/fastned-2023-annual-report.pdf#page=175</t>
        </is>
      </c>
    </row>
    <row r="298">
      <c r="A298" s="2" t="inlineStr">
        <is>
          <t>F297</t>
        </is>
      </c>
      <c r="B298" s="2" t="inlineStr">
        <is>
          <t>governance</t>
        </is>
      </c>
      <c r="C298" s="2" t="inlineStr">
        <is>
          <t>board_member</t>
        </is>
      </c>
      <c r="D298" s="3" t="inlineStr">
        <is>
          <t>Board member: name; body (management / supervisory); role; since; independent (yes / no); committees</t>
        </is>
      </c>
      <c r="E298" s="2" t="n"/>
      <c r="F298" s="2" t="n"/>
      <c r="G298" s="2" t="n"/>
      <c r="H298" s="3" t="inlineStr">
        <is>
          <t>name: Victor van Dijk; body: management; role: CFO</t>
        </is>
      </c>
      <c r="I298" s="2" t="inlineStr">
        <is>
          <t>S1</t>
        </is>
      </c>
      <c r="J298" s="2" t="n">
        <v>175</v>
      </c>
      <c r="K298" s="3" t="inlineStr">
        <is>
          <t>Management Board Michiel Langezaal CEO Victor van Dijk CFO</t>
        </is>
      </c>
      <c r="L298" s="2" t="inlineStr">
        <is>
          <t>pend</t>
        </is>
      </c>
      <c r="M298" s="2" t="n"/>
      <c r="N298" s="2" t="n"/>
      <c r="O298" s="3" t="inlineStr">
        <is>
          <t>https://vanillabonds.com/dossier-data/pdf/fastned/fastned-2023-annual-report.pdf#page=175</t>
        </is>
      </c>
    </row>
    <row r="299">
      <c r="A299" s="2" t="inlineStr">
        <is>
          <t>F298</t>
        </is>
      </c>
      <c r="B299" s="2" t="inlineStr">
        <is>
          <t>governance</t>
        </is>
      </c>
      <c r="C299" s="2" t="inlineStr">
        <is>
          <t>related_party_flow</t>
        </is>
      </c>
      <c r="D299" s="3" t="inlineStr">
        <is>
          <t>Related-party flow: counterparty; kind (fee, rent, dividend, buyback, loan); amount; year; terms</t>
        </is>
      </c>
      <c r="E299" s="2" t="n"/>
      <c r="F299" s="2" t="n"/>
      <c r="G299" s="2" t="n"/>
      <c r="H299" s="3" t="inlineStr">
        <is>
          <t>counterparty: Bart Lubbers (Supervisory Board member, co-founder); kind: company car made available by the Company; year: 2023 (ended July 2023); terms: benefit in kind; all SB members also get unlimited charging</t>
        </is>
      </c>
      <c r="I299" s="2" t="inlineStr">
        <is>
          <t>S1</t>
        </is>
      </c>
      <c r="J299" s="2" t="n">
        <v>72</v>
      </c>
      <c r="K299" s="3" t="inlineStr">
        <is>
          <t>In the past, the Company made a company car available to Bart Lubbers. This ended in July 2023.</t>
        </is>
      </c>
      <c r="L299" s="2" t="inlineStr">
        <is>
          <t>pend</t>
        </is>
      </c>
      <c r="M299" s="2" t="n"/>
      <c r="N299" s="2" t="n"/>
      <c r="O299" s="3" t="inlineStr">
        <is>
          <t>https://vanillabonds.com/dossier-data/pdf/fastned/fastned-2023-annual-report.pdf#page=72</t>
        </is>
      </c>
    </row>
    <row r="300">
      <c r="A300" s="2" t="inlineStr">
        <is>
          <t>F299</t>
        </is>
      </c>
      <c r="B300" s="2" t="inlineStr">
        <is>
          <t>governance</t>
        </is>
      </c>
      <c r="C300" s="2" t="inlineStr">
        <is>
          <t>related_party_flow</t>
        </is>
      </c>
      <c r="D300" s="3" t="inlineStr">
        <is>
          <t>Related-party flow: counterparty; kind (fee, rent, dividend, buyback, loan); amount; year; terms</t>
        </is>
      </c>
      <c r="E300" s="2" t="n"/>
      <c r="F300" s="2" t="n"/>
      <c r="G300" s="2" t="n"/>
      <c r="H300" s="3" t="inlineStr">
        <is>
          <t>counterparty: private investors in Fastned Terra 1 B.V.; kind: acquisition of 90.8% of shares; year: 2023; terms: settlement of pre-existing relationship EUR 0.6m recognised in other gains and losses</t>
        </is>
      </c>
      <c r="I300" s="2" t="inlineStr">
        <is>
          <t>S1</t>
        </is>
      </c>
      <c r="J300" s="2" t="n">
        <v>123</v>
      </c>
      <c r="K300" s="3" t="inlineStr">
        <is>
          <t>The increase in net loss is mainly explained by the acquisition of Terra 1 B.V.</t>
        </is>
      </c>
      <c r="L300" s="2" t="inlineStr">
        <is>
          <t>pend</t>
        </is>
      </c>
      <c r="M300" s="2" t="n"/>
      <c r="N300" s="2" t="n"/>
      <c r="O300" s="3" t="inlineStr">
        <is>
          <t>https://vanillabonds.com/dossier-data/pdf/fastned/fastned-2023-annual-report.pdf#page=123</t>
        </is>
      </c>
    </row>
    <row r="301">
      <c r="A301" s="2" t="inlineStr">
        <is>
          <t>F300</t>
        </is>
      </c>
      <c r="B301" s="2" t="inlineStr">
        <is>
          <t>governance</t>
        </is>
      </c>
      <c r="C301" s="2" t="inlineStr">
        <is>
          <t>related_party_flow</t>
        </is>
      </c>
      <c r="D301" s="3" t="inlineStr">
        <is>
          <t>Related-party flow: counterparty; kind (fee, rent, dividend, buyback, loan); amount; year; terms</t>
        </is>
      </c>
      <c r="E301" s="2" t="n"/>
      <c r="F301" s="2" t="n">
        <v>1.2</v>
      </c>
      <c r="G301" s="2" t="n"/>
      <c r="H301" s="3" t="inlineStr">
        <is>
          <t>counterparty: Fastned Terra 1 B.V. (then a related party); kind: loan; amount: 1.2 (1,241k at 31 Dec 2022, 6%, due 31/12/2024, impaired by 465k); year: 2022; terms: eliminated on consolidation after the 29 Dec 2023 acquisition</t>
        </is>
      </c>
      <c r="I301" s="2" t="inlineStr">
        <is>
          <t>S1</t>
        </is>
      </c>
      <c r="J301" s="2" t="n">
        <v>134</v>
      </c>
      <c r="K301" s="3" t="inlineStr">
        <is>
          <t>Loans to related parties 6 31/12/2024 — 1,241</t>
        </is>
      </c>
      <c r="L301" s="2" t="inlineStr">
        <is>
          <t>pend</t>
        </is>
      </c>
      <c r="M301" s="2" t="n"/>
      <c r="N301" s="2" t="n"/>
      <c r="O301" s="3" t="inlineStr">
        <is>
          <t>https://vanillabonds.com/dossier-data/pdf/fastned/fastned-2023-annual-report.pdf#page=134</t>
        </is>
      </c>
    </row>
    <row r="302">
      <c r="A302" s="2" t="inlineStr">
        <is>
          <t>F301</t>
        </is>
      </c>
      <c r="B302" s="2" t="inlineStr">
        <is>
          <t>governance</t>
        </is>
      </c>
      <c r="C302" s="2" t="inlineStr">
        <is>
          <t>related_party_flow</t>
        </is>
      </c>
      <c r="D302" s="3" t="inlineStr">
        <is>
          <t>Related-party flow: counterparty; kind (fee, rent, dividend, buyback, loan); amount; year; terms</t>
        </is>
      </c>
      <c r="E302" s="2" t="n"/>
      <c r="F302" s="2" t="n">
        <v>0.1</v>
      </c>
      <c r="G302" s="2" t="n"/>
      <c r="H302" s="3" t="inlineStr">
        <is>
          <t>counterparty: Fastned Terra 1 B.V.; kind: interest income; amount: 0.08 (76k); year: 2022 (2023: nil)</t>
        </is>
      </c>
      <c r="I302" s="2" t="inlineStr">
        <is>
          <t>S1</t>
        </is>
      </c>
      <c r="J302" s="2" t="n">
        <v>151</v>
      </c>
      <c r="K302" s="3" t="inlineStr">
        <is>
          <t>Fastned Terra 1 B.V. 2023 — — 2022 76 1,242</t>
        </is>
      </c>
      <c r="L302" s="2" t="inlineStr">
        <is>
          <t>pend</t>
        </is>
      </c>
      <c r="M302" s="2" t="n"/>
      <c r="N302" s="2" t="n"/>
      <c r="O302" s="3" t="inlineStr">
        <is>
          <t>https://vanillabonds.com/dossier-data/pdf/fastned/fastned-2023-annual-report.pdf#page=151</t>
        </is>
      </c>
    </row>
    <row r="303">
      <c r="A303" s="2" t="inlineStr">
        <is>
          <t>F302</t>
        </is>
      </c>
      <c r="B303" s="2" t="inlineStr">
        <is>
          <t>governance</t>
        </is>
      </c>
      <c r="C303" s="2" t="inlineStr">
        <is>
          <t>related_party_flow</t>
        </is>
      </c>
      <c r="D303" s="3" t="inlineStr">
        <is>
          <t>Related-party flow: counterparty; kind (fee, rent, dividend, buyback, loan); amount; year; terms</t>
        </is>
      </c>
      <c r="E303" s="2" t="n"/>
      <c r="F303" s="2" t="n">
        <v>0.3</v>
      </c>
      <c r="G303" s="2" t="n"/>
      <c r="H303" s="3" t="inlineStr">
        <is>
          <t>counterparty: related parties; kind: rent (variable leases); amount: 0.3 (254k); year: 2022 (2023: nil)</t>
        </is>
      </c>
      <c r="I303" s="2" t="inlineStr">
        <is>
          <t>S1</t>
        </is>
      </c>
      <c r="J303" s="2" t="n">
        <v>151</v>
      </c>
      <c r="K303" s="2" t="inlineStr">
        <is>
          <t>Variable leases — 254</t>
        </is>
      </c>
      <c r="L303" s="2" t="inlineStr">
        <is>
          <t>pend</t>
        </is>
      </c>
      <c r="M303" s="2" t="n"/>
      <c r="N303" s="2" t="n"/>
      <c r="O303" s="3" t="inlineStr">
        <is>
          <t>https://vanillabonds.com/dossier-data/pdf/fastned/fastned-2023-annual-report.pdf#page=151</t>
        </is>
      </c>
    </row>
    <row r="304">
      <c r="A304" s="2" t="inlineStr">
        <is>
          <t>F303</t>
        </is>
      </c>
      <c r="B304" s="2" t="inlineStr">
        <is>
          <t>governance</t>
        </is>
      </c>
      <c r="C304" s="2" t="inlineStr">
        <is>
          <t>related_party_flow</t>
        </is>
      </c>
      <c r="D304" s="3" t="inlineStr">
        <is>
          <t>Related-party flow: counterparty; kind (fee, rent, dividend, buyback, loan); amount; year; terms</t>
        </is>
      </c>
      <c r="E304" s="2" t="n"/>
      <c r="F304" s="2" t="n"/>
      <c r="G304" s="2" t="n"/>
      <c r="H304" s="3" t="inlineStr">
        <is>
          <t>counterparty: family members of key management (Founders Club); kind: free charging; amount: 614 kWh (2022: 461 kWh); year: 2023</t>
        </is>
      </c>
      <c r="I304" s="2" t="inlineStr">
        <is>
          <t>S1</t>
        </is>
      </c>
      <c r="J304" s="2" t="n">
        <v>155</v>
      </c>
      <c r="K304" s="3" t="inlineStr">
        <is>
          <t>In 2023, a total of 614 kWh (2022: 461 kWh) were charged for free by these family members.</t>
        </is>
      </c>
      <c r="L304" s="2" t="inlineStr">
        <is>
          <t>pend</t>
        </is>
      </c>
      <c r="M304" s="2" t="n"/>
      <c r="N304" s="2" t="n"/>
      <c r="O304" s="3" t="inlineStr">
        <is>
          <t>https://vanillabonds.com/dossier-data/pdf/fastned/fastned-2023-annual-report.pdf#page=155</t>
        </is>
      </c>
    </row>
    <row r="305">
      <c r="A305" s="2" t="inlineStr">
        <is>
          <t>F304</t>
        </is>
      </c>
      <c r="B305" s="2" t="inlineStr">
        <is>
          <t>governance</t>
        </is>
      </c>
      <c r="C305" s="2" t="inlineStr">
        <is>
          <t>owner_stake</t>
        </is>
      </c>
      <c r="D305" s="3" t="inlineStr">
        <is>
          <t>Owner's stake as stated: personal guarantee, pledged shares, family charter</t>
        </is>
      </c>
      <c r="E305" s="2" t="n"/>
      <c r="F305" s="2" t="n"/>
      <c r="G305" s="2" t="n"/>
      <c r="H305" s="3" t="inlineStr">
        <is>
          <t>CEO Michiel Langezaal directly or indirectly holds more than 10% of the shares or DRs (major DR holder under the Dutch Pensions Act, hence excluded from the pension scheme); co-founder Bart Lubbers and Schroders (via Jérôme Janssen) are major shareholders; no company guarantees to board members.</t>
        </is>
      </c>
      <c r="I305" s="2" t="inlineStr">
        <is>
          <t>S1</t>
        </is>
      </c>
      <c r="J305" s="2" t="n">
        <v>69</v>
      </c>
      <c r="K305" s="3" t="inlineStr">
        <is>
          <t>the case if a managing director directly or indirectly holds more than 10% of the Shares or DRs), the Management Board member is not</t>
        </is>
      </c>
      <c r="L305" s="2" t="inlineStr">
        <is>
          <t>pend</t>
        </is>
      </c>
      <c r="M305" s="2" t="n"/>
      <c r="N305" s="2" t="n"/>
      <c r="O305" s="3" t="inlineStr">
        <is>
          <t>https://vanillabonds.com/dossier-data/pdf/fastned/fastned-2023-annual-report.pdf#page=69</t>
        </is>
      </c>
    </row>
    <row r="306">
      <c r="A306" s="2" t="inlineStr">
        <is>
          <t>F305</t>
        </is>
      </c>
      <c r="B306" s="2" t="inlineStr">
        <is>
          <t>market</t>
        </is>
      </c>
      <c r="C306" s="2" t="inlineStr">
        <is>
          <t>market_series</t>
        </is>
      </c>
      <c r="D306" s="3" t="inlineStr">
        <is>
          <t>Market variable: variable; year; value; unit; source (a distribution adds n; median; spread; p10; p25; p75; p90)</t>
        </is>
      </c>
      <c r="E306" s="2" t="n"/>
      <c r="F306" s="2" t="n">
        <v>1.5</v>
      </c>
      <c r="G306" s="2" t="n"/>
      <c r="H306" s="3" t="inlineStr">
        <is>
          <t>variable: new BEV registrations Europe; year: 2023; value: 1.5; unit: million cars (+37% vs 2022); source: ACEA</t>
        </is>
      </c>
      <c r="I306" s="2" t="inlineStr">
        <is>
          <t>S1</t>
        </is>
      </c>
      <c r="J306" s="2" t="n">
        <v>27</v>
      </c>
      <c r="K306" s="3" t="inlineStr">
        <is>
          <t>In 2023, 37% more new BEVs1 were sold compared to 2022 in Europe, representing over 1.5 million cars and 14.6% of all new registrations.</t>
        </is>
      </c>
      <c r="L306" s="2" t="inlineStr">
        <is>
          <t>pend</t>
        </is>
      </c>
      <c r="M306" s="2" t="n"/>
      <c r="N306" s="2" t="n"/>
      <c r="O306" s="3" t="inlineStr">
        <is>
          <t>https://vanillabonds.com/dossier-data/pdf/fastned/fastned-2023-annual-report.pdf#page=27</t>
        </is>
      </c>
    </row>
    <row r="307">
      <c r="A307" s="2" t="inlineStr">
        <is>
          <t>F306</t>
        </is>
      </c>
      <c r="B307" s="2" t="inlineStr">
        <is>
          <t>market</t>
        </is>
      </c>
      <c r="C307" s="2" t="inlineStr">
        <is>
          <t>market_series</t>
        </is>
      </c>
      <c r="D307" s="3" t="inlineStr">
        <is>
          <t>Market variable: variable; year; value; unit; source (a distribution adds n; median; spread; p10; p25; p75; p90)</t>
        </is>
      </c>
      <c r="E307" s="2" t="n"/>
      <c r="F307" s="2" t="n">
        <v>14.6</v>
      </c>
      <c r="G307" s="2" t="n"/>
      <c r="H307" s="3" t="inlineStr">
        <is>
          <t>variable: BEV share of new car registrations Europe; year: 2023; value: 14.6; unit: percent; source: ACEA</t>
        </is>
      </c>
      <c r="I307" s="2" t="inlineStr">
        <is>
          <t>S1</t>
        </is>
      </c>
      <c r="J307" s="2" t="n">
        <v>27</v>
      </c>
      <c r="K307" s="3" t="inlineStr">
        <is>
          <t>In 2023, 37% more new BEVs1 were sold compared to 2022 in Europe, representing over 1.5 million cars and 14.6% of all new registrations.</t>
        </is>
      </c>
      <c r="L307" s="2" t="inlineStr">
        <is>
          <t>pend</t>
        </is>
      </c>
      <c r="M307" s="2" t="n"/>
      <c r="N307" s="2" t="n"/>
      <c r="O307" s="3" t="inlineStr">
        <is>
          <t>https://vanillabonds.com/dossier-data/pdf/fastned/fastned-2023-annual-report.pdf#page=27</t>
        </is>
      </c>
    </row>
    <row r="308">
      <c r="A308" s="2" t="inlineStr">
        <is>
          <t>F307</t>
        </is>
      </c>
      <c r="B308" s="2" t="inlineStr">
        <is>
          <t>market</t>
        </is>
      </c>
      <c r="C308" s="2" t="inlineStr">
        <is>
          <t>market_series</t>
        </is>
      </c>
      <c r="D308" s="3" t="inlineStr">
        <is>
          <t>Market variable: variable; year; value; unit; source (a distribution adds n; median; spread; p10; p25; p75; p90)</t>
        </is>
      </c>
      <c r="E308" s="2" t="n"/>
      <c r="F308" s="2" t="n">
        <v>40</v>
      </c>
      <c r="G308" s="2" t="n"/>
      <c r="H308" s="3" t="inlineStr">
        <is>
          <t>variable: BEVs on European roads; year: 2030; value: 40; unit: million (forecast); source: BNEF Electric Vehicle Outlook 2023</t>
        </is>
      </c>
      <c r="I308" s="2" t="inlineStr">
        <is>
          <t>S1</t>
        </is>
      </c>
      <c r="J308" s="2" t="n">
        <v>27</v>
      </c>
      <c r="K308" s="3" t="inlineStr">
        <is>
          <t>By 2030, 11 million BEVs from corporate fleets are expected on European roads, and the total number of BEVs is expected to grow to 40 million in Europe, creating a market of 100 billion kWh per annum</t>
        </is>
      </c>
      <c r="L308" s="2" t="inlineStr">
        <is>
          <t>pend</t>
        </is>
      </c>
      <c r="M308" s="2" t="n"/>
      <c r="N308" s="2" t="n"/>
      <c r="O308" s="3" t="inlineStr">
        <is>
          <t>https://vanillabonds.com/dossier-data/pdf/fastned/fastned-2023-annual-report.pdf#page=27</t>
        </is>
      </c>
    </row>
    <row r="309">
      <c r="A309" s="2" t="inlineStr">
        <is>
          <t>F308</t>
        </is>
      </c>
      <c r="B309" s="2" t="inlineStr">
        <is>
          <t>market</t>
        </is>
      </c>
      <c r="C309" s="2" t="inlineStr">
        <is>
          <t>market_series</t>
        </is>
      </c>
      <c r="D309" s="3" t="inlineStr">
        <is>
          <t>Market variable: variable; year; value; unit; source (a distribution adds n; median; spread; p10; p25; p75; p90)</t>
        </is>
      </c>
      <c r="E309" s="2" t="n"/>
      <c r="F309" s="2" t="n">
        <v>3.9</v>
      </c>
      <c r="G309" s="2" t="n"/>
      <c r="H309" s="3" t="inlineStr">
        <is>
          <t>variable: BEV fleet penetration, Fastned countries weighted by number of stations; year: 2023 (Q4); value: 3.9; unit: percent (+34% y/y); source: company</t>
        </is>
      </c>
      <c r="I309" s="2" t="inlineStr">
        <is>
          <t>S1</t>
        </is>
      </c>
      <c r="J309" s="2" t="n">
        <v>36</v>
      </c>
      <c r="K309" s="3" t="inlineStr">
        <is>
          <t>Electric vehicle fleet penetration is the main driver of station performance and reached 3.9% by the last quarter of 2023, when weighted by the number of Fastned stations in the respective countries</t>
        </is>
      </c>
      <c r="L309" s="2" t="inlineStr">
        <is>
          <t>pend</t>
        </is>
      </c>
      <c r="M309" s="2" t="n"/>
      <c r="N309" s="2" t="n"/>
      <c r="O309" s="3" t="inlineStr">
        <is>
          <t>https://vanillabonds.com/dossier-data/pdf/fastned/fastned-2023-annual-report.pdf#page=36</t>
        </is>
      </c>
    </row>
    <row r="310">
      <c r="A310" s="2" t="inlineStr">
        <is>
          <t>F309</t>
        </is>
      </c>
      <c r="B310" s="2" t="inlineStr">
        <is>
          <t>market</t>
        </is>
      </c>
      <c r="C310" s="2" t="inlineStr">
        <is>
          <t>market_series</t>
        </is>
      </c>
      <c r="D310" s="3" t="inlineStr">
        <is>
          <t>Market variable: variable; year; value; unit; source (a distribution adds n; median; spread; p10; p25; p75; p90)</t>
        </is>
      </c>
      <c r="E310" s="2" t="n"/>
      <c r="F310" s="2" t="n">
        <v>34.18</v>
      </c>
      <c r="G310" s="2" t="n"/>
      <c r="H310" s="3" t="inlineStr">
        <is>
          <t>variable: Fastned DR share price at Euronext at milestone 3 grant; year: 2023; value: 34.18; unit: EUR; source: note 22 option valuation</t>
        </is>
      </c>
      <c r="I310" s="2" t="inlineStr">
        <is>
          <t>S1</t>
        </is>
      </c>
      <c r="J310" s="2" t="n">
        <v>150</v>
      </c>
      <c r="K310" s="2" t="inlineStr">
        <is>
          <t>Share price at Euronext (€) 34.18</t>
        </is>
      </c>
      <c r="L310" s="2" t="inlineStr">
        <is>
          <t>pend</t>
        </is>
      </c>
      <c r="M310" s="2" t="n"/>
      <c r="N310" s="2" t="n"/>
      <c r="O310" s="3" t="inlineStr">
        <is>
          <t>https://vanillabonds.com/dossier-data/pdf/fastned/fastned-2023-annual-report.pdf#page=150</t>
        </is>
      </c>
    </row>
    <row r="311">
      <c r="A311" s="2" t="inlineStr">
        <is>
          <t>F310</t>
        </is>
      </c>
      <c r="B311" s="2" t="inlineStr">
        <is>
          <t>market</t>
        </is>
      </c>
      <c r="C311" s="2" t="inlineStr">
        <is>
          <t>regulation_item</t>
        </is>
      </c>
      <c r="D311" s="3" t="inlineStr">
        <is>
          <t>Regulation: measure; effective; effect on the company as stated; source</t>
        </is>
      </c>
      <c r="E311" s="2" t="n"/>
      <c r="F311" s="2" t="n"/>
      <c r="G311" s="2" t="n"/>
      <c r="H311" s="3" t="inlineStr">
        <is>
          <t>measure: Deutschlandnetz tender by the German Federal Ministry of Digital Affairs and Transport; effective: 2023 award; effect on the company as stated: two lots, 92 stations, capital investment refund under conditions; source: Annual Report 2023</t>
        </is>
      </c>
      <c r="I311" s="2" t="inlineStr">
        <is>
          <t>S1</t>
        </is>
      </c>
      <c r="J311" s="2" t="n">
        <v>18</v>
      </c>
      <c r="K311" s="3" t="inlineStr">
        <is>
          <t>The German Federal Ministry of Digital Affairs and Transport initiated the Deutschlandnetz tender to accelerate the transition to electric mobility across the country.</t>
        </is>
      </c>
      <c r="L311" s="2" t="inlineStr">
        <is>
          <t>pend</t>
        </is>
      </c>
      <c r="M311" s="2" t="n"/>
      <c r="N311" s="2" t="n"/>
      <c r="O311" s="3" t="inlineStr">
        <is>
          <t>https://vanillabonds.com/dossier-data/pdf/fastned/fastned-2023-annual-report.pdf#page=18</t>
        </is>
      </c>
    </row>
    <row r="312">
      <c r="A312" s="2" t="inlineStr">
        <is>
          <t>F311</t>
        </is>
      </c>
      <c r="B312" s="2" t="inlineStr">
        <is>
          <t>market</t>
        </is>
      </c>
      <c r="C312" s="2" t="inlineStr">
        <is>
          <t>regulation_item</t>
        </is>
      </c>
      <c r="D312" s="3" t="inlineStr">
        <is>
          <t>Regulation: measure; effective; effect on the company as stated; source</t>
        </is>
      </c>
      <c r="E312" s="2" t="n"/>
      <c r="F312" s="2" t="n"/>
      <c r="G312" s="2" t="n"/>
      <c r="H312" s="3" t="inlineStr">
        <is>
          <t>measure: German EV purchase subsidies phased out; effective: 2023; effect on the company as stated: significant slowdown of BEV sales in Germany in Q4 2023; source: Annual Report 2023</t>
        </is>
      </c>
      <c r="I312" s="2" t="inlineStr">
        <is>
          <t>S1</t>
        </is>
      </c>
      <c r="J312" s="2" t="n">
        <v>27</v>
      </c>
      <c r="K312" s="3" t="inlineStr">
        <is>
          <t>The fourth quarter of BEV sales was relatively weak due to a strong year-end in 2022 and a significant slowdown in Germany.</t>
        </is>
      </c>
      <c r="L312" s="2" t="inlineStr">
        <is>
          <t>pend</t>
        </is>
      </c>
      <c r="M312" s="2" t="n"/>
      <c r="N312" s="2" t="n"/>
      <c r="O312" s="3" t="inlineStr">
        <is>
          <t>https://vanillabonds.com/dossier-data/pdf/fastned/fastned-2023-annual-report.pdf#page=27</t>
        </is>
      </c>
    </row>
    <row r="313">
      <c r="A313" s="2" t="inlineStr">
        <is>
          <t>F312</t>
        </is>
      </c>
      <c r="B313" s="2" t="inlineStr">
        <is>
          <t>market</t>
        </is>
      </c>
      <c r="C313" s="2" t="inlineStr">
        <is>
          <t>regulation_item</t>
        </is>
      </c>
      <c r="D313" s="3" t="inlineStr">
        <is>
          <t>Regulation: measure; effective; effect on the company as stated; source</t>
        </is>
      </c>
      <c r="E313" s="2" t="n"/>
      <c r="F313" s="2" t="n"/>
      <c r="G313" s="2" t="n"/>
      <c r="H313" s="3" t="inlineStr">
        <is>
          <t>measure: UK phase-out of combustion engine cars; effective: postponed from 2030 to 2035; effect on the company as stated: EV-promoting regulation under pressure in several countries; source: Annual Report 2023</t>
        </is>
      </c>
      <c r="I313" s="2" t="inlineStr">
        <is>
          <t>S1</t>
        </is>
      </c>
      <c r="J313" s="2" t="n">
        <v>28</v>
      </c>
      <c r="K313" s="3" t="inlineStr">
        <is>
          <t>The phase-out of combustion engine cars in the UK has been postponed from 2030 to 2035.</t>
        </is>
      </c>
      <c r="L313" s="2" t="inlineStr">
        <is>
          <t>pend</t>
        </is>
      </c>
      <c r="M313" s="2" t="n"/>
      <c r="N313" s="2" t="n"/>
      <c r="O313" s="3" t="inlineStr">
        <is>
          <t>https://vanillabonds.com/dossier-data/pdf/fastned/fastned-2023-annual-report.pdf#page=28</t>
        </is>
      </c>
    </row>
    <row r="314">
      <c r="A314" s="2" t="inlineStr">
        <is>
          <t>F313</t>
        </is>
      </c>
      <c r="B314" s="2" t="inlineStr">
        <is>
          <t>market</t>
        </is>
      </c>
      <c r="C314" s="2" t="inlineStr">
        <is>
          <t>regulation_item</t>
        </is>
      </c>
      <c r="D314" s="3" t="inlineStr">
        <is>
          <t>Regulation: measure; effective; effect on the company as stated; source</t>
        </is>
      </c>
      <c r="E314" s="2" t="n"/>
      <c r="F314" s="2" t="n"/>
      <c r="G314" s="2" t="n"/>
      <c r="H314" s="3" t="inlineStr">
        <is>
          <t>measure: EU Alternative Fuels Infrastructure Regulation (AFIR), agreed July 2023; effective: 2026 (400 kW every 60 km, one 150 kW point) and 2028 (600 kW every 60 km, two 150 kW points); effect on the company as stated: more public tenders for motorway charging concessions; source: AFIR (EU regulation repealing Directive 2014/94/EU)</t>
        </is>
      </c>
      <c r="I314" s="2" t="inlineStr">
        <is>
          <t>S1</t>
        </is>
      </c>
      <c r="J314" s="2" t="n">
        <v>29</v>
      </c>
      <c r="K314" s="3" t="inlineStr">
        <is>
          <t>In 2026: 400 kW of power every 60km, including at least one charging point of at least 150 kW.</t>
        </is>
      </c>
      <c r="L314" s="2" t="inlineStr">
        <is>
          <t>pend</t>
        </is>
      </c>
      <c r="M314" s="2" t="n"/>
      <c r="N314" s="2" t="n"/>
      <c r="O314" s="3" t="inlineStr">
        <is>
          <t>https://vanillabonds.com/dossier-data/pdf/fastned/fastned-2023-annual-report.pdf#page=29</t>
        </is>
      </c>
    </row>
    <row r="315">
      <c r="A315" s="2" t="inlineStr">
        <is>
          <t>F314</t>
        </is>
      </c>
      <c r="B315" s="2" t="inlineStr">
        <is>
          <t>market</t>
        </is>
      </c>
      <c r="C315" s="2" t="inlineStr">
        <is>
          <t>regulation_item</t>
        </is>
      </c>
      <c r="D315" s="3" t="inlineStr">
        <is>
          <t>Regulation: measure; effective; effect on the company as stated; source</t>
        </is>
      </c>
      <c r="E315" s="2" t="n"/>
      <c r="F315" s="2" t="n"/>
      <c r="G315" s="2" t="n"/>
      <c r="H315" s="3" t="inlineStr">
        <is>
          <t>measure: EU Corporate Sustainability Reporting Directive (CSRD); effective: Fastned in scope for financial year 2025, reporting in 2026; effect on the company as stated: double materiality assessment and value chain analysis planned 2024, ESRS/GRI interoperability used; source: Annual Report 2023</t>
        </is>
      </c>
      <c r="I315" s="2" t="inlineStr">
        <is>
          <t>S1</t>
        </is>
      </c>
      <c r="J315" s="2" t="n">
        <v>41</v>
      </c>
      <c r="K315" s="3" t="inlineStr">
        <is>
          <t>Fastned will be in scope for the CSRD in 2025, reporting in 2026.</t>
        </is>
      </c>
      <c r="L315" s="2" t="inlineStr">
        <is>
          <t>pend</t>
        </is>
      </c>
      <c r="M315" s="2" t="n"/>
      <c r="N315" s="2" t="n"/>
      <c r="O315" s="3" t="inlineStr">
        <is>
          <t>https://vanillabonds.com/dossier-data/pdf/fastned/fastned-2023-annual-report.pdf#page=41</t>
        </is>
      </c>
    </row>
    <row r="316">
      <c r="A316" s="2" t="inlineStr">
        <is>
          <t>F315</t>
        </is>
      </c>
      <c r="B316" s="2" t="inlineStr">
        <is>
          <t>market</t>
        </is>
      </c>
      <c r="C316" s="2" t="inlineStr">
        <is>
          <t>regulation_item</t>
        </is>
      </c>
      <c r="D316" s="3" t="inlineStr">
        <is>
          <t>Regulation: measure; effective; effect on the company as stated; source</t>
        </is>
      </c>
      <c r="E316" s="2" t="n"/>
      <c r="F316" s="2" t="n"/>
      <c r="G316" s="2" t="n"/>
      <c r="H316" s="3" t="inlineStr">
        <is>
          <t>measure: Dutch structured company regime (structuurregime); effective: end 2023, filing with the Chamber of Commerce after adoption of the accounts in June 2024; effect on the company as stated: Fastned qualifies as a structured company; source: Annual Report 2023</t>
        </is>
      </c>
      <c r="I316" s="2" t="inlineStr">
        <is>
          <t>S1</t>
        </is>
      </c>
      <c r="J316" s="2" t="n">
        <v>63</v>
      </c>
      <c r="K316" s="3" t="inlineStr">
        <is>
          <t>As of the end of 2023, Fastned qualifies as a structured company. This will be filed with the Chamber of Commerce after the adoption of financial statements in June 2024.</t>
        </is>
      </c>
      <c r="L316" s="2" t="inlineStr">
        <is>
          <t>pend</t>
        </is>
      </c>
      <c r="M316" s="2" t="n"/>
      <c r="N316" s="2" t="n"/>
      <c r="O316" s="3" t="inlineStr">
        <is>
          <t>https://vanillabonds.com/dossier-data/pdf/fastned/fastned-2023-annual-report.pdf#page=63</t>
        </is>
      </c>
    </row>
    <row r="317">
      <c r="A317" s="2" t="inlineStr">
        <is>
          <t>F316</t>
        </is>
      </c>
      <c r="B317" s="2" t="inlineStr">
        <is>
          <t>market</t>
        </is>
      </c>
      <c r="C317" s="2" t="inlineStr">
        <is>
          <t>regulation_item</t>
        </is>
      </c>
      <c r="D317" s="3" t="inlineStr">
        <is>
          <t>Regulation: measure; effective; effect on the company as stated; source</t>
        </is>
      </c>
      <c r="E317" s="2" t="n"/>
      <c r="F317" s="2" t="n"/>
      <c r="G317" s="2" t="n"/>
      <c r="H317" s="3" t="inlineStr">
        <is>
          <t>measure: Wft sections 1:1 and 5:25c (regulated information) and ESEF RTS (EU) 2019/815; effect on the company as stated: annual report is regulated information filed with Euronext in XHTML/iXBRL; source: cautionary statement and auditor's report</t>
        </is>
      </c>
      <c r="I317" s="2" t="inlineStr">
        <is>
          <t>S1</t>
        </is>
      </c>
      <c r="J317" s="2" t="n">
        <v>191</v>
      </c>
      <c r="K317" s="3" t="inlineStr">
        <is>
          <t>This report comprises regulated information within the meaning of Sections 1:1 and 5:25c of the Act on Financial Supervision (“Wet op het financieel toezicht (Wft)”) in the Netherlands.</t>
        </is>
      </c>
      <c r="L317" s="2" t="inlineStr">
        <is>
          <t>pend</t>
        </is>
      </c>
      <c r="M317" s="2" t="n"/>
      <c r="N317" s="2" t="n"/>
      <c r="O317" s="3" t="inlineStr">
        <is>
          <t>https://vanillabonds.com/dossier-data/pdf/fastned/fastned-2023-annual-report.pdf#page=191</t>
        </is>
      </c>
    </row>
    <row r="318">
      <c r="A318" s="2" t="inlineStr">
        <is>
          <t>F317</t>
        </is>
      </c>
      <c r="B318" s="2" t="inlineStr">
        <is>
          <t>market</t>
        </is>
      </c>
      <c r="C318" s="2" t="inlineStr">
        <is>
          <t>regulation_item</t>
        </is>
      </c>
      <c r="D318" s="3" t="inlineStr">
        <is>
          <t>Regulation: measure; effective; effect on the company as stated; source</t>
        </is>
      </c>
      <c r="E318" s="2" t="n"/>
      <c r="F318" s="2" t="n"/>
      <c r="G318" s="2" t="n"/>
      <c r="H318" s="3" t="inlineStr">
        <is>
          <t>measure: CSRD/ESRS; effective: Fastned in scope in 2025; effect on the company as stated: GRI used as guidance to prepare, sustainability statements not assured; source: sustainability appendix BP-1</t>
        </is>
      </c>
      <c r="I318" s="2" t="inlineStr">
        <is>
          <t>S1</t>
        </is>
      </c>
      <c r="J318" s="2" t="n">
        <v>193</v>
      </c>
      <c r="K318" s="3" t="inlineStr">
        <is>
          <t>ESRS legislation, for which Fastned will be in scope in 2025.</t>
        </is>
      </c>
      <c r="L318" s="2" t="inlineStr">
        <is>
          <t>pend</t>
        </is>
      </c>
      <c r="M318" s="2" t="n"/>
      <c r="N318" s="2" t="n"/>
      <c r="O318" s="3" t="inlineStr">
        <is>
          <t>https://vanillabonds.com/dossier-data/pdf/fastned/fastned-2023-annual-report.pdf#page=193</t>
        </is>
      </c>
    </row>
    <row r="319">
      <c r="A319" s="2" t="inlineStr">
        <is>
          <t>F318</t>
        </is>
      </c>
      <c r="B319" s="2" t="inlineStr">
        <is>
          <t>market</t>
        </is>
      </c>
      <c r="C319" s="2" t="inlineStr">
        <is>
          <t>regulation_item</t>
        </is>
      </c>
      <c r="D319" s="3" t="inlineStr">
        <is>
          <t>Regulation: measure; effective; effect on the company as stated; source</t>
        </is>
      </c>
      <c r="E319" s="2" t="n"/>
      <c r="F319" s="2" t="n"/>
      <c r="G319" s="2" t="n"/>
      <c r="H319" s="3" t="inlineStr">
        <is>
          <t>measure: Alternative Fuels Infrastructure Regulation (AFIR) and EU/national competition rules; effect on the company as stated: key topic discussed with national and local governments in 2023, effect not quantified; source: stakeholder dialogue table</t>
        </is>
      </c>
      <c r="I319" s="2" t="inlineStr">
        <is>
          <t>S1</t>
        </is>
      </c>
      <c r="J319" s="2" t="n">
        <v>199</v>
      </c>
      <c r="K319" s="3" t="inlineStr">
        <is>
          <t>Regulation of the fast charging industry, Alternative Fuels Infrastructure Regulation (AFIR)</t>
        </is>
      </c>
      <c r="L319" s="2" t="inlineStr">
        <is>
          <t>pend</t>
        </is>
      </c>
      <c r="M319" s="2" t="n"/>
      <c r="N319" s="2" t="n"/>
      <c r="O319" s="3" t="inlineStr">
        <is>
          <t>https://vanillabonds.com/dossier-data/pdf/fastned/fastned-2023-annual-report.pdf#page=199</t>
        </is>
      </c>
    </row>
    <row r="320">
      <c r="A320" s="2" t="inlineStr">
        <is>
          <t>F319</t>
        </is>
      </c>
      <c r="B320" s="2" t="inlineStr">
        <is>
          <t>market</t>
        </is>
      </c>
      <c r="C320" s="2" t="inlineStr">
        <is>
          <t>industry_assessment</t>
        </is>
      </c>
      <c r="D320" s="3" t="inlineStr">
        <is>
          <t>Third-party industry assessment, quoted verbatim: source; date; text; licence (T)</t>
        </is>
      </c>
      <c r="E320" s="2" t="n"/>
      <c r="F320" s="2" t="n"/>
      <c r="G320" s="2" t="n"/>
      <c r="H320" s="3" t="inlineStr">
        <is>
          <t>source: Chargemap user survey, 390,000 reviews; date: 2024-01; text: Fastned called 'the most reliable charging network in Europe, and the best charging network in France and Belgium'</t>
        </is>
      </c>
      <c r="I320" s="2" t="inlineStr">
        <is>
          <t>S1</t>
        </is>
      </c>
      <c r="J320" s="2" t="n">
        <v>19</v>
      </c>
      <c r="K320" s="3" t="inlineStr">
        <is>
          <t>have called us the most reliable charging network in Europe, and the best charging network in France and Belgium, in a survey based on a total of 390,000 reviews.</t>
        </is>
      </c>
      <c r="L320" s="2" t="inlineStr">
        <is>
          <t>pend</t>
        </is>
      </c>
      <c r="M320" s="2" t="n"/>
      <c r="N320" s="2" t="n"/>
      <c r="O320" s="3" t="inlineStr">
        <is>
          <t>https://vanillabonds.com/dossier-data/pdf/fastned/fastned-2023-annual-report.pdf#page=19</t>
        </is>
      </c>
    </row>
    <row r="321">
      <c r="A321" s="2" t="inlineStr">
        <is>
          <t>F320</t>
        </is>
      </c>
      <c r="B321" s="2" t="inlineStr">
        <is>
          <t>market</t>
        </is>
      </c>
      <c r="C321" s="2" t="inlineStr">
        <is>
          <t>industry_assessment</t>
        </is>
      </c>
      <c r="D321" s="3" t="inlineStr">
        <is>
          <t>Third-party industry assessment, quoted verbatim: source; date; text; licence (T)</t>
        </is>
      </c>
      <c r="E321" s="2" t="n"/>
      <c r="F321" s="2" t="n"/>
      <c r="G321" s="2" t="n"/>
      <c r="H321" s="3" t="inlineStr">
        <is>
          <t>source: BNEF study commissioned by Transport &amp; Environment (T&amp;E), cited in Annual Report 2023; date: 2023; text: 'Electric cars and vans will be cheaper to produce than fossil-fuel vehicles in every light vehicle segment across Europe from 2027 at the latest'</t>
        </is>
      </c>
      <c r="I321" s="2" t="inlineStr">
        <is>
          <t>S1</t>
        </is>
      </c>
      <c r="J321" s="2" t="n">
        <v>27</v>
      </c>
      <c r="K321" s="3" t="inlineStr">
        <is>
          <t>Electric cars and vans will be cheaper to produce than fossil-fuel vehicles in every light vehicle segment across Europe from 2027 at the latest, according to a BNEF study</t>
        </is>
      </c>
      <c r="L321" s="2" t="inlineStr">
        <is>
          <t>pend</t>
        </is>
      </c>
      <c r="M321" s="2" t="n"/>
      <c r="N321" s="2" t="n"/>
      <c r="O321" s="3" t="inlineStr">
        <is>
          <t>https://vanillabonds.com/dossier-data/pdf/fastned/fastned-2023-annual-report.pdf#page=27</t>
        </is>
      </c>
    </row>
    <row r="322">
      <c r="A322" s="2" t="inlineStr">
        <is>
          <t>F321</t>
        </is>
      </c>
      <c r="B322" s="2" t="inlineStr">
        <is>
          <t>market</t>
        </is>
      </c>
      <c r="C322" s="2" t="inlineStr">
        <is>
          <t>contract_term</t>
        </is>
      </c>
      <c r="D322" s="3" t="inlineStr">
        <is>
          <t>Key contract: counterparty; share (of revenue or purchases, 0-1); duration; termination; indexation</t>
        </is>
      </c>
      <c r="E322" s="2" t="n"/>
      <c r="F322" s="2" t="n"/>
      <c r="G322" s="2" t="n"/>
      <c r="H322" s="3" t="inlineStr">
        <is>
          <t>counterparty: A4 Holding Group (Italian motorway operator); first Fastned station in Italy on the A4 motorway between Turin and Trieste; signed 2023</t>
        </is>
      </c>
      <c r="I322" s="2" t="inlineStr">
        <is>
          <t>S1</t>
        </is>
      </c>
      <c r="J322" s="2" t="n">
        <v>18</v>
      </c>
      <c r="K322" s="3" t="inlineStr">
        <is>
          <t>To this end, Fastned signed a contract with the Italian motorway operator, A4 Holding Group.</t>
        </is>
      </c>
      <c r="L322" s="2" t="inlineStr">
        <is>
          <t>pend</t>
        </is>
      </c>
      <c r="M322" s="2" t="n"/>
      <c r="N322" s="2" t="n"/>
      <c r="O322" s="3" t="inlineStr">
        <is>
          <t>https://vanillabonds.com/dossier-data/pdf/fastned/fastned-2023-annual-report.pdf#page=18</t>
        </is>
      </c>
    </row>
    <row r="323">
      <c r="A323" s="2" t="inlineStr">
        <is>
          <t>F322</t>
        </is>
      </c>
      <c r="B323" s="2" t="inlineStr">
        <is>
          <t>market</t>
        </is>
      </c>
      <c r="C323" s="2" t="inlineStr">
        <is>
          <t>contract_term</t>
        </is>
      </c>
      <c r="D323" s="3" t="inlineStr">
        <is>
          <t>Key contract: counterparty; share (of revenue or purchases, 0-1); duration; termination; indexation</t>
        </is>
      </c>
      <c r="E323" s="2" t="n"/>
      <c r="F323" s="2" t="n"/>
      <c r="G323" s="2" t="n"/>
      <c r="H323" s="3" t="inlineStr">
        <is>
          <t>counterparty: GLP (rooftop solar, distribution centre Zevenaar) with supplier Scholt Energy executing; duration: multi-year corporate PPA, delivery from February 2024; indexation: fixed price; 15 GWh per year for Dutch stations</t>
        </is>
      </c>
      <c r="I323" s="2" t="inlineStr">
        <is>
          <t>S1</t>
        </is>
      </c>
      <c r="J323" s="2" t="n">
        <v>45</v>
      </c>
      <c r="K323" s="3" t="inlineStr">
        <is>
          <t>At the end of 2023, Fastned signed its first multi-year Corporate Power Purchase Agreement (CPPA) in the Netherlands with GLP, a leading global logistics and data centre real estate developer,</t>
        </is>
      </c>
      <c r="L323" s="2" t="inlineStr">
        <is>
          <t>pend</t>
        </is>
      </c>
      <c r="M323" s="2" t="n"/>
      <c r="N323" s="2" t="n"/>
      <c r="O323" s="3" t="inlineStr">
        <is>
          <t>https://vanillabonds.com/dossier-data/pdf/fastned/fastned-2023-annual-report.pdf#page=45</t>
        </is>
      </c>
    </row>
    <row r="324">
      <c r="A324" s="2" t="inlineStr">
        <is>
          <t>F323</t>
        </is>
      </c>
      <c r="B324" s="2" t="inlineStr">
        <is>
          <t>market</t>
        </is>
      </c>
      <c r="C324" s="2" t="inlineStr">
        <is>
          <t>contract_term</t>
        </is>
      </c>
      <c r="D324" s="3" t="inlineStr">
        <is>
          <t>Key contract: counterparty; share (of revenue or purchases, 0-1); duration; termination; indexation</t>
        </is>
      </c>
      <c r="E324" s="2" t="n"/>
      <c r="F324" s="2" t="n"/>
      <c r="G324" s="2" t="n"/>
      <c r="H324" s="3" t="inlineStr">
        <is>
          <t>counterparty: Dutch Rijksvastgoedbedrijf and other landlords (land rental agreements for charging stations); termination: decommissioning obligation at expiry, provision EUR 13.3m</t>
        </is>
      </c>
      <c r="I324" s="2" t="inlineStr">
        <is>
          <t>S1</t>
        </is>
      </c>
      <c r="J324" s="2" t="n">
        <v>115</v>
      </c>
      <c r="K324" s="3" t="inlineStr">
        <is>
          <t>Under the rental agreements with the Dutch Rijksvastgoedbedrijf and with various other landlords for the land of the charging stations, the Group has recognised a provision</t>
        </is>
      </c>
      <c r="L324" s="2" t="inlineStr">
        <is>
          <t>pend</t>
        </is>
      </c>
      <c r="M324" s="2" t="n"/>
      <c r="N324" s="2" t="n"/>
      <c r="O324" s="3" t="inlineStr">
        <is>
          <t>https://vanillabonds.com/dossier-data/pdf/fastned/fastned-2023-annual-report.pdf#page=115</t>
        </is>
      </c>
    </row>
    <row r="325">
      <c r="A325" s="2" t="inlineStr">
        <is>
          <t>F324</t>
        </is>
      </c>
      <c r="B325" s="2" t="inlineStr">
        <is>
          <t>market</t>
        </is>
      </c>
      <c r="C325" s="2" t="inlineStr">
        <is>
          <t>contract_term</t>
        </is>
      </c>
      <c r="D325" s="3" t="inlineStr">
        <is>
          <t>Key contract: counterparty; share (of revenue or purchases, 0-1); duration; termination; indexation</t>
        </is>
      </c>
      <c r="E325" s="2" t="n"/>
      <c r="F325" s="2" t="n"/>
      <c r="G325" s="2" t="n"/>
      <c r="H325" s="3" t="inlineStr">
        <is>
          <t>counterparty: UK public-sector contracting party (service concession, seven stations in North East England); duration: build and deliver, then operate for a further period with no rent, depreciation or interest charged to Fastned</t>
        </is>
      </c>
      <c r="I325" s="2" t="inlineStr">
        <is>
          <t>S1</t>
        </is>
      </c>
      <c r="J325" s="2" t="n">
        <v>119</v>
      </c>
      <c r="K325" s="3" t="inlineStr">
        <is>
          <t>where Fastned won a contract to construct seven charging stations in the North East of England and deliver these to the contracting party, and to operate these stations for a further period.</t>
        </is>
      </c>
      <c r="L325" s="2" t="inlineStr">
        <is>
          <t>pend</t>
        </is>
      </c>
      <c r="M325" s="2" t="n"/>
      <c r="N325" s="2" t="n"/>
      <c r="O325" s="3" t="inlineStr">
        <is>
          <t>https://vanillabonds.com/dossier-data/pdf/fastned/fastned-2023-annual-report.pdf#page=119</t>
        </is>
      </c>
    </row>
    <row r="326">
      <c r="A326" s="2" t="inlineStr">
        <is>
          <t>F325</t>
        </is>
      </c>
      <c r="B326" s="2" t="inlineStr">
        <is>
          <t>market</t>
        </is>
      </c>
      <c r="C326" s="2" t="inlineStr">
        <is>
          <t>contract_term</t>
        </is>
      </c>
      <c r="D326" s="3" t="inlineStr">
        <is>
          <t>Key contract: counterparty; share (of revenue or purchases, 0-1); duration; termination; indexation</t>
        </is>
      </c>
      <c r="E326" s="2" t="n"/>
      <c r="F326" s="2" t="n"/>
      <c r="G326" s="2" t="n"/>
      <c r="H326" s="3" t="inlineStr">
        <is>
          <t>counterparty: power purchase agreement supplier (not named); share: not stated; duration: 1 Feb 2024 to 1 Jan 2032, 15 GWh per year at a predetermined price per GWh; indexation: not stated (IFRS 9 own-use)</t>
        </is>
      </c>
      <c r="I326" s="2" t="inlineStr">
        <is>
          <t>S1</t>
        </is>
      </c>
      <c r="J326" s="2" t="n">
        <v>155</v>
      </c>
      <c r="K326" s="3" t="inlineStr">
        <is>
          <t>The contract includes the purchase of 15 GWh of electricity per year for a predetermined price per GWh.</t>
        </is>
      </c>
      <c r="L326" s="2" t="inlineStr">
        <is>
          <t>pend</t>
        </is>
      </c>
      <c r="M326" s="2" t="n"/>
      <c r="N326" s="2" t="n"/>
      <c r="O326" s="3" t="inlineStr">
        <is>
          <t>https://vanillabonds.com/dossier-data/pdf/fastned/fastned-2023-annual-report.pdf#page=155</t>
        </is>
      </c>
    </row>
    <row r="327">
      <c r="A327" s="2" t="inlineStr">
        <is>
          <t>F326</t>
        </is>
      </c>
      <c r="B327" s="2" t="inlineStr">
        <is>
          <t>market</t>
        </is>
      </c>
      <c r="C327" s="2" t="inlineStr">
        <is>
          <t>price_cost_series</t>
        </is>
      </c>
      <c r="D327" s="3" t="inlineStr">
        <is>
          <t>Price or input-cost series: variable; year; value; unit; source</t>
        </is>
      </c>
      <c r="E327" s="2" t="n"/>
      <c r="F327" s="2" t="n">
        <v>0.45</v>
      </c>
      <c r="G327" s="2" t="n"/>
      <c r="H327" s="3" t="inlineStr">
        <is>
          <t>variable: gross profit per kWh; year: 2023; value: 0.45; unit: EUR per kWh; source: company</t>
        </is>
      </c>
      <c r="I327" s="2" t="inlineStr">
        <is>
          <t>S1</t>
        </is>
      </c>
      <c r="J327" s="2" t="n">
        <v>36</v>
      </c>
      <c r="K327" s="3" t="inlineStr">
        <is>
          <t>while a higher gross profit per kWh (€0.45 vs €0.39 in 2022), following a decrease in energy prices, accounted for the remaining part.</t>
        </is>
      </c>
      <c r="L327" s="2" t="inlineStr">
        <is>
          <t>pend</t>
        </is>
      </c>
      <c r="M327" s="2" t="n"/>
      <c r="N327" s="2" t="n"/>
      <c r="O327" s="3" t="inlineStr">
        <is>
          <t>https://vanillabonds.com/dossier-data/pdf/fastned/fastned-2023-annual-report.pdf#page=36</t>
        </is>
      </c>
    </row>
    <row r="328">
      <c r="A328" s="2" t="inlineStr">
        <is>
          <t>F327</t>
        </is>
      </c>
      <c r="B328" s="2" t="inlineStr">
        <is>
          <t>market</t>
        </is>
      </c>
      <c r="C328" s="2" t="inlineStr">
        <is>
          <t>price_cost_series</t>
        </is>
      </c>
      <c r="D328" s="3" t="inlineStr">
        <is>
          <t>Price or input-cost series: variable; year; value; unit; source</t>
        </is>
      </c>
      <c r="E328" s="2" t="n"/>
      <c r="F328" s="2" t="n">
        <v>0.39</v>
      </c>
      <c r="G328" s="2" t="n"/>
      <c r="H328" s="3" t="inlineStr">
        <is>
          <t>variable: gross profit per kWh; year: 2022; value: 0.39; unit: EUR per kWh; source: company</t>
        </is>
      </c>
      <c r="I328" s="2" t="inlineStr">
        <is>
          <t>S1</t>
        </is>
      </c>
      <c r="J328" s="2" t="n">
        <v>36</v>
      </c>
      <c r="K328" s="3" t="inlineStr">
        <is>
          <t>while a higher gross profit per kWh (€0.45 vs €0.39 in 2022), following a decrease in energy prices, accounted for the remaining part.</t>
        </is>
      </c>
      <c r="L328" s="2" t="inlineStr">
        <is>
          <t>pend</t>
        </is>
      </c>
      <c r="M328" s="2" t="n"/>
      <c r="N328" s="2" t="n"/>
      <c r="O328" s="3" t="inlineStr">
        <is>
          <t>https://vanillabonds.com/dossier-data/pdf/fastned/fastned-2023-annual-report.pdf#page=36</t>
        </is>
      </c>
    </row>
    <row r="329">
      <c r="A329" s="2" t="inlineStr">
        <is>
          <t>F328</t>
        </is>
      </c>
      <c r="B329" s="2" t="inlineStr">
        <is>
          <t>market</t>
        </is>
      </c>
      <c r="C329" s="2" t="inlineStr">
        <is>
          <t>price_cost_series</t>
        </is>
      </c>
      <c r="D329" s="3" t="inlineStr">
        <is>
          <t>Price or input-cost series: variable; year; value; unit; source</t>
        </is>
      </c>
      <c r="E329" s="2" t="n"/>
      <c r="F329" s="2" t="n">
        <v>14000</v>
      </c>
      <c r="G329" s="2" t="n"/>
      <c r="H329" s="3" t="inlineStr">
        <is>
          <t>variable: network operation costs per charger; year: 2023; value: 14000; unit: EUR per charger (+12% vs 2022, grid fees 90% of the increase); source: company</t>
        </is>
      </c>
      <c r="I329" s="2" t="inlineStr">
        <is>
          <t>S1</t>
        </is>
      </c>
      <c r="J329" s="2" t="n">
        <v>37</v>
      </c>
      <c r="K329" s="3" t="inlineStr">
        <is>
          <t>Network operation costs per charger, the more relevant number, increased by 12% to €14,000.</t>
        </is>
      </c>
      <c r="L329" s="2" t="inlineStr">
        <is>
          <t>pend</t>
        </is>
      </c>
      <c r="M329" s="2" t="n"/>
      <c r="N329" s="2" t="n"/>
      <c r="O329" s="3" t="inlineStr">
        <is>
          <t>https://vanillabonds.com/dossier-data/pdf/fastned/fastned-2023-annual-report.pdf#page=37</t>
        </is>
      </c>
    </row>
    <row r="330">
      <c r="A330" s="2" t="inlineStr">
        <is>
          <t>F329</t>
        </is>
      </c>
      <c r="B330" s="2" t="inlineStr">
        <is>
          <t>market</t>
        </is>
      </c>
      <c r="C330" s="2" t="inlineStr">
        <is>
          <t>price_cost_series</t>
        </is>
      </c>
      <c r="D330" s="3" t="inlineStr">
        <is>
          <t>Price or input-cost series: variable; year; value; unit; source</t>
        </is>
      </c>
      <c r="E330" s="2" t="n"/>
      <c r="F330" s="2" t="n">
        <v>7.4</v>
      </c>
      <c r="G330" s="2" t="n"/>
      <c r="H330" s="3" t="inlineStr">
        <is>
          <t>variable: grid fees; year: 2023; value: 7.4; unit: EUR m; source: note 8.3 (2022: 3.5)</t>
        </is>
      </c>
      <c r="I330" s="2" t="inlineStr">
        <is>
          <t>S1</t>
        </is>
      </c>
      <c r="J330" s="2" t="n">
        <v>124</v>
      </c>
      <c r="K330" s="2" t="inlineStr">
        <is>
          <t>Grid Fees 7,416 3,525</t>
        </is>
      </c>
      <c r="L330" s="2" t="inlineStr">
        <is>
          <t>pend</t>
        </is>
      </c>
      <c r="M330" s="2" t="n"/>
      <c r="N330" s="2" t="n"/>
      <c r="O330" s="3" t="inlineStr">
        <is>
          <t>https://vanillabonds.com/dossier-data/pdf/fastned/fastned-2023-annual-report.pdf#page=124</t>
        </is>
      </c>
    </row>
    <row r="331">
      <c r="A331" s="2" t="inlineStr">
        <is>
          <t>F330</t>
        </is>
      </c>
      <c r="B331" s="2" t="inlineStr">
        <is>
          <t>market</t>
        </is>
      </c>
      <c r="C331" s="2" t="inlineStr">
        <is>
          <t>permit</t>
        </is>
      </c>
      <c r="D331" s="3" t="inlineStr">
        <is>
          <t>Certification, licence, permit or patent: item; issuer; expiry; register</t>
        </is>
      </c>
      <c r="E331" s="2" t="n"/>
      <c r="F331" s="2" t="n"/>
      <c r="G331" s="2" t="n"/>
      <c r="H331" s="3" t="inlineStr">
        <is>
          <t>item: CO2 Performance Ladder (CO2 Prestatieladder) Level 4 certificate, late 2023; issuer: not named (Dutch CO2 Performance Ladder scheme); expiry: not stated</t>
        </is>
      </c>
      <c r="I331" s="2" t="inlineStr">
        <is>
          <t>S1</t>
        </is>
      </c>
      <c r="J331" s="2" t="n">
        <v>56</v>
      </c>
      <c r="K331" s="3" t="inlineStr">
        <is>
          <t>achieved level 4 of the Dutch CO₂ Performance Ladder (Prestatieladder) certification in late 2023.</t>
        </is>
      </c>
      <c r="L331" s="2" t="inlineStr">
        <is>
          <t>pend</t>
        </is>
      </c>
      <c r="M331" s="2" t="n"/>
      <c r="N331" s="2" t="n"/>
      <c r="O331" s="3" t="inlineStr">
        <is>
          <t>https://vanillabonds.com/dossier-data/pdf/fastned/fastned-2023-annual-report.pdf#page=56</t>
        </is>
      </c>
    </row>
    <row r="332">
      <c r="A332" s="2" t="inlineStr">
        <is>
          <t>F331</t>
        </is>
      </c>
      <c r="B332" s="2" t="inlineStr">
        <is>
          <t>market</t>
        </is>
      </c>
      <c r="C332" s="2" t="inlineStr">
        <is>
          <t>permit</t>
        </is>
      </c>
      <c r="D332" s="3" t="inlineStr">
        <is>
          <t>Certification, licence, permit or patent: item; issuer; expiry; register</t>
        </is>
      </c>
      <c r="E332" s="2" t="n"/>
      <c r="F332" s="2" t="n">
        <v>1.8</v>
      </c>
      <c r="G332" s="2" t="n"/>
      <c r="H332" s="3" t="inlineStr">
        <is>
          <t>item: site licences &amp; permits (intangible, net book value EUR 1,819k at 31 Dec 2023); issuer: not stated; expiry: amortised; register: not stated</t>
        </is>
      </c>
      <c r="I332" s="2" t="inlineStr">
        <is>
          <t>S1</t>
        </is>
      </c>
      <c r="J332" s="2" t="n">
        <v>129</v>
      </c>
      <c r="K332" s="3" t="inlineStr">
        <is>
          <t>At 31 December Net Book Value 1,819 653 32 2,504 2,041 574 51 2,666</t>
        </is>
      </c>
      <c r="L332" s="2" t="inlineStr">
        <is>
          <t>pend</t>
        </is>
      </c>
      <c r="M332" s="2" t="n"/>
      <c r="N332" s="2" t="n"/>
      <c r="O332" s="3" t="inlineStr">
        <is>
          <t>https://vanillabonds.com/dossier-data/pdf/fastned/fastned-2023-annual-report.pdf#page=129</t>
        </is>
      </c>
    </row>
    <row r="333">
      <c r="A333" s="2" t="inlineStr">
        <is>
          <t>F332</t>
        </is>
      </c>
      <c r="B333" s="2" t="inlineStr">
        <is>
          <t>financials</t>
        </is>
      </c>
      <c r="C333" s="2" t="inlineStr">
        <is>
          <t>addback_item</t>
        </is>
      </c>
      <c r="D333" s="3" t="inlineStr">
        <is>
          <t>EBITDA add-back: item; amount; justification as given by the company</t>
        </is>
      </c>
      <c r="E333" s="2" t="inlineStr">
        <is>
          <t>FY2021</t>
        </is>
      </c>
      <c r="F333" s="2" t="n">
        <v>8.199999999999999</v>
      </c>
      <c r="G333" s="2" t="n"/>
      <c r="H333" s="3" t="inlineStr">
        <is>
          <t>item: exceptional items added back to underlying company EBITDA (employee options); amount: 8.2; justification: 'one-off gains and losses' per company</t>
        </is>
      </c>
      <c r="I333" s="2" t="inlineStr">
        <is>
          <t>S1</t>
        </is>
      </c>
      <c r="J333" s="2" t="n">
        <v>36</v>
      </c>
      <c r="K333" s="2" t="inlineStr">
        <is>
          <t>Exceptional items (3.2) (0.5) (8.2)</t>
        </is>
      </c>
      <c r="L333" s="2" t="inlineStr">
        <is>
          <t>pend</t>
        </is>
      </c>
      <c r="M333" s="2" t="n"/>
      <c r="N333" s="2" t="n"/>
      <c r="O333" s="3" t="inlineStr">
        <is>
          <t>https://vanillabonds.com/dossier-data/pdf/fastned/fastned-2023-annual-report.pdf#page=36</t>
        </is>
      </c>
    </row>
    <row r="334">
      <c r="A334" s="2" t="inlineStr">
        <is>
          <t>F333</t>
        </is>
      </c>
      <c r="B334" s="2" t="inlineStr">
        <is>
          <t>financials</t>
        </is>
      </c>
      <c r="C334" s="2" t="inlineStr">
        <is>
          <t>addback_item</t>
        </is>
      </c>
      <c r="D334" s="3" t="inlineStr">
        <is>
          <t>EBITDA add-back: item; amount; justification as given by the company</t>
        </is>
      </c>
      <c r="E334" s="2" t="inlineStr">
        <is>
          <t>FY2022</t>
        </is>
      </c>
      <c r="F334" s="2" t="n">
        <v>0.5</v>
      </c>
      <c r="G334" s="2" t="n"/>
      <c r="H334" s="3" t="inlineStr">
        <is>
          <t>item: exceptional items added back to underlying company EBITDA; amount: 0.5; justification: 'one-off gains and losses' per company</t>
        </is>
      </c>
      <c r="I334" s="2" t="inlineStr">
        <is>
          <t>S1</t>
        </is>
      </c>
      <c r="J334" s="2" t="n">
        <v>36</v>
      </c>
      <c r="K334" s="2" t="inlineStr">
        <is>
          <t>Exceptional items (3.2) (0.5) (8.2)</t>
        </is>
      </c>
      <c r="L334" s="2" t="inlineStr">
        <is>
          <t>pend</t>
        </is>
      </c>
      <c r="M334" s="2" t="n"/>
      <c r="N334" s="2" t="n"/>
      <c r="O334" s="3" t="inlineStr">
        <is>
          <t>https://vanillabonds.com/dossier-data/pdf/fastned/fastned-2023-annual-report.pdf#page=36</t>
        </is>
      </c>
    </row>
    <row r="335">
      <c r="A335" s="2" t="inlineStr">
        <is>
          <t>F334</t>
        </is>
      </c>
      <c r="B335" s="2" t="inlineStr">
        <is>
          <t>financials</t>
        </is>
      </c>
      <c r="C335" s="2" t="inlineStr">
        <is>
          <t>addback_item</t>
        </is>
      </c>
      <c r="D335" s="3" t="inlineStr">
        <is>
          <t>EBITDA add-back: item; amount; justification as given by the company</t>
        </is>
      </c>
      <c r="E335" s="2" t="inlineStr">
        <is>
          <t>FY2023</t>
        </is>
      </c>
      <c r="F335" s="2" t="n">
        <v>3.2</v>
      </c>
      <c r="G335" s="2" t="n"/>
      <c r="H335" s="3" t="inlineStr">
        <is>
          <t>item: exceptional items added back from EBITDA to underlying company EBITDA; amount: 3.2; justification: company definition 'gains or losses arising one-time or infrequent events not directly related to normal station business including cost of employee share-based payments'</t>
        </is>
      </c>
      <c r="I335" s="2" t="inlineStr">
        <is>
          <t>S1</t>
        </is>
      </c>
      <c r="J335" s="2" t="n">
        <v>88</v>
      </c>
      <c r="K335" s="3" t="inlineStr">
        <is>
          <t>Gains or losses arising one-time or infrequent events not directly related to normal station business including cost of employee share-based payments</t>
        </is>
      </c>
      <c r="L335" s="2" t="inlineStr">
        <is>
          <t>pend</t>
        </is>
      </c>
      <c r="M335" s="2" t="n"/>
      <c r="N335" s="2" t="n"/>
      <c r="O335" s="3" t="inlineStr">
        <is>
          <t>https://vanillabonds.com/dossier-data/pdf/fastned/fastned-2023-annual-report.pdf#page=88</t>
        </is>
      </c>
    </row>
    <row r="336">
      <c r="A336" s="2" t="inlineStr">
        <is>
          <t>F335</t>
        </is>
      </c>
      <c r="B336" s="2" t="inlineStr">
        <is>
          <t>financials</t>
        </is>
      </c>
      <c r="C336" s="2" t="inlineStr">
        <is>
          <t>one_off</t>
        </is>
      </c>
      <c r="D336" s="3" t="inlineStr">
        <is>
          <t>One-off item: item; amount; recurrence (years in which it recurred)</t>
        </is>
      </c>
      <c r="E336" s="2" t="inlineStr">
        <is>
          <t>FY2021</t>
        </is>
      </c>
      <c r="F336" s="2" t="n">
        <v>-8.199999999999999</v>
      </c>
      <c r="G336" s="2" t="n"/>
      <c r="H336" s="3" t="inlineStr">
        <is>
          <t>item: total exceptional items (options awarded to staff -8.2); amount: -8.2</t>
        </is>
      </c>
      <c r="I336" s="2" t="inlineStr">
        <is>
          <t>S1</t>
        </is>
      </c>
      <c r="J336" s="2" t="n">
        <v>37</v>
      </c>
      <c r="K336" s="3" t="inlineStr">
        <is>
          <t>Total exceptional items (3,218) (516) (8,171)</t>
        </is>
      </c>
      <c r="L336" s="2" t="inlineStr">
        <is>
          <t>pend</t>
        </is>
      </c>
      <c r="M336" s="2" t="n"/>
      <c r="N336" s="2" t="n"/>
      <c r="O336" s="3" t="inlineStr">
        <is>
          <t>https://vanillabonds.com/dossier-data/pdf/fastned/fastned-2023-annual-report.pdf#page=37</t>
        </is>
      </c>
    </row>
    <row r="337">
      <c r="A337" s="2" t="inlineStr">
        <is>
          <t>F336</t>
        </is>
      </c>
      <c r="B337" s="2" t="inlineStr">
        <is>
          <t>financials</t>
        </is>
      </c>
      <c r="C337" s="2" t="inlineStr">
        <is>
          <t>one_off</t>
        </is>
      </c>
      <c r="D337" s="3" t="inlineStr">
        <is>
          <t>One-off item: item; amount; recurrence (years in which it recurred)</t>
        </is>
      </c>
      <c r="E337" s="2" t="inlineStr">
        <is>
          <t>FY2022</t>
        </is>
      </c>
      <c r="F337" s="2" t="n">
        <v>-0.5</v>
      </c>
      <c r="G337" s="2" t="n"/>
      <c r="H337" s="3" t="inlineStr">
        <is>
          <t>item: total exceptional items (impairment losses -0.5, other expense -0.1); amount: -0.5</t>
        </is>
      </c>
      <c r="I337" s="2" t="inlineStr">
        <is>
          <t>S1</t>
        </is>
      </c>
      <c r="J337" s="2" t="n">
        <v>37</v>
      </c>
      <c r="K337" s="3" t="inlineStr">
        <is>
          <t>Total exceptional items (3,218) (516) (8,171)</t>
        </is>
      </c>
      <c r="L337" s="2" t="inlineStr">
        <is>
          <t>pend</t>
        </is>
      </c>
      <c r="M337" s="2" t="n"/>
      <c r="N337" s="2" t="n"/>
      <c r="O337" s="3" t="inlineStr">
        <is>
          <t>https://vanillabonds.com/dossier-data/pdf/fastned/fastned-2023-annual-report.pdf#page=37</t>
        </is>
      </c>
    </row>
    <row r="338">
      <c r="A338" s="2" t="inlineStr">
        <is>
          <t>F337</t>
        </is>
      </c>
      <c r="B338" s="2" t="inlineStr">
        <is>
          <t>financials</t>
        </is>
      </c>
      <c r="C338" s="2" t="inlineStr">
        <is>
          <t>one_off</t>
        </is>
      </c>
      <c r="D338" s="3" t="inlineStr">
        <is>
          <t>One-off item: item; amount; recurrence (years in which it recurred)</t>
        </is>
      </c>
      <c r="E338" s="2" t="inlineStr">
        <is>
          <t>FY2022</t>
        </is>
      </c>
      <c r="F338" s="2" t="n">
        <v>0.5</v>
      </c>
      <c r="G338" s="2" t="n"/>
      <c r="H338" s="3" t="inlineStr">
        <is>
          <t>item: impairment loss on the loan to Fastned Terra 1 B.V.; amount: 0.5 (465k); recurrence: none in 2023</t>
        </is>
      </c>
      <c r="I338" s="2" t="inlineStr">
        <is>
          <t>S1</t>
        </is>
      </c>
      <c r="J338" s="2" t="n">
        <v>134</v>
      </c>
      <c r="K338" s="3" t="inlineStr">
        <is>
          <t>Impairment loss on financial assets — (465)</t>
        </is>
      </c>
      <c r="L338" s="2" t="inlineStr">
        <is>
          <t>pend</t>
        </is>
      </c>
      <c r="M338" s="2" t="n"/>
      <c r="N338" s="2" t="n"/>
      <c r="O338" s="3" t="inlineStr">
        <is>
          <t>https://vanillabonds.com/dossier-data/pdf/fastned/fastned-2023-annual-report.pdf#page=134</t>
        </is>
      </c>
    </row>
    <row r="339">
      <c r="A339" s="2" t="inlineStr">
        <is>
          <t>F338</t>
        </is>
      </c>
      <c r="B339" s="2" t="inlineStr">
        <is>
          <t>financials</t>
        </is>
      </c>
      <c r="C339" s="2" t="inlineStr">
        <is>
          <t>one_off</t>
        </is>
      </c>
      <c r="D339" s="3" t="inlineStr">
        <is>
          <t>One-off item: item; amount; recurrence (years in which it recurred)</t>
        </is>
      </c>
      <c r="E339" s="2" t="inlineStr">
        <is>
          <t>FY2023</t>
        </is>
      </c>
      <c r="F339" s="2" t="n">
        <v>-2.7</v>
      </c>
      <c r="G339" s="2" t="n"/>
      <c r="H339" s="3" t="inlineStr">
        <is>
          <t>item: options awarded to staff on achieving Milestone 3 of the option plan (share-based payment); amount: -2.7; recurrence: 2021 (-8.2)</t>
        </is>
      </c>
      <c r="I339" s="2" t="inlineStr">
        <is>
          <t>S1</t>
        </is>
      </c>
      <c r="J339" s="2" t="n">
        <v>37</v>
      </c>
      <c r="K339" s="3" t="inlineStr">
        <is>
          <t>Options awarded to staff (2,687) — (8,158)</t>
        </is>
      </c>
      <c r="L339" s="2" t="inlineStr">
        <is>
          <t>pend</t>
        </is>
      </c>
      <c r="M339" s="2" t="n"/>
      <c r="N339" s="2" t="n"/>
      <c r="O339" s="3" t="inlineStr">
        <is>
          <t>https://vanillabonds.com/dossier-data/pdf/fastned/fastned-2023-annual-report.pdf#page=37</t>
        </is>
      </c>
    </row>
    <row r="340">
      <c r="A340" s="2" t="inlineStr">
        <is>
          <t>F339</t>
        </is>
      </c>
      <c r="B340" s="2" t="inlineStr">
        <is>
          <t>financials</t>
        </is>
      </c>
      <c r="C340" s="2" t="inlineStr">
        <is>
          <t>one_off</t>
        </is>
      </c>
      <c r="D340" s="3" t="inlineStr">
        <is>
          <t>One-off item: item; amount; recurrence (years in which it recurred)</t>
        </is>
      </c>
      <c r="E340" s="2" t="inlineStr">
        <is>
          <t>FY2023</t>
        </is>
      </c>
      <c r="F340" s="2" t="n">
        <v>-0.6</v>
      </c>
      <c r="G340" s="2" t="n"/>
      <c r="H340" s="3" t="inlineStr">
        <is>
          <t>item: loss on the acquisition of Fastned Terra 1 B.V. (other income/(expense)); amount: -0.6</t>
        </is>
      </c>
      <c r="I340" s="2" t="inlineStr">
        <is>
          <t>S1</t>
        </is>
      </c>
      <c r="J340" s="2" t="n">
        <v>37</v>
      </c>
      <c r="K340" s="3" t="inlineStr">
        <is>
          <t>as well as a €(0.6) million loss incurred with the acquisition of Fastned Terra 1 B.V.</t>
        </is>
      </c>
      <c r="L340" s="2" t="inlineStr">
        <is>
          <t>pend</t>
        </is>
      </c>
      <c r="M340" s="2" t="n"/>
      <c r="N340" s="2" t="n"/>
      <c r="O340" s="3" t="inlineStr">
        <is>
          <t>https://vanillabonds.com/dossier-data/pdf/fastned/fastned-2023-annual-report.pdf#page=37</t>
        </is>
      </c>
    </row>
    <row r="341">
      <c r="A341" s="2" t="inlineStr">
        <is>
          <t>F340</t>
        </is>
      </c>
      <c r="B341" s="2" t="inlineStr">
        <is>
          <t>financials</t>
        </is>
      </c>
      <c r="C341" s="2" t="inlineStr">
        <is>
          <t>one_off</t>
        </is>
      </c>
      <c r="D341" s="3" t="inlineStr">
        <is>
          <t>One-off item: item; amount; recurrence (years in which it recurred)</t>
        </is>
      </c>
      <c r="E341" s="2" t="inlineStr">
        <is>
          <t>FY2023</t>
        </is>
      </c>
      <c r="F341" s="2" t="n">
        <v>-3.2</v>
      </c>
      <c r="G341" s="2" t="n"/>
      <c r="H341" s="3" t="inlineStr">
        <is>
          <t>item: total exceptional items (options -2.7, other expense -0.6, disposal gain +0.1, impairment gain +0.0); amount: -3.2; recurrence: 2022 (-0.5), 2021 (-8.2)</t>
        </is>
      </c>
      <c r="I341" s="2" t="inlineStr">
        <is>
          <t>S1</t>
        </is>
      </c>
      <c r="J341" s="2" t="n">
        <v>37</v>
      </c>
      <c r="K341" s="3" t="inlineStr">
        <is>
          <t>Total exceptional items (3,218) (516) (8,171)</t>
        </is>
      </c>
      <c r="L341" s="2" t="inlineStr">
        <is>
          <t>pend</t>
        </is>
      </c>
      <c r="M341" s="2" t="n"/>
      <c r="N341" s="2" t="n"/>
      <c r="O341" s="3" t="inlineStr">
        <is>
          <t>https://vanillabonds.com/dossier-data/pdf/fastned/fastned-2023-annual-report.pdf#page=37</t>
        </is>
      </c>
    </row>
    <row r="342">
      <c r="A342" s="2" t="inlineStr">
        <is>
          <t>F341</t>
        </is>
      </c>
      <c r="B342" s="2" t="inlineStr">
        <is>
          <t>financials</t>
        </is>
      </c>
      <c r="C342" s="2" t="inlineStr">
        <is>
          <t>one_off</t>
        </is>
      </c>
      <c r="D342" s="3" t="inlineStr">
        <is>
          <t>One-off item: item; amount; recurrence (years in which it recurred)</t>
        </is>
      </c>
      <c r="E342" s="2" t="inlineStr">
        <is>
          <t>FY2023</t>
        </is>
      </c>
      <c r="F342" s="2" t="n">
        <v>2.7</v>
      </c>
      <c r="G342" s="2" t="n"/>
      <c r="H342" s="3" t="inlineStr">
        <is>
          <t>item: non-cash fair value of share options awarded to personnel included in wages and salaries; amount: 2.7; recurrence: 2022 nil</t>
        </is>
      </c>
      <c r="I342" s="2" t="inlineStr">
        <is>
          <t>S1</t>
        </is>
      </c>
      <c r="J342" s="2" t="n">
        <v>123</v>
      </c>
      <c r="K342" s="3" t="inlineStr">
        <is>
          <t>Wages and salaries in 2023 include €2.7 million for the fair value of options awarded to personnel under Fastned Option Plans (2022: nil)</t>
        </is>
      </c>
      <c r="L342" s="2" t="inlineStr">
        <is>
          <t>pend</t>
        </is>
      </c>
      <c r="M342" s="2" t="n"/>
      <c r="N342" s="2" t="n"/>
      <c r="O342" s="3" t="inlineStr">
        <is>
          <t>https://vanillabonds.com/dossier-data/pdf/fastned/fastned-2023-annual-report.pdf#page=123</t>
        </is>
      </c>
    </row>
    <row r="343">
      <c r="A343" s="2" t="inlineStr">
        <is>
          <t>F342</t>
        </is>
      </c>
      <c r="B343" s="2" t="inlineStr">
        <is>
          <t>financials</t>
        </is>
      </c>
      <c r="C343" s="2" t="inlineStr">
        <is>
          <t>one_off</t>
        </is>
      </c>
      <c r="D343" s="3" t="inlineStr">
        <is>
          <t>One-off item: item; amount; recurrence (years in which it recurred)</t>
        </is>
      </c>
      <c r="E343" s="2" t="inlineStr">
        <is>
          <t>FY2023</t>
        </is>
      </c>
      <c r="F343" s="2" t="n">
        <v>0.6</v>
      </c>
      <c r="G343" s="2" t="n"/>
      <c r="H343" s="3" t="inlineStr">
        <is>
          <t>item: settlement of pre-existing relationship on the Terra 1 acquisition in other gains and losses; amount: 0.6; recurrence: none</t>
        </is>
      </c>
      <c r="I343" s="2" t="inlineStr">
        <is>
          <t>S1</t>
        </is>
      </c>
      <c r="J343" s="2" t="n">
        <v>123</v>
      </c>
      <c r="K343" s="3" t="inlineStr">
        <is>
          <t>The increase in net loss is mainly explained by the acquisition of Terra 1 B.V. The settlement of pre-existing relationship amounted to €0.6 million</t>
        </is>
      </c>
      <c r="L343" s="2" t="inlineStr">
        <is>
          <t>pend</t>
        </is>
      </c>
      <c r="M343" s="2" t="n"/>
      <c r="N343" s="2" t="n"/>
      <c r="O343" s="3" t="inlineStr">
        <is>
          <t>https://vanillabonds.com/dossier-data/pdf/fastned/fastned-2023-annual-report.pdf#page=123</t>
        </is>
      </c>
    </row>
    <row r="344">
      <c r="A344" s="2" t="inlineStr">
        <is>
          <t>F343</t>
        </is>
      </c>
      <c r="B344" s="2" t="inlineStr">
        <is>
          <t>financials</t>
        </is>
      </c>
      <c r="C344" s="2" t="inlineStr">
        <is>
          <t>offbalance_item</t>
        </is>
      </c>
      <c r="D344" s="3" t="inlineStr">
        <is>
          <t>Off-balance item: kind (lease, factoring, guarantee given, pension deficit, earn-out, litigation provision); amount; counterparty</t>
        </is>
      </c>
      <c r="E344" s="2" t="inlineStr">
        <is>
          <t>FY2023</t>
        </is>
      </c>
      <c r="F344" s="2" t="n">
        <v>0</v>
      </c>
      <c r="G344" s="2" t="n"/>
      <c r="H344" s="3" t="inlineStr">
        <is>
          <t>kind: pension deficit; amount: 0; counterparty: none, only defined contribution plans in NL, BE and UK, plan assets and liabilities not on the balance sheet</t>
        </is>
      </c>
      <c r="I344" s="2" t="inlineStr">
        <is>
          <t>S1</t>
        </is>
      </c>
      <c r="J344" s="2" t="n">
        <v>124</v>
      </c>
      <c r="K344" s="3" t="inlineStr">
        <is>
          <t>The assets and liabilities of such plans are not included in the balance sheet of the Group. Total costs for these two schemes are €0.6 million (2022: €0.4 million)</t>
        </is>
      </c>
      <c r="L344" s="2" t="inlineStr">
        <is>
          <t>pend</t>
        </is>
      </c>
      <c r="M344" s="2" t="n"/>
      <c r="N344" s="2" t="n"/>
      <c r="O344" s="3" t="inlineStr">
        <is>
          <t>https://vanillabonds.com/dossier-data/pdf/fastned/fastned-2023-annual-report.pdf#page=124</t>
        </is>
      </c>
    </row>
    <row r="345">
      <c r="A345" s="2" t="inlineStr">
        <is>
          <t>F344</t>
        </is>
      </c>
      <c r="B345" s="2" t="inlineStr">
        <is>
          <t>financials</t>
        </is>
      </c>
      <c r="C345" s="2" t="inlineStr">
        <is>
          <t>offbalance_item</t>
        </is>
      </c>
      <c r="D345" s="3" t="inlineStr">
        <is>
          <t>Off-balance item: kind (lease, factoring, guarantee given, pension deficit, earn-out, litigation provision); amount; counterparty</t>
        </is>
      </c>
      <c r="E345" s="2" t="inlineStr">
        <is>
          <t>FY2023</t>
        </is>
      </c>
      <c r="F345" s="2" t="n">
        <v>0.7</v>
      </c>
      <c r="G345" s="2" t="n"/>
      <c r="H345" s="3" t="inlineStr">
        <is>
          <t>kind: lease (short-term and low-value lease commitments); amount: 0.7; counterparty: lessors (2022: 0.6)</t>
        </is>
      </c>
      <c r="I345" s="2" t="inlineStr">
        <is>
          <t>S1</t>
        </is>
      </c>
      <c r="J345" s="2" t="n">
        <v>133</v>
      </c>
      <c r="K345" s="3" t="inlineStr">
        <is>
          <t>As of December 31, 2023, the Group is committed to €703 thousand (2022: €604 thousand) for short term and low value leases.</t>
        </is>
      </c>
      <c r="L345" s="2" t="inlineStr">
        <is>
          <t>pend</t>
        </is>
      </c>
      <c r="M345" s="2" t="n"/>
      <c r="N345" s="2" t="n"/>
      <c r="O345" s="3" t="inlineStr">
        <is>
          <t>https://vanillabonds.com/dossier-data/pdf/fastned/fastned-2023-annual-report.pdf#page=133</t>
        </is>
      </c>
    </row>
    <row r="346">
      <c r="A346" s="2" t="inlineStr">
        <is>
          <t>F345</t>
        </is>
      </c>
      <c r="B346" s="2" t="inlineStr">
        <is>
          <t>financials</t>
        </is>
      </c>
      <c r="C346" s="2" t="inlineStr">
        <is>
          <t>offbalance_item</t>
        </is>
      </c>
      <c r="D346" s="3" t="inlineStr">
        <is>
          <t>Off-balance item: kind (lease, factoring, guarantee given, pension deficit, earn-out, litigation provision); amount; counterparty</t>
        </is>
      </c>
      <c r="E346" s="2" t="inlineStr">
        <is>
          <t>FY2023</t>
        </is>
      </c>
      <c r="F346" s="2" t="n">
        <v>3.4</v>
      </c>
      <c r="G346" s="2" t="n"/>
      <c r="H346" s="3" t="inlineStr">
        <is>
          <t>kind: guarantee given (restricted cash pledged for construction and operating guarantees on French stations); amount: 3.4; counterparty: French station landlords/authorities (2022: 2.7)</t>
        </is>
      </c>
      <c r="I346" s="2" t="inlineStr">
        <is>
          <t>S1</t>
        </is>
      </c>
      <c r="J346" s="2" t="n">
        <v>135</v>
      </c>
      <c r="K346" s="3" t="inlineStr">
        <is>
          <t>The Group has €3.4 million of restricted cash related to construction and operating guarantees provided in relation to French stations in 2023 (2022: €2.7 million).</t>
        </is>
      </c>
      <c r="L346" s="2" t="inlineStr">
        <is>
          <t>pend</t>
        </is>
      </c>
      <c r="M346" s="2" t="n"/>
      <c r="N346" s="2" t="n"/>
      <c r="O346" s="3" t="inlineStr">
        <is>
          <t>https://vanillabonds.com/dossier-data/pdf/fastned/fastned-2023-annual-report.pdf#page=135</t>
        </is>
      </c>
    </row>
    <row r="347">
      <c r="A347" s="2" t="inlineStr">
        <is>
          <t>F346</t>
        </is>
      </c>
      <c r="B347" s="2" t="inlineStr">
        <is>
          <t>financials</t>
        </is>
      </c>
      <c r="C347" s="2" t="inlineStr">
        <is>
          <t>offbalance_item</t>
        </is>
      </c>
      <c r="D347" s="3" t="inlineStr">
        <is>
          <t>Off-balance item: kind (lease, factoring, guarantee given, pension deficit, earn-out, litigation provision); amount; counterparty</t>
        </is>
      </c>
      <c r="E347" s="2" t="inlineStr">
        <is>
          <t>FY2023</t>
        </is>
      </c>
      <c r="F347" s="2" t="n">
        <v>17</v>
      </c>
      <c r="G347" s="2" t="n"/>
      <c r="H347" s="3" t="inlineStr">
        <is>
          <t>kind: guarantee given (bank guarantees); amount: 17.0; counterparty: banks, of which 13.4 drawn, end date end of 2029 (2022: nil)</t>
        </is>
      </c>
      <c r="I347" s="2" t="inlineStr">
        <is>
          <t>S1</t>
        </is>
      </c>
      <c r="J347" s="2" t="n">
        <v>143</v>
      </c>
      <c r="K347" s="3" t="inlineStr">
        <is>
          <t>Bank guarantees amounting to €17.0 million are outstanding at 31 December 2023 (2022: € 0 million), of which €13.4 million (2022: € 0 million) have been drawn.</t>
        </is>
      </c>
      <c r="L347" s="2" t="inlineStr">
        <is>
          <t>pend</t>
        </is>
      </c>
      <c r="M347" s="2" t="n"/>
      <c r="N347" s="2" t="n"/>
      <c r="O347" s="3" t="inlineStr">
        <is>
          <t>https://vanillabonds.com/dossier-data/pdf/fastned/fastned-2023-annual-report.pdf#page=143</t>
        </is>
      </c>
    </row>
    <row r="348">
      <c r="A348" s="2" t="inlineStr">
        <is>
          <t>F347</t>
        </is>
      </c>
      <c r="B348" s="2" t="inlineStr">
        <is>
          <t>financials</t>
        </is>
      </c>
      <c r="C348" s="2" t="inlineStr">
        <is>
          <t>offbalance_item</t>
        </is>
      </c>
      <c r="D348" s="3" t="inlineStr">
        <is>
          <t>Off-balance item: kind (lease, factoring, guarantee given, pension deficit, earn-out, litigation provision); amount; counterparty</t>
        </is>
      </c>
      <c r="E348" s="2" t="inlineStr">
        <is>
          <t>FY2023</t>
        </is>
      </c>
      <c r="F348" s="2" t="n">
        <v>22.7</v>
      </c>
      <c r="G348" s="2" t="n"/>
      <c r="H348" s="3" t="inlineStr">
        <is>
          <t>kind: capital commitment (station construction orders); amount: 22.7; counterparty: suppliers, to be realised in H1 2024 (2022: 21.6)</t>
        </is>
      </c>
      <c r="I348" s="2" t="inlineStr">
        <is>
          <t>S1</t>
        </is>
      </c>
      <c r="J348" s="2" t="n">
        <v>150</v>
      </c>
      <c r="K348" s="3" t="inlineStr">
        <is>
          <t>The outstanding commitment at 31 December 2023 amounted to approximately €22.71 million (2022: €21.56 million).</t>
        </is>
      </c>
      <c r="L348" s="2" t="inlineStr">
        <is>
          <t>pend</t>
        </is>
      </c>
      <c r="M348" s="2" t="n"/>
      <c r="N348" s="2" t="n"/>
      <c r="O348" s="3" t="inlineStr">
        <is>
          <t>https://vanillabonds.com/dossier-data/pdf/fastned/fastned-2023-annual-report.pdf#page=150</t>
        </is>
      </c>
    </row>
    <row r="349">
      <c r="A349" s="2" t="inlineStr">
        <is>
          <t>F348</t>
        </is>
      </c>
      <c r="B349" s="2" t="inlineStr">
        <is>
          <t>financials</t>
        </is>
      </c>
      <c r="C349" s="2" t="inlineStr">
        <is>
          <t>audit_adjustment</t>
        </is>
      </c>
      <c r="D349" s="3" t="inlineStr">
        <is>
          <t>Audit facts: adjustments (number); management_letter_points (number); restatements; key_audit_matters</t>
        </is>
      </c>
      <c r="E349" s="2" t="inlineStr">
        <is>
          <t>FY2023</t>
        </is>
      </c>
      <c r="F349" s="2" t="n">
        <v>1.2</v>
      </c>
      <c r="G349" s="2" t="n"/>
      <c r="H349" s="3" t="inlineStr">
        <is>
          <t>materiality: 1.2 (2% of reported revenues); reporting threshold to the supervisory board EUR 60k; restatements: none stated</t>
        </is>
      </c>
      <c r="I349" s="2" t="inlineStr">
        <is>
          <t>S1</t>
        </is>
      </c>
      <c r="J349" s="2" t="n">
        <v>179</v>
      </c>
      <c r="K349" s="3" t="inlineStr">
        <is>
          <t>Based on our professional judgement we determined the materiality for the financial statements as a whole at € 1.2 million.</t>
        </is>
      </c>
      <c r="L349" s="2" t="inlineStr">
        <is>
          <t>pend</t>
        </is>
      </c>
      <c r="M349" s="2" t="n"/>
      <c r="N349" s="2" t="n"/>
      <c r="O349" s="3" t="inlineStr">
        <is>
          <t>https://vanillabonds.com/dossier-data/pdf/fastned/fastned-2023-annual-report.pdf#page=179</t>
        </is>
      </c>
    </row>
    <row r="350">
      <c r="A350" s="2" t="inlineStr">
        <is>
          <t>F349</t>
        </is>
      </c>
      <c r="B350" s="2" t="inlineStr">
        <is>
          <t>financials</t>
        </is>
      </c>
      <c r="C350" s="2" t="inlineStr">
        <is>
          <t>audit_adjustment</t>
        </is>
      </c>
      <c r="D350" s="3" t="inlineStr">
        <is>
          <t>Audit facts: adjustments (number); management_letter_points (number); restatements; key_audit_matters</t>
        </is>
      </c>
      <c r="E350" s="2" t="inlineStr">
        <is>
          <t>FY2023</t>
        </is>
      </c>
      <c r="F350" s="2" t="n"/>
      <c r="G350" s="2" t="n"/>
      <c r="H350" s="3" t="inlineStr">
        <is>
          <t>group audit scope: audit of Fastned B.V. plus specific procedures at Fastned Belgie BV, Fastned Deutschland GmbH &amp; Co. KG, Fastned France SAS, Fastned France SPV1 SAS and Fastned UK Limited</t>
        </is>
      </c>
      <c r="I350" s="2" t="inlineStr">
        <is>
          <t>S1</t>
        </is>
      </c>
      <c r="J350" s="2" t="n">
        <v>179</v>
      </c>
      <c r="K350" s="3" t="inlineStr">
        <is>
          <t>performed specific audit procedures for Fastned Belgie BV, Fastned Deutschland GmbH &amp; Co. KG, Fastned France SAS, Fastned France SPV1 SAS and Fastned UK Limited.</t>
        </is>
      </c>
      <c r="L350" s="2" t="inlineStr">
        <is>
          <t>pend</t>
        </is>
      </c>
      <c r="M350" s="2" t="n"/>
      <c r="N350" s="2" t="n"/>
      <c r="O350" s="3" t="inlineStr">
        <is>
          <t>https://vanillabonds.com/dossier-data/pdf/fastned/fastned-2023-annual-report.pdf#page=179</t>
        </is>
      </c>
    </row>
    <row r="351">
      <c r="A351" s="2" t="inlineStr">
        <is>
          <t>F350</t>
        </is>
      </c>
      <c r="B351" s="2" t="inlineStr">
        <is>
          <t>financials</t>
        </is>
      </c>
      <c r="C351" s="2" t="inlineStr">
        <is>
          <t>audit_adjustment</t>
        </is>
      </c>
      <c r="D351" s="3" t="inlineStr">
        <is>
          <t>Audit facts: adjustments (number); management_letter_points (number); restatements; key_audit_matters</t>
        </is>
      </c>
      <c r="E351" s="2" t="inlineStr">
        <is>
          <t>FY2023</t>
        </is>
      </c>
      <c r="F351" s="2" t="n"/>
      <c r="G351" s="2" t="n"/>
      <c r="H351" s="3" t="inlineStr">
        <is>
          <t>management_letter_points: number not stated, auditor 'communicated (significant) deficiencies in internal control in writing' to management and the supervisory board</t>
        </is>
      </c>
      <c r="I351" s="2" t="inlineStr">
        <is>
          <t>S1</t>
        </is>
      </c>
      <c r="J351" s="2" t="n">
        <v>181</v>
      </c>
      <c r="K351" s="3" t="inlineStr">
        <is>
          <t>We have communicated (significant) deficiencies in internal control in writing to management and the supervisory board.</t>
        </is>
      </c>
      <c r="L351" s="2" t="inlineStr">
        <is>
          <t>pend</t>
        </is>
      </c>
      <c r="M351" s="2" t="n"/>
      <c r="N351" s="2" t="n"/>
      <c r="O351" s="3" t="inlineStr">
        <is>
          <t>https://vanillabonds.com/dossier-data/pdf/fastned/fastned-2023-annual-report.pdf#page=181</t>
        </is>
      </c>
    </row>
    <row r="352">
      <c r="A352" s="2" t="inlineStr">
        <is>
          <t>F351</t>
        </is>
      </c>
      <c r="B352" s="2" t="inlineStr">
        <is>
          <t>financials</t>
        </is>
      </c>
      <c r="C352" s="2" t="inlineStr">
        <is>
          <t>audit_adjustment</t>
        </is>
      </c>
      <c r="D352" s="3" t="inlineStr">
        <is>
          <t>Audit facts: adjustments (number); management_letter_points (number); restatements; key_audit_matters</t>
        </is>
      </c>
      <c r="E352" s="2" t="inlineStr">
        <is>
          <t>FY2023</t>
        </is>
      </c>
      <c r="F352" s="2" t="n"/>
      <c r="G352" s="2" t="n"/>
      <c r="H352" s="3" t="inlineStr">
        <is>
          <t>fraud risks identified: management override of controls and revenue recognition (existence of electricity sales, manual journal entries); no indications of fraud found</t>
        </is>
      </c>
      <c r="I352" s="2" t="inlineStr">
        <is>
          <t>S1</t>
        </is>
      </c>
      <c r="J352" s="2" t="n">
        <v>183</v>
      </c>
      <c r="K352" s="3" t="inlineStr">
        <is>
          <t>The possible tendency that we identified is to overstate revenues following the focus on revenue growth and (underlying) EBITDA.</t>
        </is>
      </c>
      <c r="L352" s="2" t="inlineStr">
        <is>
          <t>pend</t>
        </is>
      </c>
      <c r="M352" s="2" t="n"/>
      <c r="N352" s="2" t="n"/>
      <c r="O352" s="3" t="inlineStr">
        <is>
          <t>https://vanillabonds.com/dossier-data/pdf/fastned/fastned-2023-annual-report.pdf#page=183</t>
        </is>
      </c>
    </row>
    <row r="353">
      <c r="A353" s="2" t="inlineStr">
        <is>
          <t>F352</t>
        </is>
      </c>
      <c r="B353" s="2" t="inlineStr">
        <is>
          <t>financials</t>
        </is>
      </c>
      <c r="C353" s="2" t="inlineStr">
        <is>
          <t>audit_adjustment</t>
        </is>
      </c>
      <c r="D353" s="3" t="inlineStr">
        <is>
          <t>Audit facts: adjustments (number); management_letter_points (number); restatements; key_audit_matters</t>
        </is>
      </c>
      <c r="E353" s="2" t="inlineStr">
        <is>
          <t>FY2023</t>
        </is>
      </c>
      <c r="F353" s="2" t="n"/>
      <c r="G353" s="2" t="n"/>
      <c r="H353" s="3" t="inlineStr">
        <is>
          <t>key_audit_matters: prior-year KAM 'valuation (impairment) of charging stations' dropped for 2023; impairment trigger analysis gave no indicators</t>
        </is>
      </c>
      <c r="I353" s="2" t="inlineStr">
        <is>
          <t>S1</t>
        </is>
      </c>
      <c r="J353" s="2" t="n">
        <v>184</v>
      </c>
      <c r="K353" s="3" t="inlineStr">
        <is>
          <t>The key audit matter “Valuation of property, plant and equipment, specifically the valuation (impairment) of charging stations”, which was included in prior year’s auditor report</t>
        </is>
      </c>
      <c r="L353" s="2" t="inlineStr">
        <is>
          <t>pend</t>
        </is>
      </c>
      <c r="M353" s="2" t="n"/>
      <c r="N353" s="2" t="n"/>
      <c r="O353" s="3" t="inlineStr">
        <is>
          <t>https://vanillabonds.com/dossier-data/pdf/fastned/fastned-2023-annual-report.pdf#page=184</t>
        </is>
      </c>
    </row>
    <row r="354">
      <c r="A354" s="2" t="inlineStr">
        <is>
          <t>F353</t>
        </is>
      </c>
      <c r="B354" s="2" t="inlineStr">
        <is>
          <t>financials</t>
        </is>
      </c>
      <c r="C354" s="2" t="inlineStr">
        <is>
          <t>audit_adjustment</t>
        </is>
      </c>
      <c r="D354" s="3" t="inlineStr">
        <is>
          <t>Audit facts: adjustments (number); management_letter_points (number); restatements; key_audit_matters</t>
        </is>
      </c>
      <c r="E354" s="2" t="inlineStr">
        <is>
          <t>FY2023</t>
        </is>
      </c>
      <c r="F354" s="2" t="n"/>
      <c r="G354" s="2" t="n"/>
      <c r="H354" s="3" t="inlineStr">
        <is>
          <t>key_audit_matters: transition of auditor (initial audit engagement by BDO after Deloitte; transition plan from December 2022, audit plan agreed with the Audit Committee November 2023)</t>
        </is>
      </c>
      <c r="I354" s="2" t="inlineStr">
        <is>
          <t>S1</t>
        </is>
      </c>
      <c r="J354" s="2" t="n">
        <v>185</v>
      </c>
      <c r="K354" s="3" t="inlineStr">
        <is>
          <t>Prior to becoming Fastned’s auditors in 2023, we developed a comprehensive transition plan starting in December 2022</t>
        </is>
      </c>
      <c r="L354" s="2" t="inlineStr">
        <is>
          <t>pend</t>
        </is>
      </c>
      <c r="M354" s="2" t="n"/>
      <c r="N354" s="2" t="n"/>
      <c r="O354" s="3" t="inlineStr">
        <is>
          <t>https://vanillabonds.com/dossier-data/pdf/fastned/fastned-2023-annual-report.pdf#page=185</t>
        </is>
      </c>
    </row>
    <row r="355">
      <c r="A355" s="2" t="inlineStr">
        <is>
          <t>F354</t>
        </is>
      </c>
      <c r="B355" s="2" t="inlineStr">
        <is>
          <t>financials</t>
        </is>
      </c>
      <c r="C355" s="2" t="inlineStr">
        <is>
          <t>audit_adjustment</t>
        </is>
      </c>
      <c r="D355" s="3" t="inlineStr">
        <is>
          <t>Audit facts: adjustments (number); management_letter_points (number); restatements; key_audit_matters</t>
        </is>
      </c>
      <c r="E355" s="2" t="inlineStr">
        <is>
          <t>FY2023</t>
        </is>
      </c>
      <c r="F355" s="2" t="n"/>
      <c r="G355" s="2" t="n"/>
      <c r="H355" s="3" t="inlineStr">
        <is>
          <t>key_audit_matters: developing control environment (predecessor auditor reported the control environment 'had not yet fully matured'; BDO notes further improvement and 'still room for improvement', not a KAM going forward)</t>
        </is>
      </c>
      <c r="I355" s="2" t="inlineStr">
        <is>
          <t>S1</t>
        </is>
      </c>
      <c r="J355" s="2" t="n">
        <v>186</v>
      </c>
      <c r="K355" s="3" t="inlineStr">
        <is>
          <t>Last year, the predecessor auditor reported that Fastned's control environment had not yet fully matured</t>
        </is>
      </c>
      <c r="L355" s="2" t="inlineStr">
        <is>
          <t>pend</t>
        </is>
      </c>
      <c r="M355" s="2" t="n"/>
      <c r="N355" s="2" t="n"/>
      <c r="O355" s="3" t="inlineStr">
        <is>
          <t>https://vanillabonds.com/dossier-data/pdf/fastned/fastned-2023-annual-report.pdf#page=186</t>
        </is>
      </c>
    </row>
    <row r="356">
      <c r="A356" s="2" t="inlineStr">
        <is>
          <t>F355</t>
        </is>
      </c>
      <c r="B356" s="2" t="inlineStr">
        <is>
          <t>financials</t>
        </is>
      </c>
      <c r="C356" s="2" t="inlineStr">
        <is>
          <t>filing_days</t>
        </is>
      </c>
      <c r="D356" s="3" t="inlineStr">
        <is>
          <t>Days from year end to filing of the accounts</t>
        </is>
      </c>
      <c r="E356" s="2" t="inlineStr">
        <is>
          <t>FY2023</t>
        </is>
      </c>
      <c r="F356" s="2" t="n">
        <v>87</v>
      </c>
      <c r="G356" s="2" t="n"/>
      <c r="H356" s="3" t="inlineStr">
        <is>
          <t>Year end 31 Dec 2023 to the auditor's report and signing of the financial statements on 27 March 2024</t>
        </is>
      </c>
      <c r="I356" s="2" t="inlineStr">
        <is>
          <t>S1</t>
        </is>
      </c>
      <c r="J356" s="2" t="n">
        <v>190</v>
      </c>
      <c r="K356" s="3" t="inlineStr">
        <is>
          <t>Amstelveen, 27 March 2024 For and on behalf of BDO Audit &amp; Assurance B.V., w.s. drs. J.F. van Erve RA</t>
        </is>
      </c>
      <c r="L356" s="2" t="inlineStr">
        <is>
          <t>pend</t>
        </is>
      </c>
      <c r="M356" s="2" t="n"/>
      <c r="N356" s="2" t="n"/>
      <c r="O356" s="3" t="inlineStr">
        <is>
          <t>https://vanillabonds.com/dossier-data/pdf/fastned/fastned-2023-annual-report.pdf#page=190</t>
        </is>
      </c>
    </row>
    <row r="357">
      <c r="A357" s="2" t="inlineStr">
        <is>
          <t>F356</t>
        </is>
      </c>
      <c r="B357" s="2" t="inlineStr">
        <is>
          <t>financials</t>
        </is>
      </c>
      <c r="C357" s="2" t="inlineStr">
        <is>
          <t>tax_item</t>
        </is>
      </c>
      <c r="D357" s="3" t="inlineStr">
        <is>
          <t>Tax item: position, open assessment, dispute, ruling, payment-behaviour statement</t>
        </is>
      </c>
      <c r="E357" s="2" t="n"/>
      <c r="F357" s="2" t="n"/>
      <c r="G357" s="2" t="n"/>
      <c r="H357" s="3" t="inlineStr">
        <is>
          <t>Income tax expense EUR 364k in 2023 (2022: nil), the first income tax charge; no income taxes paid in 2023 or 2022.</t>
        </is>
      </c>
      <c r="I357" s="2" t="inlineStr">
        <is>
          <t>S1</t>
        </is>
      </c>
      <c r="J357" s="2" t="n">
        <v>91</v>
      </c>
      <c r="K357" s="2" t="inlineStr">
        <is>
          <t>Income tax expense 9 (364) —</t>
        </is>
      </c>
      <c r="L357" s="2" t="inlineStr">
        <is>
          <t>pend</t>
        </is>
      </c>
      <c r="M357" s="2" t="n"/>
      <c r="N357" s="2" t="n"/>
      <c r="O357" s="3" t="inlineStr">
        <is>
          <t>https://vanillabonds.com/dossier-data/pdf/fastned/fastned-2023-annual-report.pdf#page=91</t>
        </is>
      </c>
    </row>
    <row r="358">
      <c r="A358" s="2" t="inlineStr">
        <is>
          <t>F357</t>
        </is>
      </c>
      <c r="B358" s="2" t="inlineStr">
        <is>
          <t>financials</t>
        </is>
      </c>
      <c r="C358" s="2" t="inlineStr">
        <is>
          <t>tax_item</t>
        </is>
      </c>
      <c r="D358" s="3" t="inlineStr">
        <is>
          <t>Tax item: position, open assessment, dispute, ruling, payment-behaviour statement</t>
        </is>
      </c>
      <c r="E358" s="2" t="n"/>
      <c r="F358" s="2" t="n"/>
      <c r="G358" s="2" t="n"/>
      <c r="H358" s="3" t="inlineStr">
        <is>
          <t>Tax losses carried forward at year-end 2023: EUR 18.0m in the Netherlands (2022: 21.1m) and EUR 38.0m in other countries (2022: 25.6m); no deferred tax asset recognised.</t>
        </is>
      </c>
      <c r="I358" s="2" t="inlineStr">
        <is>
          <t>S1</t>
        </is>
      </c>
      <c r="J358" s="2" t="n">
        <v>114</v>
      </c>
      <c r="K358" s="3" t="inlineStr">
        <is>
          <t>At year-end 2023, the Group has €18.0 million (2022: €21.1 million) of tax losses in the Netherlands, and € 38.0 million of tax losses (2022: €25.6 million) arising in other countries.</t>
        </is>
      </c>
      <c r="L358" s="2" t="inlineStr">
        <is>
          <t>pend</t>
        </is>
      </c>
      <c r="M358" s="2" t="n"/>
      <c r="N358" s="2" t="n"/>
      <c r="O358" s="3" t="inlineStr">
        <is>
          <t>https://vanillabonds.com/dossier-data/pdf/fastned/fastned-2023-annual-report.pdf#page=114</t>
        </is>
      </c>
    </row>
    <row r="359">
      <c r="A359" s="2" t="inlineStr">
        <is>
          <t>F358</t>
        </is>
      </c>
      <c r="B359" s="2" t="inlineStr">
        <is>
          <t>financials</t>
        </is>
      </c>
      <c r="C359" s="2" t="inlineStr">
        <is>
          <t>tax_item</t>
        </is>
      </c>
      <c r="D359" s="3" t="inlineStr">
        <is>
          <t>Tax item: position, open assessment, dispute, ruling, payment-behaviour statement</t>
        </is>
      </c>
      <c r="E359" s="2" t="n"/>
      <c r="F359" s="2" t="n"/>
      <c r="G359" s="2" t="n"/>
      <c r="H359" s="3" t="inlineStr">
        <is>
          <t>Unrecognised temporary differences EUR 67.6m; recognising all unrecognised deferred tax assets would raise profit and equity by about EUR 14.1m.</t>
        </is>
      </c>
      <c r="I359" s="2" t="inlineStr">
        <is>
          <t>S1</t>
        </is>
      </c>
      <c r="J359" s="2" t="n">
        <v>114</v>
      </c>
      <c r="K359" s="3" t="inlineStr">
        <is>
          <t>If the Group would recognise all unrecognised deferred tax assets, profit and equity would have increased by approximately €14.1 million</t>
        </is>
      </c>
      <c r="L359" s="2" t="inlineStr">
        <is>
          <t>pend</t>
        </is>
      </c>
      <c r="M359" s="2" t="n"/>
      <c r="N359" s="2" t="n"/>
      <c r="O359" s="3" t="inlineStr">
        <is>
          <t>https://vanillabonds.com/dossier-data/pdf/fastned/fastned-2023-annual-report.pdf#page=114</t>
        </is>
      </c>
    </row>
    <row r="360">
      <c r="A360" s="2" t="inlineStr">
        <is>
          <t>F359</t>
        </is>
      </c>
      <c r="B360" s="2" t="inlineStr">
        <is>
          <t>financials</t>
        </is>
      </c>
      <c r="C360" s="2" t="inlineStr">
        <is>
          <t>tax_item</t>
        </is>
      </c>
      <c r="D360" s="3" t="inlineStr">
        <is>
          <t>Tax item: position, open assessment, dispute, ruling, payment-behaviour statement</t>
        </is>
      </c>
      <c r="E360" s="2" t="n"/>
      <c r="F360" s="2" t="n"/>
      <c r="G360" s="2" t="n"/>
      <c r="H360" s="3" t="inlineStr">
        <is>
          <t>Income tax charge 2023 EUR 364k, current tax on the Dutch fiscal unity due to partial loss compensation; effective tax rate -1.9% (2022: nil).</t>
        </is>
      </c>
      <c r="I360" s="2" t="inlineStr">
        <is>
          <t>S1</t>
        </is>
      </c>
      <c r="J360" s="2" t="n">
        <v>125</v>
      </c>
      <c r="K360" s="3" t="inlineStr">
        <is>
          <t>Current tax payable as a result of partial loss compensation 364 —</t>
        </is>
      </c>
      <c r="L360" s="2" t="inlineStr">
        <is>
          <t>pend</t>
        </is>
      </c>
      <c r="M360" s="2" t="n"/>
      <c r="N360" s="2" t="n"/>
      <c r="O360" s="3" t="inlineStr">
        <is>
          <t>https://vanillabonds.com/dossier-data/pdf/fastned/fastned-2023-annual-report.pdf#page=125</t>
        </is>
      </c>
    </row>
    <row r="361">
      <c r="A361" s="2" t="inlineStr">
        <is>
          <t>F360</t>
        </is>
      </c>
      <c r="B361" s="2" t="inlineStr">
        <is>
          <t>financials</t>
        </is>
      </c>
      <c r="C361" s="2" t="inlineStr">
        <is>
          <t>tax_item</t>
        </is>
      </c>
      <c r="D361" s="3" t="inlineStr">
        <is>
          <t>Tax item: position, open assessment, dispute, ruling, payment-behaviour statement</t>
        </is>
      </c>
      <c r="E361" s="2" t="n"/>
      <c r="F361" s="2" t="n"/>
      <c r="G361" s="2" t="n"/>
      <c r="H361" s="3" t="inlineStr">
        <is>
          <t>Dutch loss rules: indefinite carry-forward from 1 Jan 2022, deductible per year up to EUR 1m plus 50% of taxable profit above EUR 1m; EUR 42.1m of costs activated for Dutch tax, depreciated over 5 years.</t>
        </is>
      </c>
      <c r="I361" s="2" t="inlineStr">
        <is>
          <t>S1</t>
        </is>
      </c>
      <c r="J361" s="2" t="n">
        <v>126</v>
      </c>
      <c r="K361" s="3" t="inlineStr">
        <is>
          <t>losses can only be fully deducted on an annual basis up to an amount of €1 million plus 50% of the taxable profit that exceeds €1 million.</t>
        </is>
      </c>
      <c r="L361" s="2" t="inlineStr">
        <is>
          <t>pend</t>
        </is>
      </c>
      <c r="M361" s="2" t="n"/>
      <c r="N361" s="2" t="n"/>
      <c r="O361" s="3" t="inlineStr">
        <is>
          <t>https://vanillabonds.com/dossier-data/pdf/fastned/fastned-2023-annual-report.pdf#page=126</t>
        </is>
      </c>
    </row>
    <row r="362">
      <c r="A362" s="2" t="inlineStr">
        <is>
          <t>F361</t>
        </is>
      </c>
      <c r="B362" s="2" t="inlineStr">
        <is>
          <t>financials</t>
        </is>
      </c>
      <c r="C362" s="2" t="inlineStr">
        <is>
          <t>tax_item</t>
        </is>
      </c>
      <c r="D362" s="3" t="inlineStr">
        <is>
          <t>Tax item: position, open assessment, dispute, ruling, payment-behaviour statement</t>
        </is>
      </c>
      <c r="E362" s="2" t="n"/>
      <c r="F362" s="2" t="n"/>
      <c r="G362" s="2" t="n"/>
      <c r="H362" s="3" t="inlineStr">
        <is>
          <t>Accumulated tax losses outside NL: Germany 7.3m, UK 15.6m, Belgium 4.0m, France 8.3m, Switzerland 2.4m (7-year limit); total group losses EUR 55,504k per the by-country table.</t>
        </is>
      </c>
      <c r="I362" s="2" t="inlineStr">
        <is>
          <t>S1</t>
        </is>
      </c>
      <c r="J362" s="2" t="n">
        <v>126</v>
      </c>
      <c r="K362" s="3" t="inlineStr">
        <is>
          <t>Outside the Netherlands, accumulated tax losses were approximately €7.3 million in Germany (2022: €7.0 million), €15.6 million in UK (2022: €11.0 million), €4.0 million in Belgium</t>
        </is>
      </c>
      <c r="L362" s="2" t="inlineStr">
        <is>
          <t>pend</t>
        </is>
      </c>
      <c r="M362" s="2" t="n"/>
      <c r="N362" s="2" t="n"/>
      <c r="O362" s="3" t="inlineStr">
        <is>
          <t>https://vanillabonds.com/dossier-data/pdf/fastned/fastned-2023-annual-report.pdf#page=126</t>
        </is>
      </c>
    </row>
    <row r="363">
      <c r="A363" s="2" t="inlineStr">
        <is>
          <t>F362</t>
        </is>
      </c>
      <c r="B363" s="2" t="inlineStr">
        <is>
          <t>financials</t>
        </is>
      </c>
      <c r="C363" s="2" t="inlineStr">
        <is>
          <t>tax_item</t>
        </is>
      </c>
      <c r="D363" s="3" t="inlineStr">
        <is>
          <t>Tax item: position, open assessment, dispute, ruling, payment-behaviour statement</t>
        </is>
      </c>
      <c r="E363" s="2" t="n"/>
      <c r="F363" s="2" t="n"/>
      <c r="G363" s="2" t="n"/>
      <c r="H363" s="3" t="inlineStr">
        <is>
          <t>Applicable tax rates 2023: NL 19% up to EUR 200k and 25.8% above; DE 30%, UK 25%, BE 25%, FR 25%, CH 14.9%, DK 22%, IT 24%, ES 25%.</t>
        </is>
      </c>
      <c r="I363" s="2" t="inlineStr">
        <is>
          <t>S1</t>
        </is>
      </c>
      <c r="J363" s="2" t="n">
        <v>128</v>
      </c>
      <c r="K363" s="3" t="inlineStr">
        <is>
          <t>Applicable tax rates outside the Netherlands are 30% in Germany, 25% in the UK (2022: 19%), 25% in Belgium, 25% in France, 14.9% in Switzerland (2022: 14.9%), 22% in Denmark</t>
        </is>
      </c>
      <c r="L363" s="2" t="inlineStr">
        <is>
          <t>pend</t>
        </is>
      </c>
      <c r="M363" s="2" t="n"/>
      <c r="N363" s="2" t="n"/>
      <c r="O363" s="3" t="inlineStr">
        <is>
          <t>https://vanillabonds.com/dossier-data/pdf/fastned/fastned-2023-annual-report.pdf#page=128</t>
        </is>
      </c>
    </row>
    <row r="364">
      <c r="A364" s="2" t="inlineStr">
        <is>
          <t>F363</t>
        </is>
      </c>
      <c r="B364" s="2" t="inlineStr">
        <is>
          <t>financials</t>
        </is>
      </c>
      <c r="C364" s="2" t="inlineStr">
        <is>
          <t>segment</t>
        </is>
      </c>
      <c r="D364" s="3" t="inlineStr">
        <is>
          <t>Segment: segment; revenue; ebitda; assets</t>
        </is>
      </c>
      <c r="E364" s="2" t="inlineStr">
        <is>
          <t>FY2022</t>
        </is>
      </c>
      <c r="F364" s="2" t="n">
        <v>36</v>
      </c>
      <c r="G364" s="2" t="n"/>
      <c r="H364" s="3" t="inlineStr">
        <is>
          <t>segment: Network (Delivery, operational stations); revenue: 36.0; ebitda: 8.1 (operational EBITDA, non-IFRS)</t>
        </is>
      </c>
      <c r="I364" s="2" t="inlineStr">
        <is>
          <t>S1</t>
        </is>
      </c>
      <c r="J364" s="2" t="n">
        <v>89</v>
      </c>
      <c r="K364" s="2" t="inlineStr">
        <is>
          <t>Operational EBITDA 23,826 8,107</t>
        </is>
      </c>
      <c r="L364" s="2" t="inlineStr">
        <is>
          <t>pend</t>
        </is>
      </c>
      <c r="M364" s="2" t="n"/>
      <c r="N364" s="2" t="n"/>
      <c r="O364" s="3" t="inlineStr">
        <is>
          <t>https://vanillabonds.com/dossier-data/pdf/fastned/fastned-2023-annual-report.pdf#page=89</t>
        </is>
      </c>
    </row>
    <row r="365">
      <c r="A365" s="2" t="inlineStr">
        <is>
          <t>F364</t>
        </is>
      </c>
      <c r="B365" s="2" t="inlineStr">
        <is>
          <t>financials</t>
        </is>
      </c>
      <c r="C365" s="2" t="inlineStr">
        <is>
          <t>segment</t>
        </is>
      </c>
      <c r="D365" s="3" t="inlineStr">
        <is>
          <t>Segment: segment; revenue; ebitda; assets</t>
        </is>
      </c>
      <c r="E365" s="2" t="inlineStr">
        <is>
          <t>FY2022</t>
        </is>
      </c>
      <c r="F365" s="2" t="n"/>
      <c r="G365" s="2" t="n"/>
      <c r="H365" s="3" t="inlineStr">
        <is>
          <t>segment: Expansion (Pipeline of new sites); ebitda: -12.0 (network expansion costs)</t>
        </is>
      </c>
      <c r="I365" s="2" t="inlineStr">
        <is>
          <t>S1</t>
        </is>
      </c>
      <c r="J365" s="2" t="n">
        <v>89</v>
      </c>
      <c r="K365" s="3" t="inlineStr">
        <is>
          <t>Operating profit / (loss) 23,826 (15,241) (17,450) (3,243) (12,108)</t>
        </is>
      </c>
      <c r="L365" s="2" t="inlineStr">
        <is>
          <t>pend</t>
        </is>
      </c>
      <c r="M365" s="2" t="n"/>
      <c r="N365" s="2" t="n"/>
      <c r="O365" s="3" t="inlineStr">
        <is>
          <t>https://vanillabonds.com/dossier-data/pdf/fastned/fastned-2023-annual-report.pdf#page=89</t>
        </is>
      </c>
    </row>
    <row r="366">
      <c r="A366" s="2" t="inlineStr">
        <is>
          <t>F365</t>
        </is>
      </c>
      <c r="B366" s="2" t="inlineStr">
        <is>
          <t>financials</t>
        </is>
      </c>
      <c r="C366" s="2" t="inlineStr">
        <is>
          <t>segment</t>
        </is>
      </c>
      <c r="D366" s="3" t="inlineStr">
        <is>
          <t>Segment: segment; revenue; ebitda; assets</t>
        </is>
      </c>
      <c r="E366" s="2" t="inlineStr">
        <is>
          <t>FY2022</t>
        </is>
      </c>
      <c r="F366" s="2" t="n">
        <v>27.2</v>
      </c>
      <c r="G366" s="2" t="n"/>
      <c r="H366" s="3" t="inlineStr">
        <is>
          <t>segment: Netherlands; revenue: 27.2; ebitda: 1.9; assets: 69.0</t>
        </is>
      </c>
      <c r="I366" s="2" t="inlineStr">
        <is>
          <t>S1</t>
        </is>
      </c>
      <c r="J366" s="2" t="n">
        <v>121</v>
      </c>
      <c r="K366" s="3" t="inlineStr">
        <is>
          <t>Segment revenues 27,187 5,037 1,051 2,036 558 94 35,963</t>
        </is>
      </c>
      <c r="L366" s="2" t="inlineStr">
        <is>
          <t>pend</t>
        </is>
      </c>
      <c r="M366" s="2" t="n"/>
      <c r="N366" s="2" t="n"/>
      <c r="O366" s="3" t="inlineStr">
        <is>
          <t>https://vanillabonds.com/dossier-data/pdf/fastned/fastned-2023-annual-report.pdf#page=121</t>
        </is>
      </c>
    </row>
    <row r="367">
      <c r="A367" s="2" t="inlineStr">
        <is>
          <t>F366</t>
        </is>
      </c>
      <c r="B367" s="2" t="inlineStr">
        <is>
          <t>financials</t>
        </is>
      </c>
      <c r="C367" s="2" t="inlineStr">
        <is>
          <t>segment</t>
        </is>
      </c>
      <c r="D367" s="3" t="inlineStr">
        <is>
          <t>Segment: segment; revenue; ebitda; assets</t>
        </is>
      </c>
      <c r="E367" s="2" t="inlineStr">
        <is>
          <t>FY2022</t>
        </is>
      </c>
      <c r="F367" s="2" t="n">
        <v>5</v>
      </c>
      <c r="G367" s="2" t="n"/>
      <c r="H367" s="3" t="inlineStr">
        <is>
          <t>segment: Germany; revenue: 5.0; ebitda: -0.5; assets: 23.1</t>
        </is>
      </c>
      <c r="I367" s="2" t="inlineStr">
        <is>
          <t>S1</t>
        </is>
      </c>
      <c r="J367" s="2" t="n">
        <v>121</v>
      </c>
      <c r="K367" s="3" t="inlineStr">
        <is>
          <t>Segment revenues 27,187 5,037 1,051 2,036 558 94 35,963</t>
        </is>
      </c>
      <c r="L367" s="2" t="inlineStr">
        <is>
          <t>pend</t>
        </is>
      </c>
      <c r="M367" s="2" t="n"/>
      <c r="N367" s="2" t="n"/>
      <c r="O367" s="3" t="inlineStr">
        <is>
          <t>https://vanillabonds.com/dossier-data/pdf/fastned/fastned-2023-annual-report.pdf#page=121</t>
        </is>
      </c>
    </row>
    <row r="368">
      <c r="A368" s="2" t="inlineStr">
        <is>
          <t>F367</t>
        </is>
      </c>
      <c r="B368" s="2" t="inlineStr">
        <is>
          <t>financials</t>
        </is>
      </c>
      <c r="C368" s="2" t="inlineStr">
        <is>
          <t>segment</t>
        </is>
      </c>
      <c r="D368" s="3" t="inlineStr">
        <is>
          <t>Segment: segment; revenue; ebitda; assets</t>
        </is>
      </c>
      <c r="E368" s="2" t="inlineStr">
        <is>
          <t>FY2022</t>
        </is>
      </c>
      <c r="F368" s="2" t="n">
        <v>1.1</v>
      </c>
      <c r="G368" s="2" t="n"/>
      <c r="H368" s="3" t="inlineStr">
        <is>
          <t>segment: United Kingdom; revenue: 1.1; ebitda: -1.7; assets: 12.7</t>
        </is>
      </c>
      <c r="I368" s="2" t="inlineStr">
        <is>
          <t>S1</t>
        </is>
      </c>
      <c r="J368" s="2" t="n">
        <v>121</v>
      </c>
      <c r="K368" s="3" t="inlineStr">
        <is>
          <t>Segment revenues 27,187 5,037 1,051 2,036 558 94 35,963</t>
        </is>
      </c>
      <c r="L368" s="2" t="inlineStr">
        <is>
          <t>pend</t>
        </is>
      </c>
      <c r="M368" s="2" t="n"/>
      <c r="N368" s="2" t="n"/>
      <c r="O368" s="3" t="inlineStr">
        <is>
          <t>https://vanillabonds.com/dossier-data/pdf/fastned/fastned-2023-annual-report.pdf#page=121</t>
        </is>
      </c>
    </row>
    <row r="369">
      <c r="A369" s="2" t="inlineStr">
        <is>
          <t>F368</t>
        </is>
      </c>
      <c r="B369" s="2" t="inlineStr">
        <is>
          <t>financials</t>
        </is>
      </c>
      <c r="C369" s="2" t="inlineStr">
        <is>
          <t>segment</t>
        </is>
      </c>
      <c r="D369" s="3" t="inlineStr">
        <is>
          <t>Segment: segment; revenue; ebitda; assets</t>
        </is>
      </c>
      <c r="E369" s="2" t="inlineStr">
        <is>
          <t>FY2022</t>
        </is>
      </c>
      <c r="F369" s="2" t="n">
        <v>2</v>
      </c>
      <c r="G369" s="2" t="n"/>
      <c r="H369" s="3" t="inlineStr">
        <is>
          <t>segment: Belgium; revenue: 2.0; ebitda: -1.1; assets: 13.8</t>
        </is>
      </c>
      <c r="I369" s="2" t="inlineStr">
        <is>
          <t>S1</t>
        </is>
      </c>
      <c r="J369" s="2" t="n">
        <v>121</v>
      </c>
      <c r="K369" s="3" t="inlineStr">
        <is>
          <t>Segment revenues 27,187 5,037 1,051 2,036 558 94 35,963</t>
        </is>
      </c>
      <c r="L369" s="2" t="inlineStr">
        <is>
          <t>pend</t>
        </is>
      </c>
      <c r="M369" s="2" t="n"/>
      <c r="N369" s="2" t="n"/>
      <c r="O369" s="3" t="inlineStr">
        <is>
          <t>https://vanillabonds.com/dossier-data/pdf/fastned/fastned-2023-annual-report.pdf#page=121</t>
        </is>
      </c>
    </row>
    <row r="370">
      <c r="A370" s="2" t="inlineStr">
        <is>
          <t>F369</t>
        </is>
      </c>
      <c r="B370" s="2" t="inlineStr">
        <is>
          <t>financials</t>
        </is>
      </c>
      <c r="C370" s="2" t="inlineStr">
        <is>
          <t>segment</t>
        </is>
      </c>
      <c r="D370" s="3" t="inlineStr">
        <is>
          <t>Segment: segment; revenue; ebitda; assets</t>
        </is>
      </c>
      <c r="E370" s="2" t="inlineStr">
        <is>
          <t>FY2022</t>
        </is>
      </c>
      <c r="F370" s="2" t="n">
        <v>0.6</v>
      </c>
      <c r="G370" s="2" t="n"/>
      <c r="H370" s="3" t="inlineStr">
        <is>
          <t>segment: France; revenue: 0.6; ebitda: -2.6; assets: 31.4</t>
        </is>
      </c>
      <c r="I370" s="2" t="inlineStr">
        <is>
          <t>S1</t>
        </is>
      </c>
      <c r="J370" s="2" t="n">
        <v>121</v>
      </c>
      <c r="K370" s="3" t="inlineStr">
        <is>
          <t>Segment revenues 27,187 5,037 1,051 2,036 558 94 35,963</t>
        </is>
      </c>
      <c r="L370" s="2" t="inlineStr">
        <is>
          <t>pend</t>
        </is>
      </c>
      <c r="M370" s="2" t="n"/>
      <c r="N370" s="2" t="n"/>
      <c r="O370" s="3" t="inlineStr">
        <is>
          <t>https://vanillabonds.com/dossier-data/pdf/fastned/fastned-2023-annual-report.pdf#page=121</t>
        </is>
      </c>
    </row>
    <row r="371">
      <c r="A371" s="2" t="inlineStr">
        <is>
          <t>F370</t>
        </is>
      </c>
      <c r="B371" s="2" t="inlineStr">
        <is>
          <t>financials</t>
        </is>
      </c>
      <c r="C371" s="2" t="inlineStr">
        <is>
          <t>segment</t>
        </is>
      </c>
      <c r="D371" s="3" t="inlineStr">
        <is>
          <t>Segment: segment; revenue; ebitda; assets</t>
        </is>
      </c>
      <c r="E371" s="2" t="inlineStr">
        <is>
          <t>FY2022</t>
        </is>
      </c>
      <c r="F371" s="2" t="n">
        <v>0.1</v>
      </c>
      <c r="G371" s="2" t="n"/>
      <c r="H371" s="3" t="inlineStr">
        <is>
          <t>segment: Other Europe; revenue: 0.1; ebitda: -0.5; assets: 1.9</t>
        </is>
      </c>
      <c r="I371" s="2" t="inlineStr">
        <is>
          <t>S1</t>
        </is>
      </c>
      <c r="J371" s="2" t="n">
        <v>121</v>
      </c>
      <c r="K371" s="3" t="inlineStr">
        <is>
          <t>Segment revenues 27,187 5,037 1,051 2,036 558 94 35,963</t>
        </is>
      </c>
      <c r="L371" s="2" t="inlineStr">
        <is>
          <t>pend</t>
        </is>
      </c>
      <c r="M371" s="2" t="n"/>
      <c r="N371" s="2" t="n"/>
      <c r="O371" s="3" t="inlineStr">
        <is>
          <t>https://vanillabonds.com/dossier-data/pdf/fastned/fastned-2023-annual-report.pdf#page=121</t>
        </is>
      </c>
    </row>
    <row r="372">
      <c r="A372" s="2" t="inlineStr">
        <is>
          <t>F371</t>
        </is>
      </c>
      <c r="B372" s="2" t="inlineStr">
        <is>
          <t>financials</t>
        </is>
      </c>
      <c r="C372" s="2" t="inlineStr">
        <is>
          <t>segment</t>
        </is>
      </c>
      <c r="D372" s="3" t="inlineStr">
        <is>
          <t>Segment: segment; revenue; ebitda; assets</t>
        </is>
      </c>
      <c r="E372" s="2" t="inlineStr">
        <is>
          <t>FY2023</t>
        </is>
      </c>
      <c r="F372" s="2" t="n">
        <v>60.5</v>
      </c>
      <c r="G372" s="2" t="n"/>
      <c r="H372" s="3" t="inlineStr">
        <is>
          <t>segment: Network (Delivery, operational stations); revenue: 60.5; ebitda: 23.8 (operational EBITDA, non-IFRS)</t>
        </is>
      </c>
      <c r="I372" s="2" t="inlineStr">
        <is>
          <t>S1</t>
        </is>
      </c>
      <c r="J372" s="2" t="n">
        <v>89</v>
      </c>
      <c r="K372" s="2" t="inlineStr">
        <is>
          <t>Operational EBITDA 23,826 8,107</t>
        </is>
      </c>
      <c r="L372" s="2" t="inlineStr">
        <is>
          <t>pend</t>
        </is>
      </c>
      <c r="M372" s="2" t="n"/>
      <c r="N372" s="2" t="n"/>
      <c r="O372" s="3" t="inlineStr">
        <is>
          <t>https://vanillabonds.com/dossier-data/pdf/fastned/fastned-2023-annual-report.pdf#page=89</t>
        </is>
      </c>
    </row>
    <row r="373">
      <c r="A373" s="2" t="inlineStr">
        <is>
          <t>F372</t>
        </is>
      </c>
      <c r="B373" s="2" t="inlineStr">
        <is>
          <t>financials</t>
        </is>
      </c>
      <c r="C373" s="2" t="inlineStr">
        <is>
          <t>segment</t>
        </is>
      </c>
      <c r="D373" s="3" t="inlineStr">
        <is>
          <t>Segment: segment; revenue; ebitda; assets</t>
        </is>
      </c>
      <c r="E373" s="2" t="inlineStr">
        <is>
          <t>FY2023</t>
        </is>
      </c>
      <c r="F373" s="2" t="n"/>
      <c r="G373" s="2" t="n"/>
      <c r="H373" s="3" t="inlineStr">
        <is>
          <t>segment: Expansion (Pipeline of new sites); ebitda: -15.2 (network expansion costs)</t>
        </is>
      </c>
      <c r="I373" s="2" t="inlineStr">
        <is>
          <t>S1</t>
        </is>
      </c>
      <c r="J373" s="2" t="n">
        <v>89</v>
      </c>
      <c r="K373" s="3" t="inlineStr">
        <is>
          <t>Operating profit / (loss) 23,826 (15,241) (17,450) (3,243) (12,108)</t>
        </is>
      </c>
      <c r="L373" s="2" t="inlineStr">
        <is>
          <t>pend</t>
        </is>
      </c>
      <c r="M373" s="2" t="n"/>
      <c r="N373" s="2" t="n"/>
      <c r="O373" s="3" t="inlineStr">
        <is>
          <t>https://vanillabonds.com/dossier-data/pdf/fastned/fastned-2023-annual-report.pdf#page=89</t>
        </is>
      </c>
    </row>
    <row r="374">
      <c r="A374" s="2" t="inlineStr">
        <is>
          <t>F373</t>
        </is>
      </c>
      <c r="B374" s="2" t="inlineStr">
        <is>
          <t>financials</t>
        </is>
      </c>
      <c r="C374" s="2" t="inlineStr">
        <is>
          <t>segment</t>
        </is>
      </c>
      <c r="D374" s="3" t="inlineStr">
        <is>
          <t>Segment: segment; revenue; ebitda; assets</t>
        </is>
      </c>
      <c r="E374" s="2" t="inlineStr">
        <is>
          <t>FY2023</t>
        </is>
      </c>
      <c r="F374" s="2" t="n">
        <v>41.2</v>
      </c>
      <c r="G374" s="2" t="n"/>
      <c r="H374" s="3" t="inlineStr">
        <is>
          <t>segment: Netherlands; revenue: 41.2; ebitda: 6.9; assets: 89.1</t>
        </is>
      </c>
      <c r="I374" s="2" t="inlineStr">
        <is>
          <t>S1</t>
        </is>
      </c>
      <c r="J374" s="2" t="n">
        <v>120</v>
      </c>
      <c r="K374" s="3" t="inlineStr">
        <is>
          <t>Segment revenues 41,186 7,120 3,014 5,634 3,311 245 60,510</t>
        </is>
      </c>
      <c r="L374" s="2" t="inlineStr">
        <is>
          <t>pend</t>
        </is>
      </c>
      <c r="M374" s="2" t="n"/>
      <c r="N374" s="2" t="n"/>
      <c r="O374" s="3" t="inlineStr">
        <is>
          <t>https://vanillabonds.com/dossier-data/pdf/fastned/fastned-2023-annual-report.pdf#page=120</t>
        </is>
      </c>
    </row>
    <row r="375">
      <c r="A375" s="2" t="inlineStr">
        <is>
          <t>F374</t>
        </is>
      </c>
      <c r="B375" s="2" t="inlineStr">
        <is>
          <t>financials</t>
        </is>
      </c>
      <c r="C375" s="2" t="inlineStr">
        <is>
          <t>segment</t>
        </is>
      </c>
      <c r="D375" s="3" t="inlineStr">
        <is>
          <t>Segment: segment; revenue; ebitda; assets</t>
        </is>
      </c>
      <c r="E375" s="2" t="inlineStr">
        <is>
          <t>FY2023</t>
        </is>
      </c>
      <c r="F375" s="2" t="n">
        <v>7.1</v>
      </c>
      <c r="G375" s="2" t="n"/>
      <c r="H375" s="3" t="inlineStr">
        <is>
          <t>segment: Germany; revenue: 7.1; ebitda: 0.5; assets: 26.3</t>
        </is>
      </c>
      <c r="I375" s="2" t="inlineStr">
        <is>
          <t>S1</t>
        </is>
      </c>
      <c r="J375" s="2" t="n">
        <v>120</v>
      </c>
      <c r="K375" s="3" t="inlineStr">
        <is>
          <t>Segment revenues 41,186 7,120 3,014 5,634 3,311 245 60,510</t>
        </is>
      </c>
      <c r="L375" s="2" t="inlineStr">
        <is>
          <t>pend</t>
        </is>
      </c>
      <c r="M375" s="2" t="n"/>
      <c r="N375" s="2" t="n"/>
      <c r="O375" s="3" t="inlineStr">
        <is>
          <t>https://vanillabonds.com/dossier-data/pdf/fastned/fastned-2023-annual-report.pdf#page=120</t>
        </is>
      </c>
    </row>
    <row r="376">
      <c r="A376" s="2" t="inlineStr">
        <is>
          <t>F375</t>
        </is>
      </c>
      <c r="B376" s="2" t="inlineStr">
        <is>
          <t>financials</t>
        </is>
      </c>
      <c r="C376" s="2" t="inlineStr">
        <is>
          <t>segment</t>
        </is>
      </c>
      <c r="D376" s="3" t="inlineStr">
        <is>
          <t>Segment: segment; revenue; ebitda; assets</t>
        </is>
      </c>
      <c r="E376" s="2" t="inlineStr">
        <is>
          <t>FY2023</t>
        </is>
      </c>
      <c r="F376" s="2" t="n">
        <v>3</v>
      </c>
      <c r="G376" s="2" t="n"/>
      <c r="H376" s="3" t="inlineStr">
        <is>
          <t>segment: United Kingdom; revenue: 3.0; ebitda: -0.8; assets: 21.5</t>
        </is>
      </c>
      <c r="I376" s="2" t="inlineStr">
        <is>
          <t>S1</t>
        </is>
      </c>
      <c r="J376" s="2" t="n">
        <v>120</v>
      </c>
      <c r="K376" s="3" t="inlineStr">
        <is>
          <t>Segment revenues 41,186 7,120 3,014 5,634 3,311 245 60,510</t>
        </is>
      </c>
      <c r="L376" s="2" t="inlineStr">
        <is>
          <t>pend</t>
        </is>
      </c>
      <c r="M376" s="2" t="n"/>
      <c r="N376" s="2" t="n"/>
      <c r="O376" s="3" t="inlineStr">
        <is>
          <t>https://vanillabonds.com/dossier-data/pdf/fastned/fastned-2023-annual-report.pdf#page=120</t>
        </is>
      </c>
    </row>
    <row r="377">
      <c r="A377" s="2" t="inlineStr">
        <is>
          <t>F376</t>
        </is>
      </c>
      <c r="B377" s="2" t="inlineStr">
        <is>
          <t>financials</t>
        </is>
      </c>
      <c r="C377" s="2" t="inlineStr">
        <is>
          <t>segment</t>
        </is>
      </c>
      <c r="D377" s="3" t="inlineStr">
        <is>
          <t>Segment: segment; revenue; ebitda; assets</t>
        </is>
      </c>
      <c r="E377" s="2" t="inlineStr">
        <is>
          <t>FY2023</t>
        </is>
      </c>
      <c r="F377" s="2" t="n">
        <v>5.6</v>
      </c>
      <c r="G377" s="2" t="n"/>
      <c r="H377" s="3" t="inlineStr">
        <is>
          <t>segment: Belgium; revenue: 5.6; ebitda: 0.8; assets: 21.5</t>
        </is>
      </c>
      <c r="I377" s="2" t="inlineStr">
        <is>
          <t>S1</t>
        </is>
      </c>
      <c r="J377" s="2" t="n">
        <v>120</v>
      </c>
      <c r="K377" s="3" t="inlineStr">
        <is>
          <t>Segment revenues 41,186 7,120 3,014 5,634 3,311 245 60,510</t>
        </is>
      </c>
      <c r="L377" s="2" t="inlineStr">
        <is>
          <t>pend</t>
        </is>
      </c>
      <c r="M377" s="2" t="n"/>
      <c r="N377" s="2" t="n"/>
      <c r="O377" s="3" t="inlineStr">
        <is>
          <t>https://vanillabonds.com/dossier-data/pdf/fastned/fastned-2023-annual-report.pdf#page=120</t>
        </is>
      </c>
    </row>
    <row r="378">
      <c r="A378" s="2" t="inlineStr">
        <is>
          <t>F377</t>
        </is>
      </c>
      <c r="B378" s="2" t="inlineStr">
        <is>
          <t>financials</t>
        </is>
      </c>
      <c r="C378" s="2" t="inlineStr">
        <is>
          <t>segment</t>
        </is>
      </c>
      <c r="D378" s="3" t="inlineStr">
        <is>
          <t>Segment: segment; revenue; ebitda; assets</t>
        </is>
      </c>
      <c r="E378" s="2" t="inlineStr">
        <is>
          <t>FY2023</t>
        </is>
      </c>
      <c r="F378" s="2" t="n">
        <v>3.3</v>
      </c>
      <c r="G378" s="2" t="n"/>
      <c r="H378" s="3" t="inlineStr">
        <is>
          <t>segment: France; revenue: 3.3; ebitda: -2.2; assets: 44.5</t>
        </is>
      </c>
      <c r="I378" s="2" t="inlineStr">
        <is>
          <t>S1</t>
        </is>
      </c>
      <c r="J378" s="2" t="n">
        <v>120</v>
      </c>
      <c r="K378" s="3" t="inlineStr">
        <is>
          <t>Segment revenues 41,186 7,120 3,014 5,634 3,311 245 60,510</t>
        </is>
      </c>
      <c r="L378" s="2" t="inlineStr">
        <is>
          <t>pend</t>
        </is>
      </c>
      <c r="M378" s="2" t="n"/>
      <c r="N378" s="2" t="n"/>
      <c r="O378" s="3" t="inlineStr">
        <is>
          <t>https://vanillabonds.com/dossier-data/pdf/fastned/fastned-2023-annual-report.pdf#page=120</t>
        </is>
      </c>
    </row>
    <row r="379">
      <c r="A379" s="2" t="inlineStr">
        <is>
          <t>F378</t>
        </is>
      </c>
      <c r="B379" s="2" t="inlineStr">
        <is>
          <t>financials</t>
        </is>
      </c>
      <c r="C379" s="2" t="inlineStr">
        <is>
          <t>segment</t>
        </is>
      </c>
      <c r="D379" s="3" t="inlineStr">
        <is>
          <t>Segment: segment; revenue; ebitda; assets</t>
        </is>
      </c>
      <c r="E379" s="2" t="inlineStr">
        <is>
          <t>FY2023</t>
        </is>
      </c>
      <c r="F379" s="2" t="n">
        <v>0.2</v>
      </c>
      <c r="G379" s="2" t="n"/>
      <c r="H379" s="3" t="inlineStr">
        <is>
          <t>segment: Other Europe (CH, IT, ES, DK); revenue: 0.2; ebitda: -0.5; assets: 6.6</t>
        </is>
      </c>
      <c r="I379" s="2" t="inlineStr">
        <is>
          <t>S1</t>
        </is>
      </c>
      <c r="J379" s="2" t="n">
        <v>120</v>
      </c>
      <c r="K379" s="3" t="inlineStr">
        <is>
          <t>Segment revenues 41,186 7,120 3,014 5,634 3,311 245 60,510</t>
        </is>
      </c>
      <c r="L379" s="2" t="inlineStr">
        <is>
          <t>pend</t>
        </is>
      </c>
      <c r="M379" s="2" t="n"/>
      <c r="N379" s="2" t="n"/>
      <c r="O379" s="3" t="inlineStr">
        <is>
          <t>https://vanillabonds.com/dossier-data/pdf/fastned/fastned-2023-annual-report.pdf#page=120</t>
        </is>
      </c>
    </row>
    <row r="380">
      <c r="A380" s="2" t="inlineStr">
        <is>
          <t>F379</t>
        </is>
      </c>
      <c r="B380" s="2" t="inlineStr">
        <is>
          <t>financials</t>
        </is>
      </c>
      <c r="C380" s="2" t="inlineStr">
        <is>
          <t>tax_paid</t>
        </is>
      </c>
      <c r="D380" s="2" t="inlineStr">
        <is>
          <t>Income taxes paid (cash flow statement)</t>
        </is>
      </c>
      <c r="E380" s="2" t="inlineStr">
        <is>
          <t>FY2022</t>
        </is>
      </c>
      <c r="F380" s="2" t="n">
        <v>0</v>
      </c>
      <c r="G380" s="2" t="inlineStr">
        <is>
          <t>EUR m</t>
        </is>
      </c>
      <c r="H380" s="3" t="inlineStr">
        <is>
          <t>No income taxes paid or received in 2022 (cash flow statement).</t>
        </is>
      </c>
      <c r="I380" s="2" t="inlineStr">
        <is>
          <t>S1</t>
        </is>
      </c>
      <c r="J380" s="2" t="n">
        <v>95</v>
      </c>
      <c r="K380" s="2" t="inlineStr">
        <is>
          <t>Income taxes (paid)/received — —</t>
        </is>
      </c>
      <c r="L380" s="2" t="inlineStr">
        <is>
          <t>pend</t>
        </is>
      </c>
      <c r="M380" s="2" t="n"/>
      <c r="N380" s="2" t="n"/>
      <c r="O380" s="3" t="inlineStr">
        <is>
          <t>https://vanillabonds.com/dossier-data/pdf/fastned/fastned-2023-annual-report.pdf#page=95</t>
        </is>
      </c>
    </row>
    <row r="381">
      <c r="A381" s="2" t="inlineStr">
        <is>
          <t>F380</t>
        </is>
      </c>
      <c r="B381" s="2" t="inlineStr">
        <is>
          <t>financials</t>
        </is>
      </c>
      <c r="C381" s="2" t="inlineStr">
        <is>
          <t>tax_paid</t>
        </is>
      </c>
      <c r="D381" s="2" t="inlineStr">
        <is>
          <t>Income taxes paid (cash flow statement)</t>
        </is>
      </c>
      <c r="E381" s="2" t="inlineStr">
        <is>
          <t>FY2023</t>
        </is>
      </c>
      <c r="F381" s="2" t="n">
        <v>0</v>
      </c>
      <c r="G381" s="2" t="inlineStr">
        <is>
          <t>EUR m</t>
        </is>
      </c>
      <c r="H381" s="3" t="inlineStr">
        <is>
          <t>No income taxes paid or received in 2023 (cash flow statement).</t>
        </is>
      </c>
      <c r="I381" s="2" t="inlineStr">
        <is>
          <t>S1</t>
        </is>
      </c>
      <c r="J381" s="2" t="n">
        <v>95</v>
      </c>
      <c r="K381" s="2" t="inlineStr">
        <is>
          <t>Income taxes (paid)/received — —</t>
        </is>
      </c>
      <c r="L381" s="2" t="inlineStr">
        <is>
          <t>pend</t>
        </is>
      </c>
      <c r="M381" s="2" t="n"/>
      <c r="N381" s="2" t="n"/>
      <c r="O381" s="3" t="inlineStr">
        <is>
          <t>https://vanillabonds.com/dossier-data/pdf/fastned/fastned-2023-annual-report.pdf#page=95</t>
        </is>
      </c>
    </row>
    <row r="382">
      <c r="A382" s="2" t="inlineStr">
        <is>
          <t>F381</t>
        </is>
      </c>
      <c r="B382" s="2" t="inlineStr">
        <is>
          <t>debt</t>
        </is>
      </c>
      <c r="C382" s="2" t="inlineStr">
        <is>
          <t>hedge</t>
        </is>
      </c>
      <c r="D382" s="3" t="inlineStr">
        <is>
          <t>Hedge: instrument; counterparty; notional; maturity; hedged item (rate, FX)</t>
        </is>
      </c>
      <c r="E382" s="2" t="n"/>
      <c r="F382" s="2" t="n"/>
      <c r="G382" s="2" t="n"/>
      <c r="H382" s="3" t="inlineStr">
        <is>
          <t>instrument: none; hedged item: FX (no derivative financial instruments used)</t>
        </is>
      </c>
      <c r="I382" s="2" t="inlineStr">
        <is>
          <t>S1</t>
        </is>
      </c>
      <c r="J382" s="2" t="n">
        <v>110</v>
      </c>
      <c r="K382" s="3" t="inlineStr">
        <is>
          <t>The Group only has financial assets at amortised cost and makes no use of derivative financial instruments.</t>
        </is>
      </c>
      <c r="L382" s="2" t="inlineStr">
        <is>
          <t>pend</t>
        </is>
      </c>
      <c r="M382" s="2" t="n"/>
      <c r="N382" s="2" t="n"/>
      <c r="O382" s="3" t="inlineStr">
        <is>
          <t>https://vanillabonds.com/dossier-data/pdf/fastned/fastned-2023-annual-report.pdf#page=110</t>
        </is>
      </c>
    </row>
    <row r="383">
      <c r="A383" s="2" t="inlineStr">
        <is>
          <t>F382</t>
        </is>
      </c>
      <c r="B383" s="2" t="inlineStr">
        <is>
          <t>debt</t>
        </is>
      </c>
      <c r="C383" s="2" t="inlineStr">
        <is>
          <t>hedge</t>
        </is>
      </c>
      <c r="D383" s="3" t="inlineStr">
        <is>
          <t>Hedge: instrument; counterparty; notional; maturity; hedged item (rate, FX)</t>
        </is>
      </c>
      <c r="E383" s="2" t="n"/>
      <c r="F383" s="2" t="n"/>
      <c r="G383" s="2" t="n"/>
      <c r="H383" s="3" t="inlineStr">
        <is>
          <t>instrument: none; hedged item: rate (Management Board decided no further hedging is required for interest rate risk)</t>
        </is>
      </c>
      <c r="I383" s="2" t="inlineStr">
        <is>
          <t>S1</t>
        </is>
      </c>
      <c r="J383" s="2" t="n">
        <v>140</v>
      </c>
      <c r="K383" s="3" t="inlineStr">
        <is>
          <t>The Management Board has decided that no further hedging is required for interest rate risk.</t>
        </is>
      </c>
      <c r="L383" s="2" t="inlineStr">
        <is>
          <t>pend</t>
        </is>
      </c>
      <c r="M383" s="2" t="n"/>
      <c r="N383" s="2" t="n"/>
      <c r="O383" s="3" t="inlineStr">
        <is>
          <t>https://vanillabonds.com/dossier-data/pdf/fastned/fastned-2023-annual-report.pdf#page=140</t>
        </is>
      </c>
    </row>
    <row r="384">
      <c r="A384" s="2" t="inlineStr">
        <is>
          <t>F383</t>
        </is>
      </c>
      <c r="B384" s="2" t="inlineStr">
        <is>
          <t>debt</t>
        </is>
      </c>
      <c r="C384" s="2" t="inlineStr">
        <is>
          <t>hedge</t>
        </is>
      </c>
      <c r="D384" s="3" t="inlineStr">
        <is>
          <t>Hedge: instrument; counterparty; notional; maturity; hedged item (rate, FX)</t>
        </is>
      </c>
      <c r="E384" s="2" t="n"/>
      <c r="F384" s="2" t="n"/>
      <c r="G384" s="2" t="n"/>
      <c r="H384" s="3" t="inlineStr">
        <is>
          <t>instrument: none; hedged item: electricity price (energy costs not hedged, electricity bought on the spot wholesale market)</t>
        </is>
      </c>
      <c r="I384" s="2" t="inlineStr">
        <is>
          <t>S1</t>
        </is>
      </c>
      <c r="J384" s="2" t="n">
        <v>140</v>
      </c>
      <c r="K384" s="3" t="inlineStr">
        <is>
          <t>energy costs are not hedged. There are no financial instruments related to commodity price risk.</t>
        </is>
      </c>
      <c r="L384" s="2" t="inlineStr">
        <is>
          <t>pend</t>
        </is>
      </c>
      <c r="M384" s="2" t="n"/>
      <c r="N384" s="2" t="n"/>
      <c r="O384" s="3" t="inlineStr">
        <is>
          <t>https://vanillabonds.com/dossier-data/pdf/fastned/fastned-2023-annual-report.pdf#page=140</t>
        </is>
      </c>
    </row>
    <row r="385">
      <c r="A385" s="2" t="inlineStr">
        <is>
          <t>F384</t>
        </is>
      </c>
      <c r="B385" s="2" t="inlineStr">
        <is>
          <t>debt</t>
        </is>
      </c>
      <c r="C385" s="2" t="inlineStr">
        <is>
          <t>rate_type</t>
        </is>
      </c>
      <c r="D385" s="3" t="inlineStr">
        <is>
          <t>Rate structure of the debt: floating_share (0-1); base rate; fixed_share; fx mismatch revenue vs cost</t>
        </is>
      </c>
      <c r="E385" s="2" t="n"/>
      <c r="F385" s="2" t="n"/>
      <c r="G385" s="2" t="n"/>
      <c r="H385" s="3" t="inlineStr">
        <is>
          <t>floating_share: 0; base rate: none, all bonds fixed coupon 5.0-6.0%, CDC loan 4% fixed for two years then kWh-based variable component; fixed_share: 1; fx mismatch revenue vs cost: UK, CH and DK entities sell and buy locally, funded by intercompany loans from Fastned B.V., 1% FX move changes the balance by EUR 340k</t>
        </is>
      </c>
      <c r="I385" s="2" t="inlineStr">
        <is>
          <t>S1</t>
        </is>
      </c>
      <c r="J385" s="2" t="n">
        <v>140</v>
      </c>
      <c r="K385" s="3" t="inlineStr">
        <is>
          <t>The Group’s exposure to the risk of changes in market interest rates is low due to the Group’s long-term debt obligations with fixed rates.</t>
        </is>
      </c>
      <c r="L385" s="2" t="inlineStr">
        <is>
          <t>pend</t>
        </is>
      </c>
      <c r="M385" s="2" t="n"/>
      <c r="N385" s="2" t="n"/>
      <c r="O385" s="3" t="inlineStr">
        <is>
          <t>https://vanillabonds.com/dossier-data/pdf/fastned/fastned-2023-annual-report.pdf#page=140</t>
        </is>
      </c>
    </row>
    <row r="386">
      <c r="A386" s="2" t="inlineStr">
        <is>
          <t>F385</t>
        </is>
      </c>
      <c r="B386" s="2" t="inlineStr">
        <is>
          <t>debt</t>
        </is>
      </c>
      <c r="C386" s="2" t="inlineStr">
        <is>
          <t>rollover_event</t>
        </is>
      </c>
      <c r="D386" s="3" t="inlineStr">
        <is>
          <t>Past maturity: instrument; amount; due; outcome (repaid, refinanced, extended, waived)</t>
        </is>
      </c>
      <c r="E386" s="2" t="n"/>
      <c r="F386" s="2" t="n"/>
      <c r="G386" s="2" t="n"/>
      <c r="H386" s="3" t="inlineStr">
        <is>
          <t>instrument: Fastned bonds maturing in 2023; due: 2023; outcome: extended (part of circa EUR 54m new and extended bonds in 2023)</t>
        </is>
      </c>
      <c r="I386" s="2" t="inlineStr">
        <is>
          <t>S1</t>
        </is>
      </c>
      <c r="J386" s="2" t="n">
        <v>55</v>
      </c>
      <c r="K386" s="3" t="inlineStr">
        <is>
          <t>In 2023, Fastned enhanced its capital position by issuing new and extending bonds of circa €54 million.</t>
        </is>
      </c>
      <c r="L386" s="2" t="inlineStr">
        <is>
          <t>pend</t>
        </is>
      </c>
      <c r="M386" s="2" t="n"/>
      <c r="N386" s="2" t="n"/>
      <c r="O386" s="3" t="inlineStr">
        <is>
          <t>https://vanillabonds.com/dossier-data/pdf/fastned/fastned-2023-annual-report.pdf#page=55</t>
        </is>
      </c>
    </row>
    <row r="387">
      <c r="A387" s="2" t="inlineStr">
        <is>
          <t>F386</t>
        </is>
      </c>
      <c r="B387" s="2" t="inlineStr">
        <is>
          <t>debt</t>
        </is>
      </c>
      <c r="C387" s="2" t="inlineStr">
        <is>
          <t>rollover_event</t>
        </is>
      </c>
      <c r="D387" s="3" t="inlineStr">
        <is>
          <t>Past maturity: instrument; amount; due; outcome (repaid, refinanced, extended, waived)</t>
        </is>
      </c>
      <c r="E387" s="2" t="n"/>
      <c r="F387" s="2" t="n">
        <v>8.9</v>
      </c>
      <c r="G387" s="2" t="n"/>
      <c r="H387" s="3" t="inlineStr">
        <is>
          <t>instrument: 6% corporate bond; amount: 8.9; due: 2023-10-30; outcome: repaid 6,930k in cash and 1,979k extended into new bonds</t>
        </is>
      </c>
      <c r="I387" s="2" t="inlineStr">
        <is>
          <t>S1</t>
        </is>
      </c>
      <c r="J387" s="2" t="n">
        <v>137</v>
      </c>
      <c r="K387" s="3" t="inlineStr">
        <is>
          <t>6% corporate bond 30/10/23 8,909 400 (6,930) (491) 91 (1,979) —</t>
        </is>
      </c>
      <c r="L387" s="2" t="inlineStr">
        <is>
          <t>pend</t>
        </is>
      </c>
      <c r="M387" s="2" t="n"/>
      <c r="N387" s="2" t="n"/>
      <c r="O387" s="3" t="inlineStr">
        <is>
          <t>https://vanillabonds.com/dossier-data/pdf/fastned/fastned-2023-annual-report.pdf#page=137</t>
        </is>
      </c>
    </row>
    <row r="388">
      <c r="A388" s="2" t="inlineStr">
        <is>
          <t>F387</t>
        </is>
      </c>
      <c r="B388" s="2" t="inlineStr">
        <is>
          <t>debt</t>
        </is>
      </c>
      <c r="C388" s="2" t="inlineStr">
        <is>
          <t>rollover_event</t>
        </is>
      </c>
      <c r="D388" s="3" t="inlineStr">
        <is>
          <t>Past maturity: instrument; amount; due; outcome (repaid, refinanced, extended, waived)</t>
        </is>
      </c>
      <c r="E388" s="2" t="n"/>
      <c r="F388" s="2" t="n">
        <v>1.2</v>
      </c>
      <c r="G388" s="2" t="n"/>
      <c r="H388" s="3" t="inlineStr">
        <is>
          <t>instrument: loan to Fastned Terra 1 B.V. (asset, 6%); amount: 1.2; due: 2024-12-31; outcome: settled 1,296k in 2023 and eliminated on consolidation after the Terra 1 acquisition</t>
        </is>
      </c>
      <c r="I388" s="2" t="inlineStr">
        <is>
          <t>S1</t>
        </is>
      </c>
      <c r="J388" s="2" t="n">
        <v>137</v>
      </c>
      <c r="K388" s="3" t="inlineStr">
        <is>
          <t>Loan to Fastned Terra 1 B.V. 31/12/24 1,242 54 (1,296) — — — —</t>
        </is>
      </c>
      <c r="L388" s="2" t="inlineStr">
        <is>
          <t>pend</t>
        </is>
      </c>
      <c r="M388" s="2" t="n"/>
      <c r="N388" s="2" t="n"/>
      <c r="O388" s="3" t="inlineStr">
        <is>
          <t>https://vanillabonds.com/dossier-data/pdf/fastned/fastned-2023-annual-report.pdf#page=137</t>
        </is>
      </c>
    </row>
    <row r="389">
      <c r="A389" s="2" t="inlineStr">
        <is>
          <t>F388</t>
        </is>
      </c>
      <c r="B389" s="2" t="inlineStr">
        <is>
          <t>debt</t>
        </is>
      </c>
      <c r="C389" s="2" t="inlineStr">
        <is>
          <t>rollover_event</t>
        </is>
      </c>
      <c r="D389" s="3" t="inlineStr">
        <is>
          <t>Past maturity: instrument; amount; due; outcome (repaid, refinanced, extended, waived)</t>
        </is>
      </c>
      <c r="E389" s="2" t="n"/>
      <c r="F389" s="2" t="n">
        <v>4.2</v>
      </c>
      <c r="G389" s="2" t="n"/>
      <c r="H389" s="3" t="inlineStr">
        <is>
          <t>instrument: 6% corporate bond; amount: 4.2; due: 2022-06-06; outcome: repaid 3,549k in cash and 632k extended</t>
        </is>
      </c>
      <c r="I389" s="2" t="inlineStr">
        <is>
          <t>S1</t>
        </is>
      </c>
      <c r="J389" s="2" t="n">
        <v>138</v>
      </c>
      <c r="K389" s="3" t="inlineStr">
        <is>
          <t>6% corporate bond 06/06/22 4,181 108 (3,549) (125) 17 (632) —</t>
        </is>
      </c>
      <c r="L389" s="2" t="inlineStr">
        <is>
          <t>pend</t>
        </is>
      </c>
      <c r="M389" s="2" t="n"/>
      <c r="N389" s="2" t="n"/>
      <c r="O389" s="3" t="inlineStr">
        <is>
          <t>https://vanillabonds.com/dossier-data/pdf/fastned/fastned-2023-annual-report.pdf#page=138</t>
        </is>
      </c>
    </row>
    <row r="390">
      <c r="A390" s="2" t="inlineStr">
        <is>
          <t>F389</t>
        </is>
      </c>
      <c r="B390" s="2" t="inlineStr">
        <is>
          <t>debt</t>
        </is>
      </c>
      <c r="C390" s="2" t="inlineStr">
        <is>
          <t>rollover_event</t>
        </is>
      </c>
      <c r="D390" s="3" t="inlineStr">
        <is>
          <t>Past maturity: instrument; amount; due; outcome (repaid, refinanced, extended, waived)</t>
        </is>
      </c>
      <c r="E390" s="2" t="n"/>
      <c r="F390" s="2" t="n">
        <v>7.4</v>
      </c>
      <c r="G390" s="2" t="n"/>
      <c r="H390" s="3" t="inlineStr">
        <is>
          <t>instrument: 6% corporate bond; amount: 7.4; due: 2022-12-12; outcome: repaid 5,913k in cash and 1,454k extended</t>
        </is>
      </c>
      <c r="I390" s="2" t="inlineStr">
        <is>
          <t>S1</t>
        </is>
      </c>
      <c r="J390" s="2" t="n">
        <v>138</v>
      </c>
      <c r="K390" s="3" t="inlineStr">
        <is>
          <t>6% corporate bond 12/12/22 7,367 400 (5,913) (423) 23 (1,454) —</t>
        </is>
      </c>
      <c r="L390" s="2" t="inlineStr">
        <is>
          <t>pend</t>
        </is>
      </c>
      <c r="M390" s="2" t="n"/>
      <c r="N390" s="2" t="n"/>
      <c r="O390" s="3" t="inlineStr">
        <is>
          <t>https://vanillabonds.com/dossier-data/pdf/fastned/fastned-2023-annual-report.pdf#page=138</t>
        </is>
      </c>
    </row>
    <row r="391">
      <c r="A391" s="2" t="inlineStr">
        <is>
          <t>F390</t>
        </is>
      </c>
      <c r="B391" s="2" t="inlineStr">
        <is>
          <t>debt</t>
        </is>
      </c>
      <c r="C391" s="2" t="inlineStr">
        <is>
          <t>rollover_event</t>
        </is>
      </c>
      <c r="D391" s="3" t="inlineStr">
        <is>
          <t>Past maturity: instrument; amount; due; outcome (repaid, refinanced, extended, waived)</t>
        </is>
      </c>
      <c r="E391" s="2" t="n"/>
      <c r="F391" s="2" t="n">
        <v>2.8</v>
      </c>
      <c r="G391" s="2" t="n"/>
      <c r="H391" s="3" t="inlineStr">
        <is>
          <t>instrument: 4.5% corporate bond; amount: 2.8; due: 2026-12-12; outcome: extended in 2022 into the 5% corporate bond (non-cash extension 2,807k)</t>
        </is>
      </c>
      <c r="I391" s="2" t="inlineStr">
        <is>
          <t>S1</t>
        </is>
      </c>
      <c r="J391" s="2" t="n">
        <v>138</v>
      </c>
      <c r="K391" s="3" t="inlineStr">
        <is>
          <t>4.5% corporate bond 12/12/26 2,807 79 — (79) — (2,807) —</t>
        </is>
      </c>
      <c r="L391" s="2" t="inlineStr">
        <is>
          <t>pend</t>
        </is>
      </c>
      <c r="M391" s="2" t="n"/>
      <c r="N391" s="2" t="n"/>
      <c r="O391" s="3" t="inlineStr">
        <is>
          <t>https://vanillabonds.com/dossier-data/pdf/fastned/fastned-2023-annual-report.pdf#page=138</t>
        </is>
      </c>
    </row>
    <row r="392">
      <c r="A392" s="2" t="inlineStr">
        <is>
          <t>F391</t>
        </is>
      </c>
      <c r="B392" s="2" t="inlineStr">
        <is>
          <t>debt</t>
        </is>
      </c>
      <c r="C392" s="2" t="inlineStr">
        <is>
          <t>rollover_event</t>
        </is>
      </c>
      <c r="D392" s="3" t="inlineStr">
        <is>
          <t>Past maturity: instrument; amount; due; outcome (repaid, refinanced, extended, waived)</t>
        </is>
      </c>
      <c r="E392" s="2" t="n"/>
      <c r="F392" s="2" t="n">
        <v>0</v>
      </c>
      <c r="G392" s="2" t="n"/>
      <c r="H392" s="3" t="inlineStr">
        <is>
          <t>instrument: 8.5% secured loan; amount: 0.04; due: 2026-06-30; outcome: repaid in 2022 (41k)</t>
        </is>
      </c>
      <c r="I392" s="2" t="inlineStr">
        <is>
          <t>S1</t>
        </is>
      </c>
      <c r="J392" s="2" t="n">
        <v>138</v>
      </c>
      <c r="K392" s="3" t="inlineStr">
        <is>
          <t>8.5% secured loan 30/06/26 41 — (41) — — — —</t>
        </is>
      </c>
      <c r="L392" s="2" t="inlineStr">
        <is>
          <t>pend</t>
        </is>
      </c>
      <c r="M392" s="2" t="n"/>
      <c r="N392" s="2" t="n"/>
      <c r="O392" s="3" t="inlineStr">
        <is>
          <t>https://vanillabonds.com/dossier-data/pdf/fastned/fastned-2023-annual-report.pdf#page=138</t>
        </is>
      </c>
    </row>
    <row r="393">
      <c r="A393" s="2" t="inlineStr">
        <is>
          <t>F392</t>
        </is>
      </c>
      <c r="B393" s="2" t="inlineStr">
        <is>
          <t>management</t>
        </is>
      </c>
      <c r="C393" s="2" t="inlineStr">
        <is>
          <t>project_outcome</t>
        </is>
      </c>
      <c r="D393" s="3" t="inlineStr">
        <is>
          <t>Project or acquisition: name; approved budget; approved timing; realised cost; realised timing; realised result</t>
        </is>
      </c>
      <c r="E393" s="2" t="n"/>
      <c r="F393" s="2" t="n"/>
      <c r="G393" s="2" t="n"/>
      <c r="H393" s="3" t="inlineStr">
        <is>
          <t>name: Helsingør, first Danish station; realised timing: opened end 2023, five months after the tender was won</t>
        </is>
      </c>
      <c r="I393" s="2" t="inlineStr">
        <is>
          <t>S1</t>
        </is>
      </c>
      <c r="J393" s="2" t="n">
        <v>18</v>
      </c>
      <c r="K393" s="3" t="inlineStr">
        <is>
          <t>The first station at Helsingør opened at the end of the year, only five months after the tender was won.</t>
        </is>
      </c>
      <c r="L393" s="2" t="inlineStr">
        <is>
          <t>pend</t>
        </is>
      </c>
      <c r="M393" s="2" t="n"/>
      <c r="N393" s="2" t="n"/>
      <c r="O393" s="3" t="inlineStr">
        <is>
          <t>https://vanillabonds.com/dossier-data/pdf/fastned/fastned-2023-annual-report.pdf#page=18</t>
        </is>
      </c>
    </row>
    <row r="394">
      <c r="A394" s="2" t="inlineStr">
        <is>
          <t>F393</t>
        </is>
      </c>
      <c r="B394" s="2" t="inlineStr">
        <is>
          <t>management</t>
        </is>
      </c>
      <c r="C394" s="2" t="inlineStr">
        <is>
          <t>strategy_statement</t>
        </is>
      </c>
      <c r="D394" s="3" t="inlineStr">
        <is>
          <t>Stated strategy: year; statement; what happened; source</t>
        </is>
      </c>
      <c r="E394" s="2" t="n"/>
      <c r="F394" s="2" t="n"/>
      <c r="G394" s="2" t="n"/>
      <c r="H394" s="3" t="inlineStr">
        <is>
          <t>year: 2023; statement: five strategic actions - advocate open market access, win tenders and private locations, best charging concept and reliability, scale cash flows to reduce funding needs, repeat; source: CEO statement p.8</t>
        </is>
      </c>
      <c r="I394" s="2" t="inlineStr">
        <is>
          <t>S1</t>
        </is>
      </c>
      <c r="J394" s="2" t="n">
        <v>8</v>
      </c>
      <c r="K394" s="3" t="inlineStr">
        <is>
          <t>4. Outperform by scaling up cash flows to reduce funding needs and enhance profitability.</t>
        </is>
      </c>
      <c r="L394" s="2" t="inlineStr">
        <is>
          <t>pend</t>
        </is>
      </c>
      <c r="M394" s="2" t="n"/>
      <c r="N394" s="2" t="n"/>
      <c r="O394" s="3" t="inlineStr">
        <is>
          <t>https://vanillabonds.com/dossier-data/pdf/fastned/fastned-2023-annual-report.pdf#page=8</t>
        </is>
      </c>
    </row>
    <row r="395">
      <c r="A395" s="2" t="inlineStr">
        <is>
          <t>F394</t>
        </is>
      </c>
      <c r="B395" s="2" t="inlineStr">
        <is>
          <t>management</t>
        </is>
      </c>
      <c r="C395" s="2" t="inlineStr">
        <is>
          <t>strategy_statement</t>
        </is>
      </c>
      <c r="D395" s="3" t="inlineStr">
        <is>
          <t>Stated strategy: year; statement; what happened; source</t>
        </is>
      </c>
      <c r="E395" s="2" t="n"/>
      <c r="F395" s="2" t="n"/>
      <c r="G395" s="2" t="n"/>
      <c r="H395" s="3" t="inlineStr">
        <is>
          <t>year: 2023; statement: build a European network of 1,000 fast charging stations at high-traffic locations by 2030; what happened: 297 stations in seven countries at year-end 2023, 55 opened in 2023; source: Annual Report 2023 p.14</t>
        </is>
      </c>
      <c r="I395" s="2" t="inlineStr">
        <is>
          <t>S1</t>
        </is>
      </c>
      <c r="J395" s="2" t="n">
        <v>14</v>
      </c>
      <c r="K395" s="3" t="inlineStr">
        <is>
          <t>Our goal is to build a European network of 1,000 fast charging stations at high-traffic locations by 2030, supporting the exponential growth of electric vehicles on the roads.</t>
        </is>
      </c>
      <c r="L395" s="2" t="inlineStr">
        <is>
          <t>pend</t>
        </is>
      </c>
      <c r="M395" s="2" t="n"/>
      <c r="N395" s="2" t="n"/>
      <c r="O395" s="3" t="inlineStr">
        <is>
          <t>https://vanillabonds.com/dossier-data/pdf/fastned/fastned-2023-annual-report.pdf#page=14</t>
        </is>
      </c>
    </row>
    <row r="396">
      <c r="A396" s="2" t="inlineStr">
        <is>
          <t>F395</t>
        </is>
      </c>
      <c r="B396" s="2" t="inlineStr">
        <is>
          <t>management</t>
        </is>
      </c>
      <c r="C396" s="2" t="inlineStr">
        <is>
          <t>strategy_statement</t>
        </is>
      </c>
      <c r="D396" s="3" t="inlineStr">
        <is>
          <t>Stated strategy: year; statement; what happened; source</t>
        </is>
      </c>
      <c r="E396" s="2" t="n"/>
      <c r="F396" s="2" t="n"/>
      <c r="G396" s="2" t="n"/>
      <c r="H396" s="3" t="inlineStr">
        <is>
          <t>year: 2023; statement: three location channels - public motorway tenders (AFIR), private landowners with long-term contracts, urban and corridor sites of local authorities; what happened: two Deutschlandnetz contracts, private locations more than doubled in 2023; source: p.14</t>
        </is>
      </c>
      <c r="I396" s="2" t="inlineStr">
        <is>
          <t>S1</t>
        </is>
      </c>
      <c r="J396" s="2" t="n">
        <v>14</v>
      </c>
      <c r="K396" s="3" t="inlineStr">
        <is>
          <t>This is also proven by the ambitious Deutschlandnetz tender in which Fastned secured two contracts.</t>
        </is>
      </c>
      <c r="L396" s="2" t="inlineStr">
        <is>
          <t>pend</t>
        </is>
      </c>
      <c r="M396" s="2" t="n"/>
      <c r="N396" s="2" t="n"/>
      <c r="O396" s="3" t="inlineStr">
        <is>
          <t>https://vanillabonds.com/dossier-data/pdf/fastned/fastned-2023-annual-report.pdf#page=14</t>
        </is>
      </c>
    </row>
    <row r="397">
      <c r="A397" s="2" t="inlineStr">
        <is>
          <t>F396</t>
        </is>
      </c>
      <c r="B397" s="2" t="inlineStr">
        <is>
          <t>management</t>
        </is>
      </c>
      <c r="C397" s="2" t="inlineStr">
        <is>
          <t>strategy_statement</t>
        </is>
      </c>
      <c r="D397" s="3" t="inlineStr">
        <is>
          <t>Stated strategy: year; statement; what happened; source</t>
        </is>
      </c>
      <c r="E397" s="2" t="n"/>
      <c r="F397" s="2" t="n"/>
      <c r="G397" s="2" t="n"/>
      <c r="H397" s="3" t="inlineStr">
        <is>
          <t>year: 2023; statement: strategic target of positive underlying company EBITDA for 2023; what happened: achieved, EUR 7.8m (2022: -4.0m); source: Annual Report 2023 p.37</t>
        </is>
      </c>
      <c r="I397" s="2" t="inlineStr">
        <is>
          <t>S1</t>
        </is>
      </c>
      <c r="J397" s="2" t="n">
        <v>37</v>
      </c>
      <c r="K397" s="3" t="inlineStr">
        <is>
          <t>Fastned achieved a positive underlying company EBITDA in 2023, thereby meeting its strategic target set for the year.</t>
        </is>
      </c>
      <c r="L397" s="2" t="inlineStr">
        <is>
          <t>pend</t>
        </is>
      </c>
      <c r="M397" s="2" t="n"/>
      <c r="N397" s="2" t="n"/>
      <c r="O397" s="3" t="inlineStr">
        <is>
          <t>https://vanillabonds.com/dossier-data/pdf/fastned/fastned-2023-annual-report.pdf#page=37</t>
        </is>
      </c>
    </row>
    <row r="398">
      <c r="A398" s="2" t="inlineStr">
        <is>
          <t>F397</t>
        </is>
      </c>
      <c r="B398" s="2" t="inlineStr">
        <is>
          <t>management</t>
        </is>
      </c>
      <c r="C398" s="2" t="inlineStr">
        <is>
          <t>strategy_statement</t>
        </is>
      </c>
      <c r="D398" s="3" t="inlineStr">
        <is>
          <t>Stated strategy: year; statement; what happened; source</t>
        </is>
      </c>
      <c r="E398" s="2" t="n"/>
      <c r="F398" s="2" t="n"/>
      <c r="G398" s="2" t="n"/>
      <c r="H398" s="3" t="inlineStr">
        <is>
          <t>year: 2023; statement: during the scale-up phase continuity of funding is required while maintaining a balance between debt and equity; source: note 14.6</t>
        </is>
      </c>
      <c r="I398" s="2" t="inlineStr">
        <is>
          <t>S1</t>
        </is>
      </c>
      <c r="J398" s="2" t="n">
        <v>141</v>
      </c>
      <c r="K398" s="3" t="inlineStr">
        <is>
          <t>The Group’s objective is to realise its mission and therefore during the scale up phase continuity of funding is required, while maintaining a balance between debt and equity.</t>
        </is>
      </c>
      <c r="L398" s="2" t="inlineStr">
        <is>
          <t>pend</t>
        </is>
      </c>
      <c r="M398" s="2" t="n"/>
      <c r="N398" s="2" t="n"/>
      <c r="O398" s="3" t="inlineStr">
        <is>
          <t>https://vanillabonds.com/dossier-data/pdf/fastned/fastned-2023-annual-report.pdf#page=141</t>
        </is>
      </c>
    </row>
    <row r="399">
      <c r="A399" s="2" t="inlineStr">
        <is>
          <t>F398</t>
        </is>
      </c>
      <c r="B399" s="2" t="inlineStr">
        <is>
          <t>management</t>
        </is>
      </c>
      <c r="C399" s="2" t="inlineStr">
        <is>
          <t>strategy_statement</t>
        </is>
      </c>
      <c r="D399" s="3" t="inlineStr">
        <is>
          <t>Stated strategy: year; statement; what happened; source</t>
        </is>
      </c>
      <c r="E399" s="2" t="n"/>
      <c r="F399" s="2" t="n"/>
      <c r="G399" s="2" t="n"/>
      <c r="H399" s="3" t="inlineStr">
        <is>
          <t>year: 2023; statement: mission to give freedom to electric drivers and accelerate the transition to electric mobility, achieved through raising additional capital to expand the network; what happened: 55 stations opened in 2023, EUR 53m bonds issued; source: auditor's report describing management</t>
        </is>
      </c>
      <c r="I399" s="2" t="inlineStr">
        <is>
          <t>S1</t>
        </is>
      </c>
      <c r="J399" s="2" t="n">
        <v>180</v>
      </c>
      <c r="K399" s="3" t="inlineStr">
        <is>
          <t>Fastned operates in a developing market and management’s focus is to give freedom to electric drivers and accelerate the transition to electric mobility.</t>
        </is>
      </c>
      <c r="L399" s="2" t="inlineStr">
        <is>
          <t>pend</t>
        </is>
      </c>
      <c r="M399" s="2" t="n"/>
      <c r="N399" s="2" t="n"/>
      <c r="O399" s="3" t="inlineStr">
        <is>
          <t>https://vanillabonds.com/dossier-data/pdf/fastned/fastned-2023-annual-report.pdf#page=180</t>
        </is>
      </c>
    </row>
    <row r="400">
      <c r="A400" s="2" t="inlineStr">
        <is>
          <t>F399</t>
        </is>
      </c>
      <c r="B400" s="2" t="inlineStr">
        <is>
          <t>management</t>
        </is>
      </c>
      <c r="C400" s="2" t="inlineStr">
        <is>
          <t>strategy_statement</t>
        </is>
      </c>
      <c r="D400" s="3" t="inlineStr">
        <is>
          <t>Stated strategy: year; statement; what happened; source</t>
        </is>
      </c>
      <c r="E400" s="2" t="n"/>
      <c r="F400" s="2" t="n"/>
      <c r="G400" s="2" t="n"/>
      <c r="H400" s="3" t="inlineStr">
        <is>
          <t>year: 2023; statement: objectives are to accelerate the transition to e-mobility and to continue creating a network of fast-charging stations powered by renewable energy; source: sustainability appendix</t>
        </is>
      </c>
      <c r="I400" s="2" t="inlineStr">
        <is>
          <t>S1</t>
        </is>
      </c>
      <c r="J400" s="2" t="n">
        <v>194</v>
      </c>
      <c r="K400" s="3" t="inlineStr">
        <is>
          <t>These are, respectively: to accelerate the transition to e-mobility, and to continue creating a network of fast</t>
        </is>
      </c>
      <c r="L400" s="2" t="inlineStr">
        <is>
          <t>pend</t>
        </is>
      </c>
      <c r="M400" s="2" t="n"/>
      <c r="N400" s="2" t="n"/>
      <c r="O400" s="3" t="inlineStr">
        <is>
          <t>https://vanillabonds.com/dossier-data/pdf/fastned/fastned-2023-annual-report.pdf#page=194</t>
        </is>
      </c>
    </row>
    <row r="401">
      <c r="A401" s="2" t="inlineStr">
        <is>
          <t>F400</t>
        </is>
      </c>
      <c r="B401" s="2" t="inlineStr">
        <is>
          <t>management</t>
        </is>
      </c>
      <c r="C401" s="2" t="inlineStr">
        <is>
          <t>risk_policy</t>
        </is>
      </c>
      <c r="D401" s="3" t="inlineStr">
        <is>
          <t>Financial policy, stated and revealed: item (leverage target, dividend, hedging, cash held, acquisition funding); stated; realised; year</t>
        </is>
      </c>
      <c r="E401" s="2" t="n"/>
      <c r="F401" s="2" t="n"/>
      <c r="G401" s="2" t="n"/>
      <c r="H401" s="3" t="inlineStr">
        <is>
          <t>item: hedging (energy price); stated: 'policy of having stable pricing' (company); realised: first multi-year CPPA with GLP, 15 GWh per year at a fixed price from February 2024; year: 2023</t>
        </is>
      </c>
      <c r="I401" s="2" t="inlineStr">
        <is>
          <t>S1</t>
        </is>
      </c>
      <c r="J401" s="2" t="n">
        <v>46</v>
      </c>
      <c r="K401" s="3" t="inlineStr">
        <is>
          <t>The agreement supports Fastned's policy of having stable pricing.</t>
        </is>
      </c>
      <c r="L401" s="2" t="inlineStr">
        <is>
          <t>pend</t>
        </is>
      </c>
      <c r="M401" s="2" t="n"/>
      <c r="N401" s="2" t="n"/>
      <c r="O401" s="3" t="inlineStr">
        <is>
          <t>https://vanillabonds.com/dossier-data/pdf/fastned/fastned-2023-annual-report.pdf#page=46</t>
        </is>
      </c>
    </row>
    <row r="402">
      <c r="A402" s="2" t="inlineStr">
        <is>
          <t>F401</t>
        </is>
      </c>
      <c r="B402" s="2" t="inlineStr">
        <is>
          <t>management</t>
        </is>
      </c>
      <c r="C402" s="2" t="inlineStr">
        <is>
          <t>risk_policy</t>
        </is>
      </c>
      <c r="D402" s="3" t="inlineStr">
        <is>
          <t>Financial policy, stated and revealed: item (leverage target, dividend, hedging, cash held, acquisition funding); stated; realised; year</t>
        </is>
      </c>
      <c r="E402" s="2" t="n"/>
      <c r="F402" s="2" t="n"/>
      <c r="G402" s="2" t="n"/>
      <c r="H402" s="3" t="inlineStr">
        <is>
          <t>item: cash held; stated: maintain a 'healthy cash position' (management) to meet going concern and refinance outstanding bonds, minimum desired cash level throughout the forecast period; realised: cash EUR 126.6m at end 2023 (2022: 149.5m); year: 2023</t>
        </is>
      </c>
      <c r="I402" s="2" t="inlineStr">
        <is>
          <t>S1</t>
        </is>
      </c>
      <c r="J402" s="2" t="n">
        <v>55</v>
      </c>
      <c r="K402" s="3" t="inlineStr">
        <is>
          <t>Fastned is focused on maintaining a healthy cash position to meet going concern and refinance outstanding bonds.</t>
        </is>
      </c>
      <c r="L402" s="2" t="inlineStr">
        <is>
          <t>pend</t>
        </is>
      </c>
      <c r="M402" s="2" t="n"/>
      <c r="N402" s="2" t="n"/>
      <c r="O402" s="3" t="inlineStr">
        <is>
          <t>https://vanillabonds.com/dossier-data/pdf/fastned/fastned-2023-annual-report.pdf#page=55</t>
        </is>
      </c>
    </row>
    <row r="403">
      <c r="A403" s="2" t="inlineStr">
        <is>
          <t>F402</t>
        </is>
      </c>
      <c r="B403" s="2" t="inlineStr">
        <is>
          <t>management</t>
        </is>
      </c>
      <c r="C403" s="2" t="inlineStr">
        <is>
          <t>risk_policy</t>
        </is>
      </c>
      <c r="D403" s="3" t="inlineStr">
        <is>
          <t>Financial policy, stated and revealed: item (leverage target, dividend, hedging, cash held, acquisition funding); stated; realised; year</t>
        </is>
      </c>
      <c r="E403" s="2" t="n"/>
      <c r="F403" s="2" t="n"/>
      <c r="G403" s="2" t="n"/>
      <c r="H403" s="3" t="inlineStr">
        <is>
          <t>item: growth funding; stated: deficits funded by borrowings (bonds) and issuance of DRs via FAST, capital-market access monitored continuously; realised: borrowings EUR 55.0m and share premium EUR 0.9m in 2023, borrowings EUR 36.1m and share premium EUR 75.9m in 2022; year: 2023</t>
        </is>
      </c>
      <c r="I403" s="2" t="inlineStr">
        <is>
          <t>S1</t>
        </is>
      </c>
      <c r="J403" s="2" t="n">
        <v>97</v>
      </c>
      <c r="K403" s="3" t="inlineStr">
        <is>
          <t>The deficits are for a major part funded by borrowings as well as by issuance of certificates of shares via FAST (Fastned Administratie Stichting).</t>
        </is>
      </c>
      <c r="L403" s="2" t="inlineStr">
        <is>
          <t>pend</t>
        </is>
      </c>
      <c r="M403" s="2" t="n"/>
      <c r="N403" s="2" t="n"/>
      <c r="O403" s="3" t="inlineStr">
        <is>
          <t>https://vanillabonds.com/dossier-data/pdf/fastned/fastned-2023-annual-report.pdf#page=97</t>
        </is>
      </c>
    </row>
    <row r="404">
      <c r="A404" s="2" t="inlineStr">
        <is>
          <t>F403</t>
        </is>
      </c>
      <c r="B404" s="2" t="inlineStr">
        <is>
          <t>management</t>
        </is>
      </c>
      <c r="C404" s="2" t="inlineStr">
        <is>
          <t>risk_policy</t>
        </is>
      </c>
      <c r="D404" s="3" t="inlineStr">
        <is>
          <t>Financial policy, stated and revealed: item (leverage target, dividend, hedging, cash held, acquisition funding); stated; realised; year</t>
        </is>
      </c>
      <c r="E404" s="2" t="n"/>
      <c r="F404" s="2" t="n"/>
      <c r="G404" s="2" t="n"/>
      <c r="H404" s="3" t="inlineStr">
        <is>
          <t>item: capex flexibility; stated: ability to reduce capital expenditure in the first part of the forecast period if necessary; year: 2023</t>
        </is>
      </c>
      <c r="I404" s="2" t="inlineStr">
        <is>
          <t>S1</t>
        </is>
      </c>
      <c r="J404" s="2" t="n">
        <v>97</v>
      </c>
      <c r="K404" s="3" t="inlineStr">
        <is>
          <t>In the first part of the forecast period, Fastned has the ability to reduce capital expenditure if necessary.</t>
        </is>
      </c>
      <c r="L404" s="2" t="inlineStr">
        <is>
          <t>pend</t>
        </is>
      </c>
      <c r="M404" s="2" t="n"/>
      <c r="N404" s="2" t="n"/>
      <c r="O404" s="3" t="inlineStr">
        <is>
          <t>https://vanillabonds.com/dossier-data/pdf/fastned/fastned-2023-annual-report.pdf#page=97</t>
        </is>
      </c>
    </row>
    <row r="405">
      <c r="A405" s="2" t="inlineStr">
        <is>
          <t>F404</t>
        </is>
      </c>
      <c r="B405" s="2" t="inlineStr">
        <is>
          <t>management</t>
        </is>
      </c>
      <c r="C405" s="2" t="inlineStr">
        <is>
          <t>risk_policy</t>
        </is>
      </c>
      <c r="D405" s="3" t="inlineStr">
        <is>
          <t>Financial policy, stated and revealed: item (leverage target, dividend, hedging, cash held, acquisition funding); stated; realised; year</t>
        </is>
      </c>
      <c r="E405" s="2" t="n"/>
      <c r="F405" s="2" t="n"/>
      <c r="G405" s="2" t="n"/>
      <c r="H405" s="3" t="inlineStr">
        <is>
          <t>item: dividend; stated: retain all earnings, no dividend in the foreseeable future; realised: no dividends paid since incorporation; year: 2023</t>
        </is>
      </c>
      <c r="I405" s="2" t="inlineStr">
        <is>
          <t>S1</t>
        </is>
      </c>
      <c r="J405" s="2" t="n">
        <v>116</v>
      </c>
      <c r="K405" s="3" t="inlineStr">
        <is>
          <t>Fastned B.V. has not paid any dividends since its incorporation.</t>
        </is>
      </c>
      <c r="L405" s="2" t="inlineStr">
        <is>
          <t>pend</t>
        </is>
      </c>
      <c r="M405" s="2" t="n"/>
      <c r="N405" s="2" t="n"/>
      <c r="O405" s="3" t="inlineStr">
        <is>
          <t>https://vanillabonds.com/dossier-data/pdf/fastned/fastned-2023-annual-report.pdf#page=116</t>
        </is>
      </c>
    </row>
    <row r="406">
      <c r="A406" s="2" t="inlineStr">
        <is>
          <t>F405</t>
        </is>
      </c>
      <c r="B406" s="2" t="inlineStr">
        <is>
          <t>management</t>
        </is>
      </c>
      <c r="C406" s="2" t="inlineStr">
        <is>
          <t>risk_policy</t>
        </is>
      </c>
      <c r="D406" s="3" t="inlineStr">
        <is>
          <t>Financial policy, stated and revealed: item (leverage target, dividend, hedging, cash held, acquisition funding); stated; realised; year</t>
        </is>
      </c>
      <c r="E406" s="2" t="n"/>
      <c r="F406" s="2" t="n"/>
      <c r="G406" s="2" t="n"/>
      <c r="H406" s="3" t="inlineStr">
        <is>
          <t>item: acquisition funding / capex; stated: only invests in new stations when financing is in place; realised: financing via equity issuance and new bonds; year: 2023</t>
        </is>
      </c>
      <c r="I406" s="2" t="inlineStr">
        <is>
          <t>S1</t>
        </is>
      </c>
      <c r="J406" s="2" t="n">
        <v>116</v>
      </c>
      <c r="K406" s="3" t="inlineStr">
        <is>
          <t>Fastned only invests in new stations when financing is in place for such an investment.</t>
        </is>
      </c>
      <c r="L406" s="2" t="inlineStr">
        <is>
          <t>pend</t>
        </is>
      </c>
      <c r="M406" s="2" t="n"/>
      <c r="N406" s="2" t="n"/>
      <c r="O406" s="3" t="inlineStr">
        <is>
          <t>https://vanillabonds.com/dossier-data/pdf/fastned/fastned-2023-annual-report.pdf#page=116</t>
        </is>
      </c>
    </row>
    <row r="407">
      <c r="A407" s="2" t="inlineStr">
        <is>
          <t>F406</t>
        </is>
      </c>
      <c r="B407" s="2" t="inlineStr">
        <is>
          <t>management</t>
        </is>
      </c>
      <c r="C407" s="2" t="inlineStr">
        <is>
          <t>risk_policy</t>
        </is>
      </c>
      <c r="D407" s="3" t="inlineStr">
        <is>
          <t>Financial policy, stated and revealed: item (leverage target, dividend, hedging, cash held, acquisition funding); stated; realised; year</t>
        </is>
      </c>
      <c r="E407" s="2" t="n"/>
      <c r="F407" s="2" t="n"/>
      <c r="G407" s="2" t="n"/>
      <c r="H407" s="3" t="inlineStr">
        <is>
          <t>item: hedging; stated: no trading in derivatives for speculative purposes; realised: no derivatives held; year: 2023</t>
        </is>
      </c>
      <c r="I407" s="2" t="inlineStr">
        <is>
          <t>S1</t>
        </is>
      </c>
      <c r="J407" s="2" t="n">
        <v>139</v>
      </c>
      <c r="K407" s="3" t="inlineStr">
        <is>
          <t>It is the Group’s policy that no trading in derivatives for speculative purposes may be undertaken.</t>
        </is>
      </c>
      <c r="L407" s="2" t="inlineStr">
        <is>
          <t>pend</t>
        </is>
      </c>
      <c r="M407" s="2" t="n"/>
      <c r="N407" s="2" t="n"/>
      <c r="O407" s="3" t="inlineStr">
        <is>
          <t>https://vanillabonds.com/dossier-data/pdf/fastned/fastned-2023-annual-report.pdf#page=139</t>
        </is>
      </c>
    </row>
    <row r="408">
      <c r="A408" s="2" t="inlineStr">
        <is>
          <t>F407</t>
        </is>
      </c>
      <c r="B408" s="2" t="inlineStr">
        <is>
          <t>management</t>
        </is>
      </c>
      <c r="C408" s="2" t="inlineStr">
        <is>
          <t>risk_policy</t>
        </is>
      </c>
      <c r="D408" s="3" t="inlineStr">
        <is>
          <t>Financial policy, stated and revealed: item (leverage target, dividend, hedging, cash held, acquisition funding); stated; realised; year</t>
        </is>
      </c>
      <c r="E408" s="2" t="n"/>
      <c r="F408" s="2" t="n"/>
      <c r="G408" s="2" t="n"/>
      <c r="H408" s="3" t="inlineStr">
        <is>
          <t>item: cash held; stated: surplus cash invested in short-term deposits within counterparty credit limits reviewed annually by the Board; realised: EUR 79.0m demand deposits at year-end 2023; year: 2023</t>
        </is>
      </c>
      <c r="I408" s="2" t="inlineStr">
        <is>
          <t>S1</t>
        </is>
      </c>
      <c r="J408" s="2" t="n">
        <v>140</v>
      </c>
      <c r="K408" s="3" t="inlineStr">
        <is>
          <t>the Group decided to invest surplus cash in short term deposits resulting in additional interest income.</t>
        </is>
      </c>
      <c r="L408" s="2" t="inlineStr">
        <is>
          <t>pend</t>
        </is>
      </c>
      <c r="M408" s="2" t="n"/>
      <c r="N408" s="2" t="n"/>
      <c r="O408" s="3" t="inlineStr">
        <is>
          <t>https://vanillabonds.com/dossier-data/pdf/fastned/fastned-2023-annual-report.pdf#page=140</t>
        </is>
      </c>
    </row>
    <row r="409">
      <c r="A409" s="2" t="inlineStr">
        <is>
          <t>F408</t>
        </is>
      </c>
      <c r="B409" s="2" t="inlineStr">
        <is>
          <t>management</t>
        </is>
      </c>
      <c r="C409" s="2" t="inlineStr">
        <is>
          <t>risk_policy</t>
        </is>
      </c>
      <c r="D409" s="3" t="inlineStr">
        <is>
          <t>Financial policy, stated and revealed: item (leverage target, dividend, hedging, cash held, acquisition funding); stated; realised; year</t>
        </is>
      </c>
      <c r="E409" s="2" t="n"/>
      <c r="F409" s="2" t="n"/>
      <c r="G409" s="2" t="n"/>
      <c r="H409" s="3" t="inlineStr">
        <is>
          <t>item: leverage / funding; stated: regularly issue new equity and enter long-term debt agreements to maintain a balance between debt and equity; realised: 2023 bonds EUR 53.0m plus 5.9m extensions, no equity raise in 2023; year: 2023</t>
        </is>
      </c>
      <c r="I409" s="2" t="inlineStr">
        <is>
          <t>S1</t>
        </is>
      </c>
      <c r="J409" s="2" t="n">
        <v>141</v>
      </c>
      <c r="K409" s="3" t="inlineStr">
        <is>
          <t>The Group manages the liquidity risk by regularly issuing new equity and through entering long-term debt agreements to ensure sufficient liquidity and to repay debts as they fall due.</t>
        </is>
      </c>
      <c r="L409" s="2" t="inlineStr">
        <is>
          <t>pend</t>
        </is>
      </c>
      <c r="M409" s="2" t="n"/>
      <c r="N409" s="2" t="n"/>
      <c r="O409" s="3" t="inlineStr">
        <is>
          <t>https://vanillabonds.com/dossier-data/pdf/fastned/fastned-2023-annual-report.pdf#page=141</t>
        </is>
      </c>
    </row>
    <row r="410">
      <c r="A410" s="2" t="inlineStr">
        <is>
          <t>F409</t>
        </is>
      </c>
      <c r="B410" s="2" t="inlineStr">
        <is>
          <t>management</t>
        </is>
      </c>
      <c r="C410" s="2" t="inlineStr">
        <is>
          <t>risk_policy</t>
        </is>
      </c>
      <c r="D410" s="3" t="inlineStr">
        <is>
          <t>Financial policy, stated and revealed: item (leverage target, dividend, hedging, cash held, acquisition funding); stated; realised; year</t>
        </is>
      </c>
      <c r="E410" s="2" t="n"/>
      <c r="F410" s="2" t="n"/>
      <c r="G410" s="2" t="n"/>
      <c r="H410" s="3" t="inlineStr">
        <is>
          <t>item: liquidity; stated: building pace and network expansion costs can be adjusted to available liquidity; year: 2023</t>
        </is>
      </c>
      <c r="I410" s="2" t="inlineStr">
        <is>
          <t>S1</t>
        </is>
      </c>
      <c r="J410" s="2" t="n">
        <v>141</v>
      </c>
      <c r="K410" s="3" t="inlineStr">
        <is>
          <t>Lastly, the Group is able to adjust the building pace and reduce network expansion costs14 in line with the available liquidity if needed.</t>
        </is>
      </c>
      <c r="L410" s="2" t="inlineStr">
        <is>
          <t>pend</t>
        </is>
      </c>
      <c r="M410" s="2" t="n"/>
      <c r="N410" s="2" t="n"/>
      <c r="O410" s="3" t="inlineStr">
        <is>
          <t>https://vanillabonds.com/dossier-data/pdf/fastned/fastned-2023-annual-report.pdf#page=141</t>
        </is>
      </c>
    </row>
    <row r="411">
      <c r="A411" s="2" t="inlineStr">
        <is>
          <t>F410</t>
        </is>
      </c>
      <c r="B411" s="2" t="inlineStr">
        <is>
          <t>management</t>
        </is>
      </c>
      <c r="C411" s="2" t="inlineStr">
        <is>
          <t>insurance</t>
        </is>
      </c>
      <c r="D411" s="3" t="inlineStr">
        <is>
          <t>Insurance: cover (property, business interruption, key person, cyber, D&amp;O); insurer; sum; expiry</t>
        </is>
      </c>
      <c r="E411" s="2" t="n"/>
      <c r="F411" s="2" t="n"/>
      <c r="G411" s="2" t="n"/>
      <c r="H411" s="3" t="inlineStr">
        <is>
          <t>cover: material insurance during handling, transport and storage; insurer: not named (European programme via intermediary)</t>
        </is>
      </c>
      <c r="I411" s="2" t="inlineStr">
        <is>
          <t>S1</t>
        </is>
      </c>
      <c r="J411" s="2" t="n">
        <v>56</v>
      </c>
      <c r="K411" s="3" t="inlineStr">
        <is>
          <t>These include: 1) material insurance during handling, transport, and storage; 2) business travel insurance;</t>
        </is>
      </c>
      <c r="L411" s="2" t="inlineStr">
        <is>
          <t>pend</t>
        </is>
      </c>
      <c r="M411" s="2" t="n"/>
      <c r="N411" s="2" t="n"/>
      <c r="O411" s="3" t="inlineStr">
        <is>
          <t>https://vanillabonds.com/dossier-data/pdf/fastned/fastned-2023-annual-report.pdf#page=56</t>
        </is>
      </c>
    </row>
    <row r="412">
      <c r="A412" s="2" t="inlineStr">
        <is>
          <t>F411</t>
        </is>
      </c>
      <c r="B412" s="2" t="inlineStr">
        <is>
          <t>management</t>
        </is>
      </c>
      <c r="C412" s="2" t="inlineStr">
        <is>
          <t>insurance</t>
        </is>
      </c>
      <c r="D412" s="3" t="inlineStr">
        <is>
          <t>Insurance: cover (property, business interruption, key person, cyber, D&amp;O); insurer; sum; expiry</t>
        </is>
      </c>
      <c r="E412" s="2" t="n"/>
      <c r="F412" s="2" t="n"/>
      <c r="G412" s="2" t="n"/>
      <c r="H412" s="3" t="inlineStr">
        <is>
          <t>cover: business travel; insurer: not named (European programme via intermediary)</t>
        </is>
      </c>
      <c r="I412" s="2" t="inlineStr">
        <is>
          <t>S1</t>
        </is>
      </c>
      <c r="J412" s="2" t="n">
        <v>56</v>
      </c>
      <c r="K412" s="3" t="inlineStr">
        <is>
          <t>These include: 1) material insurance during handling, transport, and storage; 2) business travel insurance;</t>
        </is>
      </c>
      <c r="L412" s="2" t="inlineStr">
        <is>
          <t>pend</t>
        </is>
      </c>
      <c r="M412" s="2" t="n"/>
      <c r="N412" s="2" t="n"/>
      <c r="O412" s="3" t="inlineStr">
        <is>
          <t>https://vanillabonds.com/dossier-data/pdf/fastned/fastned-2023-annual-report.pdf#page=56</t>
        </is>
      </c>
    </row>
    <row r="413">
      <c r="A413" s="2" t="inlineStr">
        <is>
          <t>F412</t>
        </is>
      </c>
      <c r="B413" s="2" t="inlineStr">
        <is>
          <t>management</t>
        </is>
      </c>
      <c r="C413" s="2" t="inlineStr">
        <is>
          <t>insurance</t>
        </is>
      </c>
      <c r="D413" s="3" t="inlineStr">
        <is>
          <t>Insurance: cover (property, business interruption, key person, cyber, D&amp;O); insurer; sum; expiry</t>
        </is>
      </c>
      <c r="E413" s="2" t="n"/>
      <c r="F413" s="2" t="n"/>
      <c r="G413" s="2" t="n"/>
      <c r="H413" s="3" t="inlineStr">
        <is>
          <t>cover: directors' and officers' liability; insurer: not named (European insurance programme via insurance intermediary)</t>
        </is>
      </c>
      <c r="I413" s="2" t="inlineStr">
        <is>
          <t>S1</t>
        </is>
      </c>
      <c r="J413" s="2" t="n">
        <v>57</v>
      </c>
      <c r="K413" s="3" t="inlineStr">
        <is>
          <t>officers' liability insurance; 4) insurance for station-related disasters (such as fire or water damage); 5) property and inventory insurance; and 6) construction all risk insurance.</t>
        </is>
      </c>
      <c r="L413" s="2" t="inlineStr">
        <is>
          <t>pend</t>
        </is>
      </c>
      <c r="M413" s="2" t="n"/>
      <c r="N413" s="2" t="n"/>
      <c r="O413" s="3" t="inlineStr">
        <is>
          <t>https://vanillabonds.com/dossier-data/pdf/fastned/fastned-2023-annual-report.pdf#page=57</t>
        </is>
      </c>
    </row>
    <row r="414">
      <c r="A414" s="2" t="inlineStr">
        <is>
          <t>F413</t>
        </is>
      </c>
      <c r="B414" s="2" t="inlineStr">
        <is>
          <t>management</t>
        </is>
      </c>
      <c r="C414" s="2" t="inlineStr">
        <is>
          <t>insurance</t>
        </is>
      </c>
      <c r="D414" s="3" t="inlineStr">
        <is>
          <t>Insurance: cover (property, business interruption, key person, cyber, D&amp;O); insurer; sum; expiry</t>
        </is>
      </c>
      <c r="E414" s="2" t="n"/>
      <c r="F414" s="2" t="n"/>
      <c r="G414" s="2" t="n"/>
      <c r="H414" s="3" t="inlineStr">
        <is>
          <t>cover: station-related disasters (fire, water damage); insurer: not named (European programme via intermediary)</t>
        </is>
      </c>
      <c r="I414" s="2" t="inlineStr">
        <is>
          <t>S1</t>
        </is>
      </c>
      <c r="J414" s="2" t="n">
        <v>57</v>
      </c>
      <c r="K414" s="3" t="inlineStr">
        <is>
          <t>officers' liability insurance; 4) insurance for station-related disasters (such as fire or water damage); 5) property and inventory insurance; and 6) construction all risk insurance.</t>
        </is>
      </c>
      <c r="L414" s="2" t="inlineStr">
        <is>
          <t>pend</t>
        </is>
      </c>
      <c r="M414" s="2" t="n"/>
      <c r="N414" s="2" t="n"/>
      <c r="O414" s="3" t="inlineStr">
        <is>
          <t>https://vanillabonds.com/dossier-data/pdf/fastned/fastned-2023-annual-report.pdf#page=57</t>
        </is>
      </c>
    </row>
    <row r="415">
      <c r="A415" s="2" t="inlineStr">
        <is>
          <t>F414</t>
        </is>
      </c>
      <c r="B415" s="2" t="inlineStr">
        <is>
          <t>management</t>
        </is>
      </c>
      <c r="C415" s="2" t="inlineStr">
        <is>
          <t>insurance</t>
        </is>
      </c>
      <c r="D415" s="3" t="inlineStr">
        <is>
          <t>Insurance: cover (property, business interruption, key person, cyber, D&amp;O); insurer; sum; expiry</t>
        </is>
      </c>
      <c r="E415" s="2" t="n"/>
      <c r="F415" s="2" t="n"/>
      <c r="G415" s="2" t="n"/>
      <c r="H415" s="3" t="inlineStr">
        <is>
          <t>cover: property and inventory; insurer: not named (European programme via intermediary)</t>
        </is>
      </c>
      <c r="I415" s="2" t="inlineStr">
        <is>
          <t>S1</t>
        </is>
      </c>
      <c r="J415" s="2" t="n">
        <v>57</v>
      </c>
      <c r="K415" s="3" t="inlineStr">
        <is>
          <t>officers' liability insurance; 4) insurance for station-related disasters (such as fire or water damage); 5) property and inventory insurance; and 6) construction all risk insurance.</t>
        </is>
      </c>
      <c r="L415" s="2" t="inlineStr">
        <is>
          <t>pend</t>
        </is>
      </c>
      <c r="M415" s="2" t="n"/>
      <c r="N415" s="2" t="n"/>
      <c r="O415" s="3" t="inlineStr">
        <is>
          <t>https://vanillabonds.com/dossier-data/pdf/fastned/fastned-2023-annual-report.pdf#page=57</t>
        </is>
      </c>
    </row>
    <row r="416">
      <c r="A416" s="2" t="inlineStr">
        <is>
          <t>F415</t>
        </is>
      </c>
      <c r="B416" s="2" t="inlineStr">
        <is>
          <t>management</t>
        </is>
      </c>
      <c r="C416" s="2" t="inlineStr">
        <is>
          <t>insurance</t>
        </is>
      </c>
      <c r="D416" s="3" t="inlineStr">
        <is>
          <t>Insurance: cover (property, business interruption, key person, cyber, D&amp;O); insurer; sum; expiry</t>
        </is>
      </c>
      <c r="E416" s="2" t="n"/>
      <c r="F416" s="2" t="n"/>
      <c r="G416" s="2" t="n"/>
      <c r="H416" s="3" t="inlineStr">
        <is>
          <t>cover: construction all risk; insurer: not named (European programme via intermediary)</t>
        </is>
      </c>
      <c r="I416" s="2" t="inlineStr">
        <is>
          <t>S1</t>
        </is>
      </c>
      <c r="J416" s="2" t="n">
        <v>57</v>
      </c>
      <c r="K416" s="3" t="inlineStr">
        <is>
          <t>officers' liability insurance; 4) insurance for station-related disasters (such as fire or water damage); 5) property and inventory insurance; and 6) construction all risk insurance.</t>
        </is>
      </c>
      <c r="L416" s="2" t="inlineStr">
        <is>
          <t>pend</t>
        </is>
      </c>
      <c r="M416" s="2" t="n"/>
      <c r="N416" s="2" t="n"/>
      <c r="O416" s="3" t="inlineStr">
        <is>
          <t>https://vanillabonds.com/dossier-data/pdf/fastned/fastned-2023-annual-report.pdf#page=57</t>
        </is>
      </c>
    </row>
    <row r="417">
      <c r="A417" s="2" t="inlineStr">
        <is>
          <t>F416</t>
        </is>
      </c>
      <c r="B417" s="2" t="inlineStr">
        <is>
          <t>management</t>
        </is>
      </c>
      <c r="C417" s="2" t="inlineStr">
        <is>
          <t>team_turnover</t>
        </is>
      </c>
      <c r="D417" s="3" t="inlineStr">
        <is>
          <t>Top-team change: role; person; joined; left; reason as stated</t>
        </is>
      </c>
      <c r="E417" s="2" t="n"/>
      <c r="F417" s="2" t="n"/>
      <c r="G417" s="2" t="n"/>
      <c r="H417" s="3" t="inlineStr">
        <is>
          <t>role: HR director (first); joined: 2023-11; reason as stated: professionalising People operations, seven FTE added to the HR team</t>
        </is>
      </c>
      <c r="I417" s="2" t="inlineStr">
        <is>
          <t>S1</t>
        </is>
      </c>
      <c r="J417" s="2" t="n">
        <v>32</v>
      </c>
      <c r="K417" s="3" t="inlineStr">
        <is>
          <t>We welcomed our first HR director in November and an additional seven full time employees to the HR team.</t>
        </is>
      </c>
      <c r="L417" s="2" t="inlineStr">
        <is>
          <t>pend</t>
        </is>
      </c>
      <c r="M417" s="2" t="n"/>
      <c r="N417" s="2" t="n"/>
      <c r="O417" s="3" t="inlineStr">
        <is>
          <t>https://vanillabonds.com/dossier-data/pdf/fastned/fastned-2023-annual-report.pdf#page=32</t>
        </is>
      </c>
    </row>
    <row r="418">
      <c r="A418" s="2" t="inlineStr">
        <is>
          <t>F417</t>
        </is>
      </c>
      <c r="B418" s="2" t="inlineStr">
        <is>
          <t>management</t>
        </is>
      </c>
      <c r="C418" s="2" t="inlineStr">
        <is>
          <t>team_turnover</t>
        </is>
      </c>
      <c r="D418" s="3" t="inlineStr">
        <is>
          <t>Top-team change: role; person; joined; left; reason as stated</t>
        </is>
      </c>
      <c r="E418" s="2" t="n"/>
      <c r="F418" s="2" t="n"/>
      <c r="G418" s="2" t="n"/>
      <c r="H418" s="3" t="inlineStr">
        <is>
          <t>role: Management Board member; person: Mr Korthals Altes; left: 2022-03-09; reason as stated: resigned</t>
        </is>
      </c>
      <c r="I418" s="2" t="inlineStr">
        <is>
          <t>S1</t>
        </is>
      </c>
      <c r="J418" s="2" t="n">
        <v>70</v>
      </c>
      <c r="K418" s="3" t="inlineStr">
        <is>
          <t>** Mr Korthals Altes resigned on 9 March, 2022.</t>
        </is>
      </c>
      <c r="L418" s="2" t="inlineStr">
        <is>
          <t>pend</t>
        </is>
      </c>
      <c r="M418" s="2" t="n"/>
      <c r="N418" s="2" t="n"/>
      <c r="O418" s="3" t="inlineStr">
        <is>
          <t>https://vanillabonds.com/dossier-data/pdf/fastned/fastned-2023-annual-report.pdf#page=70</t>
        </is>
      </c>
    </row>
    <row r="419">
      <c r="A419" s="2" t="inlineStr">
        <is>
          <t>F418</t>
        </is>
      </c>
      <c r="B419" s="2" t="inlineStr">
        <is>
          <t>management</t>
        </is>
      </c>
      <c r="C419" s="2" t="inlineStr">
        <is>
          <t>team_turnover</t>
        </is>
      </c>
      <c r="D419" s="3" t="inlineStr">
        <is>
          <t>Top-team change: role; person; joined; left; reason as stated</t>
        </is>
      </c>
      <c r="E419" s="2" t="n"/>
      <c r="F419" s="2" t="n"/>
      <c r="G419" s="2" t="n"/>
      <c r="H419" s="3" t="inlineStr">
        <is>
          <t>role: Chair of the Supervisory Board; person: Liselotte Kooi; joined: 2023-06; reason as stated: succeeded Bart Lubbers as Chair, left the FAST Board at the same time</t>
        </is>
      </c>
      <c r="I419" s="2" t="inlineStr">
        <is>
          <t>S1</t>
        </is>
      </c>
      <c r="J419" s="2" t="n">
        <v>72</v>
      </c>
      <c r="K419" s="3" t="inlineStr">
        <is>
          <t>Liselotte Kooi joined the Supervisory Board as Chair in June 2023. Marije van Mens resigned at the same time.</t>
        </is>
      </c>
      <c r="L419" s="2" t="inlineStr">
        <is>
          <t>pend</t>
        </is>
      </c>
      <c r="M419" s="2" t="n"/>
      <c r="N419" s="2" t="n"/>
      <c r="O419" s="3" t="inlineStr">
        <is>
          <t>https://vanillabonds.com/dossier-data/pdf/fastned/fastned-2023-annual-report.pdf#page=72</t>
        </is>
      </c>
    </row>
    <row r="420">
      <c r="A420" s="2" t="inlineStr">
        <is>
          <t>F419</t>
        </is>
      </c>
      <c r="B420" s="2" t="inlineStr">
        <is>
          <t>management</t>
        </is>
      </c>
      <c r="C420" s="2" t="inlineStr">
        <is>
          <t>team_turnover</t>
        </is>
      </c>
      <c r="D420" s="3" t="inlineStr">
        <is>
          <t>Top-team change: role; person; joined; left; reason as stated</t>
        </is>
      </c>
      <c r="E420" s="2" t="n"/>
      <c r="F420" s="2" t="n"/>
      <c r="G420" s="2" t="n"/>
      <c r="H420" s="3" t="inlineStr">
        <is>
          <t>role: Supervisory Board member; person: Marije van Mens; left: 2023-06; reason as stated: resigned</t>
        </is>
      </c>
      <c r="I420" s="2" t="inlineStr">
        <is>
          <t>S1</t>
        </is>
      </c>
      <c r="J420" s="2" t="n">
        <v>72</v>
      </c>
      <c r="K420" s="3" t="inlineStr">
        <is>
          <t>Liselotte Kooi joined the Supervisory Board as Chair in June 2023. Marije van Mens resigned at the same time.</t>
        </is>
      </c>
      <c r="L420" s="2" t="inlineStr">
        <is>
          <t>pend</t>
        </is>
      </c>
      <c r="M420" s="2" t="n"/>
      <c r="N420" s="2" t="n"/>
      <c r="O420" s="3" t="inlineStr">
        <is>
          <t>https://vanillabonds.com/dossier-data/pdf/fastned/fastned-2023-annual-report.pdf#page=72</t>
        </is>
      </c>
    </row>
    <row r="421">
      <c r="A421" s="2" t="inlineStr">
        <is>
          <t>F420</t>
        </is>
      </c>
      <c r="B421" s="2" t="inlineStr">
        <is>
          <t>management</t>
        </is>
      </c>
      <c r="C421" s="2" t="inlineStr">
        <is>
          <t>team_turnover</t>
        </is>
      </c>
      <c r="D421" s="3" t="inlineStr">
        <is>
          <t>Top-team change: role; person; joined; left; reason as stated</t>
        </is>
      </c>
      <c r="E421" s="2" t="n"/>
      <c r="F421" s="2" t="n"/>
      <c r="G421" s="2" t="n"/>
      <c r="H421" s="3" t="inlineStr">
        <is>
          <t>role: FAST Board member; person: Michiel Weghs; joined: 2023-06; reason as stated: replaced Liselotte Kooi who moved to the Supervisory Board</t>
        </is>
      </c>
      <c r="I421" s="2" t="inlineStr">
        <is>
          <t>S1</t>
        </is>
      </c>
      <c r="J421" s="2" t="n">
        <v>73</v>
      </c>
      <c r="K421" s="3" t="inlineStr">
        <is>
          <t>Liselotte Kooi left the FAST Board in June 2023 and joined the Supervisory Board. Michiel Weghs joined the FAST Board at the same time.</t>
        </is>
      </c>
      <c r="L421" s="2" t="inlineStr">
        <is>
          <t>pend</t>
        </is>
      </c>
      <c r="M421" s="2" t="n"/>
      <c r="N421" s="2" t="n"/>
      <c r="O421" s="3" t="inlineStr">
        <is>
          <t>https://vanillabonds.com/dossier-data/pdf/fastned/fastned-2023-annual-report.pdf#page=73</t>
        </is>
      </c>
    </row>
    <row r="422">
      <c r="A422" s="2" t="inlineStr">
        <is>
          <t>F421</t>
        </is>
      </c>
      <c r="B422" s="2" t="inlineStr">
        <is>
          <t>management</t>
        </is>
      </c>
      <c r="C422" s="2" t="inlineStr">
        <is>
          <t>team_turnover</t>
        </is>
      </c>
      <c r="D422" s="3" t="inlineStr">
        <is>
          <t>Top-team change: role; person; joined; left; reason as stated</t>
        </is>
      </c>
      <c r="E422" s="2" t="n"/>
      <c r="F422" s="2" t="n"/>
      <c r="G422" s="2" t="n"/>
      <c r="H422" s="3" t="inlineStr">
        <is>
          <t>role: Supervisory Board Chair; person: Bart Lubbers; left: 2023-06 (stepped down as Chair, remains member); reason as stated: none given</t>
        </is>
      </c>
      <c r="I422" s="2" t="inlineStr">
        <is>
          <t>S1</t>
        </is>
      </c>
      <c r="J422" s="2" t="n">
        <v>75</v>
      </c>
      <c r="K422" s="3" t="inlineStr">
        <is>
          <t>Although he stepped down as Chair, being co-founder of Fastned means he is still a very valuable member of the Supervisory Board</t>
        </is>
      </c>
      <c r="L422" s="2" t="inlineStr">
        <is>
          <t>pend</t>
        </is>
      </c>
      <c r="M422" s="2" t="n"/>
      <c r="N422" s="2" t="n"/>
      <c r="O422" s="3" t="inlineStr">
        <is>
          <t>https://vanillabonds.com/dossier-data/pdf/fastned/fastned-2023-annual-report.pdf#page=75</t>
        </is>
      </c>
    </row>
    <row r="423">
      <c r="A423" s="2" t="inlineStr">
        <is>
          <t>F422</t>
        </is>
      </c>
      <c r="B423" s="2" t="inlineStr">
        <is>
          <t>management</t>
        </is>
      </c>
      <c r="C423" s="2" t="inlineStr">
        <is>
          <t>team_turnover</t>
        </is>
      </c>
      <c r="D423" s="3" t="inlineStr">
        <is>
          <t>Top-team change: role; person; joined; left; reason as stated</t>
        </is>
      </c>
      <c r="E423" s="2" t="n"/>
      <c r="F423" s="2" t="n"/>
      <c r="G423" s="2" t="n"/>
      <c r="H423" s="3" t="inlineStr">
        <is>
          <t>role: management board member; person: Niels Korthals Altes; left: 2022-03-09; reason as stated: resigned</t>
        </is>
      </c>
      <c r="I423" s="2" t="inlineStr">
        <is>
          <t>S1</t>
        </is>
      </c>
      <c r="J423" s="2" t="n">
        <v>152</v>
      </c>
      <c r="K423" s="3" t="inlineStr">
        <is>
          <t>*Niels Korthals Altes resigned on 9 March 2022.</t>
        </is>
      </c>
      <c r="L423" s="2" t="inlineStr">
        <is>
          <t>pend</t>
        </is>
      </c>
      <c r="M423" s="2" t="n"/>
      <c r="N423" s="2" t="n"/>
      <c r="O423" s="3" t="inlineStr">
        <is>
          <t>https://vanillabonds.com/dossier-data/pdf/fastned/fastned-2023-annual-report.pdf#page=152</t>
        </is>
      </c>
    </row>
    <row r="424">
      <c r="A424" s="2" t="inlineStr">
        <is>
          <t>F423</t>
        </is>
      </c>
      <c r="B424" s="2" t="inlineStr">
        <is>
          <t>management</t>
        </is>
      </c>
      <c r="C424" s="2" t="inlineStr">
        <is>
          <t>team_turnover</t>
        </is>
      </c>
      <c r="D424" s="3" t="inlineStr">
        <is>
          <t>Top-team change: role; person; joined; left; reason as stated</t>
        </is>
      </c>
      <c r="E424" s="2" t="n"/>
      <c r="F424" s="2" t="n"/>
      <c r="G424" s="2" t="n"/>
      <c r="H424" s="3" t="inlineStr">
        <is>
          <t>role: FAST Board member; person: Hieke van Rees-Spoelstra; left: 2023 (no 2023 remuneration, 2022: EUR 8k)</t>
        </is>
      </c>
      <c r="I424" s="2" t="inlineStr">
        <is>
          <t>S1</t>
        </is>
      </c>
      <c r="J424" s="2" t="n">
        <v>153</v>
      </c>
      <c r="K424" s="2" t="inlineStr">
        <is>
          <t>Hieke van Rees-Spoelstra — 8</t>
        </is>
      </c>
      <c r="L424" s="2" t="inlineStr">
        <is>
          <t>pend</t>
        </is>
      </c>
      <c r="M424" s="2" t="n"/>
      <c r="N424" s="2" t="n"/>
      <c r="O424" s="3" t="inlineStr">
        <is>
          <t>https://vanillabonds.com/dossier-data/pdf/fastned/fastned-2023-annual-report.pdf#page=153</t>
        </is>
      </c>
    </row>
    <row r="425">
      <c r="A425" s="2" t="inlineStr">
        <is>
          <t>F424</t>
        </is>
      </c>
      <c r="B425" s="2" t="inlineStr">
        <is>
          <t>management</t>
        </is>
      </c>
      <c r="C425" s="2" t="inlineStr">
        <is>
          <t>team_turnover</t>
        </is>
      </c>
      <c r="D425" s="3" t="inlineStr">
        <is>
          <t>Top-team change: role; person; joined; left; reason as stated</t>
        </is>
      </c>
      <c r="E425" s="2" t="n"/>
      <c r="F425" s="2" t="n"/>
      <c r="G425" s="2" t="n"/>
      <c r="H425" s="3" t="inlineStr">
        <is>
          <t>role: supervisory board member; person: Marije van Mens; left: 2023-06-08; reason as stated: resigned</t>
        </is>
      </c>
      <c r="I425" s="2" t="inlineStr">
        <is>
          <t>S1</t>
        </is>
      </c>
      <c r="J425" s="2" t="n">
        <v>155</v>
      </c>
      <c r="K425" s="3" t="inlineStr">
        <is>
          <t>On 8 June 2023, Marije van Mens resigned as a member of the Supervisory Board.</t>
        </is>
      </c>
      <c r="L425" s="2" t="inlineStr">
        <is>
          <t>pend</t>
        </is>
      </c>
      <c r="M425" s="2" t="n"/>
      <c r="N425" s="2" t="n"/>
      <c r="O425" s="3" t="inlineStr">
        <is>
          <t>https://vanillabonds.com/dossier-data/pdf/fastned/fastned-2023-annual-report.pdf#page=155</t>
        </is>
      </c>
    </row>
    <row r="426">
      <c r="A426" s="2" t="inlineStr">
        <is>
          <t>F425</t>
        </is>
      </c>
      <c r="B426" s="2" t="inlineStr">
        <is>
          <t>management</t>
        </is>
      </c>
      <c r="C426" s="2" t="inlineStr">
        <is>
          <t>remuneration</t>
        </is>
      </c>
      <c r="D426" s="3" t="inlineStr">
        <is>
          <t>Remuneration as disclosed in the filed accounts: person or body; amount; year</t>
        </is>
      </c>
      <c r="E426" s="2" t="n"/>
      <c r="F426" s="2" t="n"/>
      <c r="G426" s="2" t="n"/>
      <c r="H426" s="3" t="inlineStr">
        <is>
          <t>person or body: employee Option Plan; ten milestones (market cap plus operational goal), each met milestone allocates options for 1% of outstanding DRs; milestones 1-4 achieved, Milestone 3 in 2023 cost EUR 2.7m; CEO excluded; year: 2023</t>
        </is>
      </c>
      <c r="I426" s="2" t="inlineStr">
        <is>
          <t>S1</t>
        </is>
      </c>
      <c r="J426" s="2" t="n">
        <v>68</v>
      </c>
      <c r="K426" s="3" t="inlineStr">
        <is>
          <t>Each time such a milestone is met, Fastned will allocate options for newly issued DRs to its employees for a total of 1% of the then outstanding number of DRs.</t>
        </is>
      </c>
      <c r="L426" s="2" t="inlineStr">
        <is>
          <t>pend</t>
        </is>
      </c>
      <c r="M426" s="2" t="n"/>
      <c r="N426" s="2" t="n"/>
      <c r="O426" s="3" t="inlineStr">
        <is>
          <t>https://vanillabonds.com/dossier-data/pdf/fastned/fastned-2023-annual-report.pdf#page=68</t>
        </is>
      </c>
    </row>
    <row r="427">
      <c r="A427" s="2" t="inlineStr">
        <is>
          <t>F426</t>
        </is>
      </c>
      <c r="B427" s="2" t="inlineStr">
        <is>
          <t>management</t>
        </is>
      </c>
      <c r="C427" s="2" t="inlineStr">
        <is>
          <t>remuneration</t>
        </is>
      </c>
      <c r="D427" s="3" t="inlineStr">
        <is>
          <t>Remuneration as disclosed in the filed accounts: person or body; amount; year</t>
        </is>
      </c>
      <c r="E427" s="2" t="n"/>
      <c r="F427" s="2" t="n">
        <v>1.78</v>
      </c>
      <c r="G427" s="2" t="n"/>
      <c r="H427" s="3" t="inlineStr">
        <is>
          <t>person or body: internal pay ratio, average Management Board total compensation over average employee compensation; amount: 1.78; year: 2023 (2022: 1.83)</t>
        </is>
      </c>
      <c r="I427" s="2" t="inlineStr">
        <is>
          <t>S1</t>
        </is>
      </c>
      <c r="J427" s="2" t="n">
        <v>69</v>
      </c>
      <c r="K427" s="3" t="inlineStr">
        <is>
          <t>Fastned’s calculated pay ratio in 2023 was 1.78 (2022: 1.83).</t>
        </is>
      </c>
      <c r="L427" s="2" t="inlineStr">
        <is>
          <t>pend</t>
        </is>
      </c>
      <c r="M427" s="2" t="n"/>
      <c r="N427" s="2" t="n"/>
      <c r="O427" s="3" t="inlineStr">
        <is>
          <t>https://vanillabonds.com/dossier-data/pdf/fastned/fastned-2023-annual-report.pdf#page=69</t>
        </is>
      </c>
    </row>
    <row r="428">
      <c r="A428" s="2" t="inlineStr">
        <is>
          <t>F427</t>
        </is>
      </c>
      <c r="B428" s="2" t="inlineStr">
        <is>
          <t>management</t>
        </is>
      </c>
      <c r="C428" s="2" t="inlineStr">
        <is>
          <t>remuneration</t>
        </is>
      </c>
      <c r="D428" s="3" t="inlineStr">
        <is>
          <t>Remuneration as disclosed in the filed accounts: person or body; amount; year</t>
        </is>
      </c>
      <c r="E428" s="2" t="n"/>
      <c r="F428" s="2" t="n">
        <v>0.118</v>
      </c>
      <c r="G428" s="2" t="n"/>
      <c r="H428" s="3" t="inlineStr">
        <is>
          <t>person or body: Michiel Langezaal (CEO); amount: 0.118 (fixed 0.107, other benefits 0.011, no pension, excluded from the Option Plan); year: 2023</t>
        </is>
      </c>
      <c r="I428" s="2" t="inlineStr">
        <is>
          <t>S1</t>
        </is>
      </c>
      <c r="J428" s="2" t="n">
        <v>70</v>
      </c>
      <c r="K428" s="2" t="inlineStr">
        <is>
          <t>Mr Langezaal 107 — 11 — 118</t>
        </is>
      </c>
      <c r="L428" s="2" t="inlineStr">
        <is>
          <t>pend</t>
        </is>
      </c>
      <c r="M428" s="2" t="n"/>
      <c r="N428" s="2" t="n"/>
      <c r="O428" s="3" t="inlineStr">
        <is>
          <t>https://vanillabonds.com/dossier-data/pdf/fastned/fastned-2023-annual-report.pdf#page=70</t>
        </is>
      </c>
    </row>
    <row r="429">
      <c r="A429" s="2" t="inlineStr">
        <is>
          <t>F428</t>
        </is>
      </c>
      <c r="B429" s="2" t="inlineStr">
        <is>
          <t>management</t>
        </is>
      </c>
      <c r="C429" s="2" t="inlineStr">
        <is>
          <t>remuneration</t>
        </is>
      </c>
      <c r="D429" s="3" t="inlineStr">
        <is>
          <t>Remuneration as disclosed in the filed accounts: person or body; amount; year</t>
        </is>
      </c>
      <c r="E429" s="2" t="n"/>
      <c r="F429" s="2" t="n">
        <v>0.265</v>
      </c>
      <c r="G429" s="2" t="n"/>
      <c r="H429" s="3" t="inlineStr">
        <is>
          <t>person or body: Victor van Dijk (CFO); amount: 0.265 (fixed 0.150, pension 0.013, other 0.006, Option Plan 0.096); year: 2023; 14,105 options held at 31 Dec 2023</t>
        </is>
      </c>
      <c r="I429" s="2" t="inlineStr">
        <is>
          <t>S1</t>
        </is>
      </c>
      <c r="J429" s="2" t="n">
        <v>70</v>
      </c>
      <c r="K429" s="2" t="inlineStr">
        <is>
          <t>Mr Van Dijk 150 13 6 96 265</t>
        </is>
      </c>
      <c r="L429" s="2" t="inlineStr">
        <is>
          <t>pend</t>
        </is>
      </c>
      <c r="M429" s="2" t="n"/>
      <c r="N429" s="2" t="n"/>
      <c r="O429" s="3" t="inlineStr">
        <is>
          <t>https://vanillabonds.com/dossier-data/pdf/fastned/fastned-2023-annual-report.pdf#page=70</t>
        </is>
      </c>
    </row>
    <row r="430">
      <c r="A430" s="2" t="inlineStr">
        <is>
          <t>F429</t>
        </is>
      </c>
      <c r="B430" s="2" t="inlineStr">
        <is>
          <t>management</t>
        </is>
      </c>
      <c r="C430" s="2" t="inlineStr">
        <is>
          <t>remuneration</t>
        </is>
      </c>
      <c r="D430" s="3" t="inlineStr">
        <is>
          <t>Remuneration as disclosed in the filed accounts: person or body; amount; year</t>
        </is>
      </c>
      <c r="E430" s="2" t="n"/>
      <c r="F430" s="2" t="n">
        <v>0.119</v>
      </c>
      <c r="G430" s="2" t="n"/>
      <c r="H430" s="3" t="inlineStr">
        <is>
          <t>person or body: Michiel Langezaal (CEO); amount: 0.119 (fixed 0.100, other benefits 0.019); year: 2022</t>
        </is>
      </c>
      <c r="I430" s="2" t="inlineStr">
        <is>
          <t>S1</t>
        </is>
      </c>
      <c r="J430" s="2" t="n">
        <v>70</v>
      </c>
      <c r="K430" s="2" t="inlineStr">
        <is>
          <t>Mr Langezaal 100 — 19 — 119</t>
        </is>
      </c>
      <c r="L430" s="2" t="inlineStr">
        <is>
          <t>pend</t>
        </is>
      </c>
      <c r="M430" s="2" t="n"/>
      <c r="N430" s="2" t="n"/>
      <c r="O430" s="3" t="inlineStr">
        <is>
          <t>https://vanillabonds.com/dossier-data/pdf/fastned/fastned-2023-annual-report.pdf#page=70</t>
        </is>
      </c>
    </row>
    <row r="431">
      <c r="A431" s="2" t="inlineStr">
        <is>
          <t>F430</t>
        </is>
      </c>
      <c r="B431" s="2" t="inlineStr">
        <is>
          <t>management</t>
        </is>
      </c>
      <c r="C431" s="2" t="inlineStr">
        <is>
          <t>remuneration</t>
        </is>
      </c>
      <c r="D431" s="3" t="inlineStr">
        <is>
          <t>Remuneration as disclosed in the filed accounts: person or body; amount; year</t>
        </is>
      </c>
      <c r="E431" s="2" t="n"/>
      <c r="F431" s="2" t="n">
        <v>0.167</v>
      </c>
      <c r="G431" s="2" t="n"/>
      <c r="H431" s="3" t="inlineStr">
        <is>
          <t>person or body: Victor van Dijk (CFO); amount: 0.167 (fixed 0.143, pension 0.011, other 0.013); year: 2022</t>
        </is>
      </c>
      <c r="I431" s="2" t="inlineStr">
        <is>
          <t>S1</t>
        </is>
      </c>
      <c r="J431" s="2" t="n">
        <v>70</v>
      </c>
      <c r="K431" s="2" t="inlineStr">
        <is>
          <t>Mr Van Dijk 143 11 13 — 167</t>
        </is>
      </c>
      <c r="L431" s="2" t="inlineStr">
        <is>
          <t>pend</t>
        </is>
      </c>
      <c r="M431" s="2" t="n"/>
      <c r="N431" s="2" t="n"/>
      <c r="O431" s="3" t="inlineStr">
        <is>
          <t>https://vanillabonds.com/dossier-data/pdf/fastned/fastned-2023-annual-report.pdf#page=70</t>
        </is>
      </c>
    </row>
    <row r="432">
      <c r="A432" s="2" t="inlineStr">
        <is>
          <t>F431</t>
        </is>
      </c>
      <c r="B432" s="2" t="inlineStr">
        <is>
          <t>management</t>
        </is>
      </c>
      <c r="C432" s="2" t="inlineStr">
        <is>
          <t>remuneration</t>
        </is>
      </c>
      <c r="D432" s="3" t="inlineStr">
        <is>
          <t>Remuneration as disclosed in the filed accounts: person or body; amount; year</t>
        </is>
      </c>
      <c r="E432" s="2" t="n"/>
      <c r="F432" s="2" t="n">
        <v>0.03</v>
      </c>
      <c r="G432" s="2" t="n"/>
      <c r="H432" s="3" t="inlineStr">
        <is>
          <t>person or body: Mr Korthals Altes (Management Board, resigned 9 March 2022); amount: 0.030 (fixed 0.025, pension 0.003, other 0.002); year: 2022</t>
        </is>
      </c>
      <c r="I432" s="2" t="inlineStr">
        <is>
          <t>S1</t>
        </is>
      </c>
      <c r="J432" s="2" t="n">
        <v>70</v>
      </c>
      <c r="K432" s="2" t="inlineStr">
        <is>
          <t>Mr Korthals Altes** 25 3 2 — 30</t>
        </is>
      </c>
      <c r="L432" s="2" t="inlineStr">
        <is>
          <t>pend</t>
        </is>
      </c>
      <c r="M432" s="2" t="n"/>
      <c r="N432" s="2" t="n"/>
      <c r="O432" s="3" t="inlineStr">
        <is>
          <t>https://vanillabonds.com/dossier-data/pdf/fastned/fastned-2023-annual-report.pdf#page=70</t>
        </is>
      </c>
    </row>
    <row r="433">
      <c r="A433" s="2" t="inlineStr">
        <is>
          <t>F432</t>
        </is>
      </c>
      <c r="B433" s="2" t="inlineStr">
        <is>
          <t>management</t>
        </is>
      </c>
      <c r="C433" s="2" t="inlineStr">
        <is>
          <t>remuneration</t>
        </is>
      </c>
      <c r="D433" s="3" t="inlineStr">
        <is>
          <t>Remuneration as disclosed in the filed accounts: person or body; amount; year</t>
        </is>
      </c>
      <c r="E433" s="2" t="n"/>
      <c r="F433" s="2" t="n"/>
      <c r="G433" s="2" t="n"/>
      <c r="H433" s="3" t="inlineStr">
        <is>
          <t>person or body: average cash compensation Management Board EUR 134k, employees EUR 75k; average total compensation incl. options Management Board EUR 191k, employees EUR 94k; year: 2023</t>
        </is>
      </c>
      <c r="I433" s="2" t="inlineStr">
        <is>
          <t>S1</t>
        </is>
      </c>
      <c r="J433" s="2" t="n">
        <v>71</v>
      </c>
      <c r="K433" s="3" t="inlineStr">
        <is>
          <t>Average cash compensation Management Board (€ ‘000) 134 2 % 131 9 % 120 9 % 110 6 % 104</t>
        </is>
      </c>
      <c r="L433" s="2" t="inlineStr">
        <is>
          <t>pend</t>
        </is>
      </c>
      <c r="M433" s="2" t="n"/>
      <c r="N433" s="2" t="n"/>
      <c r="O433" s="3" t="inlineStr">
        <is>
          <t>https://vanillabonds.com/dossier-data/pdf/fastned/fastned-2023-annual-report.pdf#page=71</t>
        </is>
      </c>
    </row>
    <row r="434">
      <c r="A434" s="2" t="inlineStr">
        <is>
          <t>F433</t>
        </is>
      </c>
      <c r="B434" s="2" t="inlineStr">
        <is>
          <t>management</t>
        </is>
      </c>
      <c r="C434" s="2" t="inlineStr">
        <is>
          <t>remuneration</t>
        </is>
      </c>
      <c r="D434" s="3" t="inlineStr">
        <is>
          <t>Remuneration as disclosed in the filed accounts: person or body; amount; year</t>
        </is>
      </c>
      <c r="E434" s="2" t="n"/>
      <c r="F434" s="2" t="n"/>
      <c r="G434" s="2" t="n"/>
      <c r="H434" s="3" t="inlineStr">
        <is>
          <t>person or body: Supervisory Board fees 2023 (Kooi 25,740; Lubbers 37,264; Van Mens 16,355; Kabalt 37,264; Janssen nil, travel expenses up to 7,500); year: 2023</t>
        </is>
      </c>
      <c r="I434" s="2" t="inlineStr">
        <is>
          <t>S1</t>
        </is>
      </c>
      <c r="J434" s="2" t="n">
        <v>72</v>
      </c>
      <c r="K434" s="2" t="inlineStr">
        <is>
          <t>Bart Lubbers: € 37,264 (2022: € 34,000);</t>
        </is>
      </c>
      <c r="L434" s="2" t="inlineStr">
        <is>
          <t>pend</t>
        </is>
      </c>
      <c r="M434" s="2" t="n"/>
      <c r="N434" s="2" t="n"/>
      <c r="O434" s="3" t="inlineStr">
        <is>
          <t>https://vanillabonds.com/dossier-data/pdf/fastned/fastned-2023-annual-report.pdf#page=72</t>
        </is>
      </c>
    </row>
    <row r="435">
      <c r="A435" s="2" t="inlineStr">
        <is>
          <t>F434</t>
        </is>
      </c>
      <c r="B435" s="2" t="inlineStr">
        <is>
          <t>management</t>
        </is>
      </c>
      <c r="C435" s="2" t="inlineStr">
        <is>
          <t>remuneration</t>
        </is>
      </c>
      <c r="D435" s="3" t="inlineStr">
        <is>
          <t>Remuneration as disclosed in the filed accounts: person or body; amount; year</t>
        </is>
      </c>
      <c r="E435" s="2" t="n"/>
      <c r="F435" s="2" t="n"/>
      <c r="G435" s="2" t="n"/>
      <c r="H435" s="3" t="inlineStr">
        <is>
          <t>person or body: Supervisory Board fee policy; amount: Chair EUR 48,264, members EUR 37,264 (2022: 34,000), no committee fees, no DRs or options; year: 2023</t>
        </is>
      </c>
      <c r="I435" s="2" t="inlineStr">
        <is>
          <t>S1</t>
        </is>
      </c>
      <c r="J435" s="2" t="n">
        <v>72</v>
      </c>
      <c r="K435" s="3" t="inlineStr">
        <is>
          <t>Supervisory Board Chair: € 48,264 (2022: € 34,000)</t>
        </is>
      </c>
      <c r="L435" s="2" t="inlineStr">
        <is>
          <t>pend</t>
        </is>
      </c>
      <c r="M435" s="2" t="n"/>
      <c r="N435" s="2" t="n"/>
      <c r="O435" s="3" t="inlineStr">
        <is>
          <t>https://vanillabonds.com/dossier-data/pdf/fastned/fastned-2023-annual-report.pdf#page=72</t>
        </is>
      </c>
    </row>
    <row r="436">
      <c r="A436" s="2" t="inlineStr">
        <is>
          <t>F435</t>
        </is>
      </c>
      <c r="B436" s="2" t="inlineStr">
        <is>
          <t>management</t>
        </is>
      </c>
      <c r="C436" s="2" t="inlineStr">
        <is>
          <t>remuneration</t>
        </is>
      </c>
      <c r="D436" s="3" t="inlineStr">
        <is>
          <t>Remuneration as disclosed in the filed accounts: person or body; amount; year</t>
        </is>
      </c>
      <c r="E436" s="2" t="n"/>
      <c r="F436" s="2" t="n"/>
      <c r="G436" s="2" t="n"/>
      <c r="H436" s="3" t="inlineStr">
        <is>
          <t>person or body: FAST Board (Veen 16,440; Kooi 4,810; Pals 10,960; Weghs 6,393); policy Chair EUR 16,440, member EUR 10,960; year: 2023</t>
        </is>
      </c>
      <c r="I436" s="2" t="inlineStr">
        <is>
          <t>S1</t>
        </is>
      </c>
      <c r="J436" s="2" t="n">
        <v>73</v>
      </c>
      <c r="K436" s="2" t="inlineStr">
        <is>
          <t>Maaike Veen: € 16,440 (2022: € 12,500);</t>
        </is>
      </c>
      <c r="L436" s="2" t="inlineStr">
        <is>
          <t>pend</t>
        </is>
      </c>
      <c r="M436" s="2" t="n"/>
      <c r="N436" s="2" t="n"/>
      <c r="O436" s="3" t="inlineStr">
        <is>
          <t>https://vanillabonds.com/dossier-data/pdf/fastned/fastned-2023-annual-report.pdf#page=73</t>
        </is>
      </c>
    </row>
    <row r="437">
      <c r="A437" s="2" t="inlineStr">
        <is>
          <t>F436</t>
        </is>
      </c>
      <c r="B437" s="2" t="inlineStr">
        <is>
          <t>management</t>
        </is>
      </c>
      <c r="C437" s="2" t="inlineStr">
        <is>
          <t>remuneration</t>
        </is>
      </c>
      <c r="D437" s="3" t="inlineStr">
        <is>
          <t>Remuneration as disclosed in the filed accounts: person or body; amount; year</t>
        </is>
      </c>
      <c r="E437" s="2" t="n"/>
      <c r="F437" s="2" t="n"/>
      <c r="G437" s="2" t="n"/>
      <c r="H437" s="3" t="inlineStr">
        <is>
          <t>person or body: key management (Management Board, FAST Board, Supervisory Board); components: base salary, share options, defined contribution pension, lease cars; year: 2023</t>
        </is>
      </c>
      <c r="I437" s="2" t="inlineStr">
        <is>
          <t>S1</t>
        </is>
      </c>
      <c r="J437" s="2" t="n">
        <v>151</v>
      </c>
      <c r="K437" s="3" t="inlineStr">
        <is>
          <t>The Group considers all members of the Management Board, FAST Board and the Supervisory Board to be key management personnel</t>
        </is>
      </c>
      <c r="L437" s="2" t="inlineStr">
        <is>
          <t>pend</t>
        </is>
      </c>
      <c r="M437" s="2" t="n"/>
      <c r="N437" s="2" t="n"/>
      <c r="O437" s="3" t="inlineStr">
        <is>
          <t>https://vanillabonds.com/dossier-data/pdf/fastned/fastned-2023-annual-report.pdf#page=151</t>
        </is>
      </c>
    </row>
    <row r="438">
      <c r="A438" s="2" t="inlineStr">
        <is>
          <t>F437</t>
        </is>
      </c>
      <c r="B438" s="2" t="inlineStr">
        <is>
          <t>management</t>
        </is>
      </c>
      <c r="C438" s="2" t="inlineStr">
        <is>
          <t>remuneration</t>
        </is>
      </c>
      <c r="D438" s="3" t="inlineStr">
        <is>
          <t>Remuneration as disclosed in the filed accounts: person or body; amount; year</t>
        </is>
      </c>
      <c r="E438" s="2" t="n"/>
      <c r="F438" s="2" t="n">
        <v>0.4</v>
      </c>
      <c r="G438" s="2" t="n"/>
      <c r="H438" s="3" t="inlineStr">
        <is>
          <t>person or body: Management Board (Langezaal 118k, Van Dijk 265k incl. 96k share options); amount: 0.4 (383k); year: 2023 (2022: 316k)</t>
        </is>
      </c>
      <c r="I438" s="2" t="inlineStr">
        <is>
          <t>S1</t>
        </is>
      </c>
      <c r="J438" s="2" t="n">
        <v>152</v>
      </c>
      <c r="K438" s="2" t="inlineStr">
        <is>
          <t>Total 257 17 13 96 383</t>
        </is>
      </c>
      <c r="L438" s="2" t="inlineStr">
        <is>
          <t>pend</t>
        </is>
      </c>
      <c r="M438" s="2" t="n"/>
      <c r="N438" s="2" t="n"/>
      <c r="O438" s="3" t="inlineStr">
        <is>
          <t>https://vanillabonds.com/dossier-data/pdf/fastned/fastned-2023-annual-report.pdf#page=152</t>
        </is>
      </c>
    </row>
    <row r="439">
      <c r="A439" s="2" t="inlineStr">
        <is>
          <t>F438</t>
        </is>
      </c>
      <c r="B439" s="2" t="inlineStr">
        <is>
          <t>management</t>
        </is>
      </c>
      <c r="C439" s="2" t="inlineStr">
        <is>
          <t>remuneration</t>
        </is>
      </c>
      <c r="D439" s="3" t="inlineStr">
        <is>
          <t>Remuneration as disclosed in the filed accounts: person or body; amount; year</t>
        </is>
      </c>
      <c r="E439" s="2" t="n"/>
      <c r="F439" s="2" t="n">
        <v>0</v>
      </c>
      <c r="G439" s="2" t="n"/>
      <c r="H439" s="3" t="inlineStr">
        <is>
          <t>person or body: FAST Board (Veen 16k, Pals 11k, Weghs 6k, Kooi 5k); amount: 0.04 (38k); year: 2023 (2022: 40k)</t>
        </is>
      </c>
      <c r="I439" s="2" t="inlineStr">
        <is>
          <t>S1</t>
        </is>
      </c>
      <c r="J439" s="2" t="n">
        <v>153</v>
      </c>
      <c r="K439" s="2" t="inlineStr">
        <is>
          <t>Total 38 40</t>
        </is>
      </c>
      <c r="L439" s="2" t="inlineStr">
        <is>
          <t>pend</t>
        </is>
      </c>
      <c r="M439" s="2" t="n"/>
      <c r="N439" s="2" t="n"/>
      <c r="O439" s="3" t="inlineStr">
        <is>
          <t>https://vanillabonds.com/dossier-data/pdf/fastned/fastned-2023-annual-report.pdf#page=153</t>
        </is>
      </c>
    </row>
    <row r="440">
      <c r="A440" s="2" t="inlineStr">
        <is>
          <t>F439</t>
        </is>
      </c>
      <c r="B440" s="2" t="inlineStr">
        <is>
          <t>management</t>
        </is>
      </c>
      <c r="C440" s="2" t="inlineStr">
        <is>
          <t>remuneration</t>
        </is>
      </c>
      <c r="D440" s="3" t="inlineStr">
        <is>
          <t>Remuneration as disclosed in the filed accounts: person or body; amount; year</t>
        </is>
      </c>
      <c r="E440" s="2" t="n"/>
      <c r="F440" s="2" t="n">
        <v>0.1</v>
      </c>
      <c r="G440" s="2" t="n"/>
      <c r="H440" s="3" t="inlineStr">
        <is>
          <t>person or body: Supervisory Board (Lubbers 44k, Kabalt 37k, Kooi 26k, Van Mens 16k, Janssen nil); amount: 0.1 (123k); year: 2023 (2022: 113k)</t>
        </is>
      </c>
      <c r="I440" s="2" t="inlineStr">
        <is>
          <t>S1</t>
        </is>
      </c>
      <c r="J440" s="2" t="n">
        <v>154</v>
      </c>
      <c r="K440" s="2" t="inlineStr">
        <is>
          <t>Total 116 7 123 102 11 113</t>
        </is>
      </c>
      <c r="L440" s="2" t="inlineStr">
        <is>
          <t>pend</t>
        </is>
      </c>
      <c r="M440" s="2" t="n"/>
      <c r="N440" s="2" t="n"/>
      <c r="O440" s="3" t="inlineStr">
        <is>
          <t>https://vanillabonds.com/dossier-data/pdf/fastned/fastned-2023-annual-report.pdf#page=154</t>
        </is>
      </c>
    </row>
    <row r="441">
      <c r="A441" s="2" t="inlineStr">
        <is>
          <t>F440</t>
        </is>
      </c>
      <c r="B441" s="2" t="inlineStr">
        <is>
          <t>structure</t>
        </is>
      </c>
      <c r="C441" s="2" t="inlineStr">
        <is>
          <t>security_asset</t>
        </is>
      </c>
      <c r="D441" s="3" t="inlineStr">
        <is>
          <t>Security asset: asset; book value; encumbrance (register); insured (yes / no); register</t>
        </is>
      </c>
      <c r="E441" s="2" t="n"/>
      <c r="F441" s="2" t="n">
        <v>153.3</v>
      </c>
      <c r="G441" s="2" t="n"/>
      <c r="H441" s="3" t="inlineStr">
        <is>
          <t>asset: charging stations and technical installations; book value: 153.3; encumbrance (register): bonds unsecured, Caisse des Dépôts loans secured (collateral not stated)</t>
        </is>
      </c>
      <c r="I441" s="2" t="inlineStr">
        <is>
          <t>S1</t>
        </is>
      </c>
      <c r="J441" s="2" t="n">
        <v>130</v>
      </c>
      <c r="K441" s="3" t="inlineStr">
        <is>
          <t>At 31 December 2023 856 30,436 153,265 1,434 185,991</t>
        </is>
      </c>
      <c r="L441" s="2" t="inlineStr">
        <is>
          <t>pend</t>
        </is>
      </c>
      <c r="M441" s="2" t="n"/>
      <c r="N441" s="2" t="n"/>
      <c r="O441" s="3" t="inlineStr">
        <is>
          <t>https://vanillabonds.com/dossier-data/pdf/fastned/fastned-2023-annual-report.pdf#page=130</t>
        </is>
      </c>
    </row>
    <row r="442">
      <c r="A442" s="2" t="inlineStr">
        <is>
          <t>F441</t>
        </is>
      </c>
      <c r="B442" s="2" t="inlineStr">
        <is>
          <t>compliance</t>
        </is>
      </c>
      <c r="C442" s="2" t="inlineStr">
        <is>
          <t>esg_fact</t>
        </is>
      </c>
      <c r="D442" s="3" t="inlineStr">
        <is>
          <t>ESG fact: item (CSRD / VSME status, energy, emissions, taxonomy, permit, incident, labour); value; year; source</t>
        </is>
      </c>
      <c r="E442" s="2" t="n"/>
      <c r="F442" s="2" t="n"/>
      <c r="G442" s="2" t="n"/>
      <c r="H442" s="3" t="inlineStr">
        <is>
          <t>item: energy sold; value: nearly 100 GWh renewable electricity sold in 2023 (99.6 GWh, +92%), nearly 500 million electric kilometres; year: 2023; source: company</t>
        </is>
      </c>
      <c r="I442" s="2" t="inlineStr">
        <is>
          <t>S1</t>
        </is>
      </c>
      <c r="J442" s="2" t="n">
        <v>17</v>
      </c>
      <c r="K442" s="3" t="inlineStr">
        <is>
          <t>Fastned sold nearly 100GWh of energy from renewable sources in 2023, avoiding more than 96,000 tonnes of CO₂ being released into the atmosphere.</t>
        </is>
      </c>
      <c r="L442" s="2" t="inlineStr">
        <is>
          <t>pend</t>
        </is>
      </c>
      <c r="M442" s="2" t="n"/>
      <c r="N442" s="2" t="n"/>
      <c r="O442" s="3" t="inlineStr">
        <is>
          <t>https://vanillabonds.com/dossier-data/pdf/fastned/fastned-2023-annual-report.pdf#page=17</t>
        </is>
      </c>
    </row>
    <row r="443">
      <c r="A443" s="2" t="inlineStr">
        <is>
          <t>F442</t>
        </is>
      </c>
      <c r="B443" s="2" t="inlineStr">
        <is>
          <t>compliance</t>
        </is>
      </c>
      <c r="C443" s="2" t="inlineStr">
        <is>
          <t>esg_fact</t>
        </is>
      </c>
      <c r="D443" s="3" t="inlineStr">
        <is>
          <t>ESG fact: item (CSRD / VSME status, energy, emissions, taxonomy, permit, incident, labour); value; year; source</t>
        </is>
      </c>
      <c r="E443" s="2" t="n"/>
      <c r="F443" s="2" t="n"/>
      <c r="G443" s="2" t="n"/>
      <c r="H443" s="3" t="inlineStr">
        <is>
          <t>item: labour; value: employee turnover 9% (2022: 11%), eNPS 58 with 80% survey response, women 40% of workforce, 38 nationalities, Works Council since November 2023; year: 2023; source: company</t>
        </is>
      </c>
      <c r="I443" s="2" t="inlineStr">
        <is>
          <t>S1</t>
        </is>
      </c>
      <c r="J443" s="2" t="n">
        <v>33</v>
      </c>
      <c r="K443" s="3" t="inlineStr">
        <is>
          <t>We are proud to report an employee Net Promoter Score (eNPS) of 58, which means that the majority of employees recommend Fastned as a great place to work.</t>
        </is>
      </c>
      <c r="L443" s="2" t="inlineStr">
        <is>
          <t>pend</t>
        </is>
      </c>
      <c r="M443" s="2" t="n"/>
      <c r="N443" s="2" t="n"/>
      <c r="O443" s="3" t="inlineStr">
        <is>
          <t>https://vanillabonds.com/dossier-data/pdf/fastned/fastned-2023-annual-report.pdf#page=33</t>
        </is>
      </c>
    </row>
    <row r="444">
      <c r="A444" s="2" t="inlineStr">
        <is>
          <t>F443</t>
        </is>
      </c>
      <c r="B444" s="2" t="inlineStr">
        <is>
          <t>compliance</t>
        </is>
      </c>
      <c r="C444" s="2" t="inlineStr">
        <is>
          <t>esg_fact</t>
        </is>
      </c>
      <c r="D444" s="3" t="inlineStr">
        <is>
          <t>ESG fact: item (CSRD / VSME status, energy, emissions, taxonomy, permit, incident, labour); value; year; source</t>
        </is>
      </c>
      <c r="E444" s="2" t="n"/>
      <c r="F444" s="2" t="n"/>
      <c r="G444" s="2" t="n"/>
      <c r="H444" s="3" t="inlineStr">
        <is>
          <t>item: sustainability reporting platform and first ESG dataset; value: implemented 2023 with GRI standards as guidance, in preparation for ESRS/CSRD; TCFD-based climate risks embedded in risk management; year: 2023; source: company</t>
        </is>
      </c>
      <c r="I444" s="2" t="inlineStr">
        <is>
          <t>S1</t>
        </is>
      </c>
      <c r="J444" s="2" t="n">
        <v>41</v>
      </c>
      <c r="K444" s="3" t="inlineStr">
        <is>
          <t>In 2023, we implemented a sustainability reporting platform to help us collect, analyse and report Environmental, Social and Governance (ESG) KPIs</t>
        </is>
      </c>
      <c r="L444" s="2" t="inlineStr">
        <is>
          <t>pend</t>
        </is>
      </c>
      <c r="M444" s="2" t="n"/>
      <c r="N444" s="2" t="n"/>
      <c r="O444" s="3" t="inlineStr">
        <is>
          <t>https://vanillabonds.com/dossier-data/pdf/fastned/fastned-2023-annual-report.pdf#page=41</t>
        </is>
      </c>
    </row>
    <row r="445">
      <c r="A445" s="2" t="inlineStr">
        <is>
          <t>F444</t>
        </is>
      </c>
      <c r="B445" s="2" t="inlineStr">
        <is>
          <t>compliance</t>
        </is>
      </c>
      <c r="C445" s="2" t="inlineStr">
        <is>
          <t>esg_fact</t>
        </is>
      </c>
      <c r="D445" s="3" t="inlineStr">
        <is>
          <t>ESG fact: item (CSRD / VSME status, energy, emissions, taxonomy, permit, incident, labour); value; year; source</t>
        </is>
      </c>
      <c r="E445" s="2" t="n"/>
      <c r="F445" s="2" t="n"/>
      <c r="G445" s="2" t="n"/>
      <c r="H445" s="3" t="inlineStr">
        <is>
          <t>item: EU Taxonomy eligibility (voluntary, not audited, Climate Change Mitigation); value: turnover 100%, capex 99%, opex above 99% eligible (shops not eligible); year: 2023 (2022 and 2021: 100%); source: company</t>
        </is>
      </c>
      <c r="I445" s="2" t="inlineStr">
        <is>
          <t>S1</t>
        </is>
      </c>
      <c r="J445" s="2" t="n">
        <v>42</v>
      </c>
      <c r="K445" s="3" t="inlineStr">
        <is>
          <t>This information is not prepared to meet alignment requirements, nor has it been audited.</t>
        </is>
      </c>
      <c r="L445" s="2" t="inlineStr">
        <is>
          <t>pend</t>
        </is>
      </c>
      <c r="M445" s="2" t="n"/>
      <c r="N445" s="2" t="n"/>
      <c r="O445" s="3" t="inlineStr">
        <is>
          <t>https://vanillabonds.com/dossier-data/pdf/fastned/fastned-2023-annual-report.pdf#page=42</t>
        </is>
      </c>
    </row>
    <row r="446">
      <c r="A446" s="2" t="inlineStr">
        <is>
          <t>F445</t>
        </is>
      </c>
      <c r="B446" s="2" t="inlineStr">
        <is>
          <t>compliance</t>
        </is>
      </c>
      <c r="C446" s="2" t="inlineStr">
        <is>
          <t>esg_fact</t>
        </is>
      </c>
      <c r="D446" s="3" t="inlineStr">
        <is>
          <t>ESG fact: item (CSRD / VSME status, energy, emissions, taxonomy, permit, incident, labour); value; year; source</t>
        </is>
      </c>
      <c r="E446" s="2" t="n"/>
      <c r="F446" s="2" t="n"/>
      <c r="G446" s="2" t="n"/>
      <c r="H446" s="3" t="inlineStr">
        <is>
          <t>item: CDP climate score; value: 'C' (company: 'in line with the global average'); year: 2023 (2022: 'C'); source: CDP</t>
        </is>
      </c>
      <c r="I446" s="2" t="inlineStr">
        <is>
          <t>S1</t>
        </is>
      </c>
      <c r="J446" s="2" t="n">
        <v>43</v>
      </c>
      <c r="K446" s="3" t="inlineStr">
        <is>
          <t>In 2023, Fastned participated in the Carbon Disclosure Project (CDP) for a second time, receiving a 'C' score.</t>
        </is>
      </c>
      <c r="L446" s="2" t="inlineStr">
        <is>
          <t>pend</t>
        </is>
      </c>
      <c r="M446" s="2" t="n"/>
      <c r="N446" s="2" t="n"/>
      <c r="O446" s="3" t="inlineStr">
        <is>
          <t>https://vanillabonds.com/dossier-data/pdf/fastned/fastned-2023-annual-report.pdf#page=43</t>
        </is>
      </c>
    </row>
    <row r="447">
      <c r="A447" s="2" t="inlineStr">
        <is>
          <t>F446</t>
        </is>
      </c>
      <c r="B447" s="2" t="inlineStr">
        <is>
          <t>compliance</t>
        </is>
      </c>
      <c r="C447" s="2" t="inlineStr">
        <is>
          <t>esg_fact</t>
        </is>
      </c>
      <c r="D447" s="3" t="inlineStr">
        <is>
          <t>ESG fact: item (CSRD / VSME status, energy, emissions, taxonomy, permit, incident, labour); value; year; source</t>
        </is>
      </c>
      <c r="E447" s="2" t="n"/>
      <c r="F447" s="2" t="n"/>
      <c r="G447" s="2" t="n"/>
      <c r="H447" s="3" t="inlineStr">
        <is>
          <t>item: CO2 avoided; value: 96,161 tonnes in 2023 (+136%), cumulative 171,762 tonnes since founding; year: 2023; source: company</t>
        </is>
      </c>
      <c r="I447" s="2" t="inlineStr">
        <is>
          <t>S1</t>
        </is>
      </c>
      <c r="J447" s="2" t="n">
        <v>44</v>
      </c>
      <c r="K447" s="3" t="inlineStr">
        <is>
          <t>In 2023, Fastned effectively avoided 96,161 tonnes of CO₂. Total emissions avoided since Fastned was founded now stands at 171,762 tonnes of CO₂</t>
        </is>
      </c>
      <c r="L447" s="2" t="inlineStr">
        <is>
          <t>pend</t>
        </is>
      </c>
      <c r="M447" s="2" t="n"/>
      <c r="N447" s="2" t="n"/>
      <c r="O447" s="3" t="inlineStr">
        <is>
          <t>https://vanillabonds.com/dossier-data/pdf/fastned/fastned-2023-annual-report.pdf#page=44</t>
        </is>
      </c>
    </row>
    <row r="448">
      <c r="A448" s="2" t="inlineStr">
        <is>
          <t>F447</t>
        </is>
      </c>
      <c r="B448" s="2" t="inlineStr">
        <is>
          <t>compliance</t>
        </is>
      </c>
      <c r="C448" s="2" t="inlineStr">
        <is>
          <t>esg_fact</t>
        </is>
      </c>
      <c r="D448" s="3" t="inlineStr">
        <is>
          <t>ESG fact: item (CSRD / VSME status, energy, emissions, taxonomy, permit, incident, labour); value; year; source</t>
        </is>
      </c>
      <c r="E448" s="2" t="n"/>
      <c r="F448" s="2" t="n"/>
      <c r="G448" s="2" t="n"/>
      <c r="H448" s="3" t="inlineStr">
        <is>
          <t>item: scope emissions 2023; value: not yet available, to be disclosed in the 2024 Interim Report; year: 2023; source: company</t>
        </is>
      </c>
      <c r="I448" s="2" t="inlineStr">
        <is>
          <t>S1</t>
        </is>
      </c>
      <c r="J448" s="2" t="n">
        <v>44</v>
      </c>
      <c r="K448" s="3" t="inlineStr">
        <is>
          <t>Therefore, we plan to disclose our 2023 scope emissions calculations in our 2024 Interim Report.</t>
        </is>
      </c>
      <c r="L448" s="2" t="inlineStr">
        <is>
          <t>pend</t>
        </is>
      </c>
      <c r="M448" s="2" t="n"/>
      <c r="N448" s="2" t="n"/>
      <c r="O448" s="3" t="inlineStr">
        <is>
          <t>https://vanillabonds.com/dossier-data/pdf/fastned/fastned-2023-annual-report.pdf#page=44</t>
        </is>
      </c>
    </row>
    <row r="449">
      <c r="A449" s="2" t="inlineStr">
        <is>
          <t>F448</t>
        </is>
      </c>
      <c r="B449" s="2" t="inlineStr">
        <is>
          <t>compliance</t>
        </is>
      </c>
      <c r="C449" s="2" t="inlineStr">
        <is>
          <t>esg_fact</t>
        </is>
      </c>
      <c r="D449" s="3" t="inlineStr">
        <is>
          <t>ESG fact: item (CSRD / VSME status, energy, emissions, taxonomy, permit, incident, labour); value; year; source</t>
        </is>
      </c>
      <c r="E449" s="2" t="n"/>
      <c r="F449" s="2" t="n"/>
      <c r="G449" s="2" t="n"/>
      <c r="H449" s="3" t="inlineStr">
        <is>
          <t>item: station construction footprint (LCA, Scope 3 capital goods); value: 57 stations built in 2022 approx. 7,165 tonnes CO2, 49 stations in 2021 4,512 tonnes, about 98.5% of footprint from construction; year: 2022; source: company LCA</t>
        </is>
      </c>
      <c r="I449" s="2" t="inlineStr">
        <is>
          <t>S1</t>
        </is>
      </c>
      <c r="J449" s="2" t="n">
        <v>44</v>
      </c>
      <c r="K449" s="3" t="inlineStr">
        <is>
          <t>The total footprint for the 57 Fastned stations built in 2022 is approximately 7,165 tonnes of CO2.</t>
        </is>
      </c>
      <c r="L449" s="2" t="inlineStr">
        <is>
          <t>pend</t>
        </is>
      </c>
      <c r="M449" s="2" t="n"/>
      <c r="N449" s="2" t="n"/>
      <c r="O449" s="3" t="inlineStr">
        <is>
          <t>https://vanillabonds.com/dossier-data/pdf/fastned/fastned-2023-annual-report.pdf#page=44</t>
        </is>
      </c>
    </row>
    <row r="450">
      <c r="A450" s="2" t="inlineStr">
        <is>
          <t>F449</t>
        </is>
      </c>
      <c r="B450" s="2" t="inlineStr">
        <is>
          <t>compliance</t>
        </is>
      </c>
      <c r="C450" s="2" t="inlineStr">
        <is>
          <t>esg_fact</t>
        </is>
      </c>
      <c r="D450" s="3" t="inlineStr">
        <is>
          <t>ESG fact: item (CSRD / VSME status, energy, emissions, taxonomy, permit, incident, labour); value; year; source</t>
        </is>
      </c>
      <c r="E450" s="2" t="n"/>
      <c r="F450" s="2" t="n"/>
      <c r="G450" s="2" t="n"/>
      <c r="H450" s="3" t="inlineStr">
        <is>
          <t>item: Scope 1, 2, 3 emissions (GHG Protocol, externally verified); value: 15.4 / 51.4 / 7,211.0 tonnes CO2, total 7,277.8 (reconciled and adjusted); year: 2022; source: company</t>
        </is>
      </c>
      <c r="I450" s="2" t="inlineStr">
        <is>
          <t>S1</t>
        </is>
      </c>
      <c r="J450" s="2" t="n">
        <v>45</v>
      </c>
      <c r="K450" s="2" t="inlineStr">
        <is>
          <t>Total 4,596.10 100 7,277.8* 100 57*</t>
        </is>
      </c>
      <c r="L450" s="2" t="inlineStr">
        <is>
          <t>pend</t>
        </is>
      </c>
      <c r="M450" s="2" t="n"/>
      <c r="N450" s="2" t="n"/>
      <c r="O450" s="3" t="inlineStr">
        <is>
          <t>https://vanillabonds.com/dossier-data/pdf/fastned/fastned-2023-annual-report.pdf#page=45</t>
        </is>
      </c>
    </row>
    <row r="451">
      <c r="A451" s="2" t="inlineStr">
        <is>
          <t>F450</t>
        </is>
      </c>
      <c r="B451" s="2" t="inlineStr">
        <is>
          <t>compliance</t>
        </is>
      </c>
      <c r="C451" s="2" t="inlineStr">
        <is>
          <t>esg_fact</t>
        </is>
      </c>
      <c r="D451" s="3" t="inlineStr">
        <is>
          <t>ESG fact: item (CSRD / VSME status, energy, emissions, taxonomy, permit, incident, labour); value; year; source</t>
        </is>
      </c>
      <c r="E451" s="2" t="n"/>
      <c r="F451" s="2" t="n"/>
      <c r="G451" s="2" t="n"/>
      <c r="H451" s="3" t="inlineStr">
        <is>
          <t>item: Scope 1, 2, 3 emissions; value: 21.3 / 48.5 / 4,526.3 tonnes CO2, total 4,596.1; year: 2021; source: company</t>
        </is>
      </c>
      <c r="I451" s="2" t="inlineStr">
        <is>
          <t>S1</t>
        </is>
      </c>
      <c r="J451" s="2" t="n">
        <v>45</v>
      </c>
      <c r="K451" s="2" t="inlineStr">
        <is>
          <t>Total 4,596.10 100 7,277.8* 100 57*</t>
        </is>
      </c>
      <c r="L451" s="2" t="inlineStr">
        <is>
          <t>pend</t>
        </is>
      </c>
      <c r="M451" s="2" t="n"/>
      <c r="N451" s="2" t="n"/>
      <c r="O451" s="3" t="inlineStr">
        <is>
          <t>https://vanillabonds.com/dossier-data/pdf/fastned/fastned-2023-annual-report.pdf#page=45</t>
        </is>
      </c>
    </row>
    <row r="452">
      <c r="A452" s="2" t="inlineStr">
        <is>
          <t>F451</t>
        </is>
      </c>
      <c r="B452" s="2" t="inlineStr">
        <is>
          <t>compliance</t>
        </is>
      </c>
      <c r="C452" s="2" t="inlineStr">
        <is>
          <t>esg_fact</t>
        </is>
      </c>
      <c r="D452" s="3" t="inlineStr">
        <is>
          <t>ESG fact: item (CSRD / VSME status, energy, emissions, taxonomy, permit, incident, labour); value; year; source</t>
        </is>
      </c>
      <c r="E452" s="2" t="n"/>
      <c r="F452" s="2" t="n"/>
      <c r="G452" s="2" t="n"/>
      <c r="H452" s="3" t="inlineStr">
        <is>
          <t>item: CO2 Performance Ladder certification; value: Level 4 achieved late 2023 with reduction targets for 2025 and 2030; year: 2023; source: company</t>
        </is>
      </c>
      <c r="I452" s="2" t="inlineStr">
        <is>
          <t>S1</t>
        </is>
      </c>
      <c r="J452" s="2" t="n">
        <v>45</v>
      </c>
      <c r="K452" s="3" t="inlineStr">
        <is>
          <t>In late 2023, Fastned underwent a successful certification for the CO2 Performance Ladder and has achieved Level 4.</t>
        </is>
      </c>
      <c r="L452" s="2" t="inlineStr">
        <is>
          <t>pend</t>
        </is>
      </c>
      <c r="M452" s="2" t="n"/>
      <c r="N452" s="2" t="n"/>
      <c r="O452" s="3" t="inlineStr">
        <is>
          <t>https://vanillabonds.com/dossier-data/pdf/fastned/fastned-2023-annual-report.pdf#page=45</t>
        </is>
      </c>
    </row>
    <row r="453">
      <c r="A453" s="2" t="inlineStr">
        <is>
          <t>F452</t>
        </is>
      </c>
      <c r="B453" s="2" t="inlineStr">
        <is>
          <t>compliance</t>
        </is>
      </c>
      <c r="C453" s="2" t="inlineStr">
        <is>
          <t>esg_fact</t>
        </is>
      </c>
      <c r="D453" s="3" t="inlineStr">
        <is>
          <t>ESG fact: item (CSRD / VSME status, energy, emissions, taxonomy, permit, incident, labour); value; year; source</t>
        </is>
      </c>
      <c r="E453" s="2" t="n"/>
      <c r="F453" s="2" t="n"/>
      <c r="G453" s="2" t="n"/>
      <c r="H453" s="3" t="inlineStr">
        <is>
          <t>item: emissions reduction targets (CO2 per kWh sold, base 2022); value: Scopes 1, 2 and business travel -60% by 2025 and -80% by 2030, rest of Scope 3 -30% by 2025 and -60% by 2030; year: 2023; source: company</t>
        </is>
      </c>
      <c r="I453" s="2" t="inlineStr">
        <is>
          <t>S1</t>
        </is>
      </c>
      <c r="J453" s="2" t="n">
        <v>45</v>
      </c>
      <c r="K453" s="3" t="inlineStr">
        <is>
          <t>By 2025, CO₂ emissions/kWh sold reduced by 60% (2022 as base</t>
        </is>
      </c>
      <c r="L453" s="2" t="inlineStr">
        <is>
          <t>pend</t>
        </is>
      </c>
      <c r="M453" s="2" t="n"/>
      <c r="N453" s="2" t="n"/>
      <c r="O453" s="3" t="inlineStr">
        <is>
          <t>https://vanillabonds.com/dossier-data/pdf/fastned/fastned-2023-annual-report.pdf#page=45</t>
        </is>
      </c>
    </row>
    <row r="454">
      <c r="A454" s="2" t="inlineStr">
        <is>
          <t>F453</t>
        </is>
      </c>
      <c r="B454" s="2" t="inlineStr">
        <is>
          <t>compliance</t>
        </is>
      </c>
      <c r="C454" s="2" t="inlineStr">
        <is>
          <t>esg_fact</t>
        </is>
      </c>
      <c r="D454" s="3" t="inlineStr">
        <is>
          <t>ESG fact: item (CSRD / VSME status, energy, emissions, taxonomy, permit, incident, labour); value; year; source</t>
        </is>
      </c>
      <c r="E454" s="2" t="n"/>
      <c r="F454" s="2" t="n"/>
      <c r="G454" s="2" t="n"/>
      <c r="H454" s="3" t="inlineStr">
        <is>
          <t>item: renewable energy sourcing; value: Guarantees of Origin bought country-by-country for every kWh sold (solar, wind, hydro); year: 2023; source: company</t>
        </is>
      </c>
      <c r="I454" s="2" t="inlineStr">
        <is>
          <t>S1</t>
        </is>
      </c>
      <c r="J454" s="2" t="n">
        <v>46</v>
      </c>
      <c r="K454" s="3" t="inlineStr">
        <is>
          <t>We use the EU's Guarantee of Origin (GoO) system to ensure that for every kWh of electricity we sell, one kWh of renewable energy has been produced.</t>
        </is>
      </c>
      <c r="L454" s="2" t="inlineStr">
        <is>
          <t>pend</t>
        </is>
      </c>
      <c r="M454" s="2" t="n"/>
      <c r="N454" s="2" t="n"/>
      <c r="O454" s="3" t="inlineStr">
        <is>
          <t>https://vanillabonds.com/dossier-data/pdf/fastned/fastned-2023-annual-report.pdf#page=46</t>
        </is>
      </c>
    </row>
    <row r="455">
      <c r="A455" s="2" t="inlineStr">
        <is>
          <t>F454</t>
        </is>
      </c>
      <c r="B455" s="2" t="inlineStr">
        <is>
          <t>compliance</t>
        </is>
      </c>
      <c r="C455" s="2" t="inlineStr">
        <is>
          <t>esg_fact</t>
        </is>
      </c>
      <c r="D455" s="3" t="inlineStr">
        <is>
          <t>ESG fact: item (CSRD / VSME status, energy, emissions, taxonomy, permit, incident, labour); value; year; source</t>
        </is>
      </c>
      <c r="E455" s="2" t="n"/>
      <c r="F455" s="2" t="n"/>
      <c r="G455" s="2" t="n"/>
      <c r="H455" s="3" t="inlineStr">
        <is>
          <t>item: Supplier Code of Conduct; value: written in 2023, finalised early 2024, applies to EU and non-EU suppliers; year: 2023; source: company</t>
        </is>
      </c>
      <c r="I455" s="2" t="inlineStr">
        <is>
          <t>S1</t>
        </is>
      </c>
      <c r="J455" s="2" t="n">
        <v>48</v>
      </c>
      <c r="K455" s="3" t="inlineStr">
        <is>
          <t>In 2023, we wrote a Supplier Code of Conduct policy to establish clear ethical and operational guidelines for our suppliers to adhere to</t>
        </is>
      </c>
      <c r="L455" s="2" t="inlineStr">
        <is>
          <t>pend</t>
        </is>
      </c>
      <c r="M455" s="2" t="n"/>
      <c r="N455" s="2" t="n"/>
      <c r="O455" s="3" t="inlineStr">
        <is>
          <t>https://vanillabonds.com/dossier-data/pdf/fastned/fastned-2023-annual-report.pdf#page=48</t>
        </is>
      </c>
    </row>
    <row r="456">
      <c r="A456" s="2" t="inlineStr">
        <is>
          <t>F455</t>
        </is>
      </c>
      <c r="B456" s="2" t="inlineStr">
        <is>
          <t>compliance</t>
        </is>
      </c>
      <c r="C456" s="2" t="inlineStr">
        <is>
          <t>esg_fact</t>
        </is>
      </c>
      <c r="D456" s="3" t="inlineStr">
        <is>
          <t>ESG fact: item (CSRD / VSME status, energy, emissions, taxonomy, permit, incident, labour); value; year; source</t>
        </is>
      </c>
      <c r="E456" s="2" t="n"/>
      <c r="F456" s="2" t="n"/>
      <c r="G456" s="2" t="n"/>
      <c r="H456" s="3" t="inlineStr">
        <is>
          <t>item: data privacy; value: GDPR compliance in all countries, data protection officer appointed, external regulatory compliance check on data privacy and H&amp;S started 2023; year: 2023; source: company</t>
        </is>
      </c>
      <c r="I456" s="2" t="inlineStr">
        <is>
          <t>S1</t>
        </is>
      </c>
      <c r="J456" s="2" t="n">
        <v>67</v>
      </c>
      <c r="K456" s="3" t="inlineStr">
        <is>
          <t>Fastned has also appointed a data protection officer who handles all customer privacy requests, implements our privacy policies</t>
        </is>
      </c>
      <c r="L456" s="2" t="inlineStr">
        <is>
          <t>pend</t>
        </is>
      </c>
      <c r="M456" s="2" t="n"/>
      <c r="N456" s="2" t="n"/>
      <c r="O456" s="3" t="inlineStr">
        <is>
          <t>https://vanillabonds.com/dossier-data/pdf/fastned/fastned-2023-annual-report.pdf#page=67</t>
        </is>
      </c>
    </row>
    <row r="457">
      <c r="A457" s="2" t="inlineStr">
        <is>
          <t>F456</t>
        </is>
      </c>
      <c r="B457" s="2" t="inlineStr">
        <is>
          <t>compliance</t>
        </is>
      </c>
      <c r="C457" s="2" t="inlineStr">
        <is>
          <t>esg_fact</t>
        </is>
      </c>
      <c r="D457" s="3" t="inlineStr">
        <is>
          <t>ESG fact: item (CSRD / VSME status, energy, emissions, taxonomy, permit, incident, labour); value; year; source</t>
        </is>
      </c>
      <c r="E457" s="2" t="n"/>
      <c r="F457" s="2" t="n"/>
      <c r="G457" s="2" t="n"/>
      <c r="H457" s="3" t="inlineStr">
        <is>
          <t>item: CSRD status; value: in scope from 2025, GRI used as guidance, no external assurance on non-financial data; year: 2023; source: sustainability appendix</t>
        </is>
      </c>
      <c r="I457" s="2" t="inlineStr">
        <is>
          <t>S1</t>
        </is>
      </c>
      <c r="J457" s="2" t="n">
        <v>193</v>
      </c>
      <c r="K457" s="3" t="inlineStr">
        <is>
          <t>BDO Audit &amp; Assurance B.V. does not provide any level of assurance on non</t>
        </is>
      </c>
      <c r="L457" s="2" t="inlineStr">
        <is>
          <t>pend</t>
        </is>
      </c>
      <c r="M457" s="2" t="n"/>
      <c r="N457" s="2" t="n"/>
      <c r="O457" s="3" t="inlineStr">
        <is>
          <t>https://vanillabonds.com/dossier-data/pdf/fastned/fastned-2023-annual-report.pdf#page=193</t>
        </is>
      </c>
    </row>
    <row r="458">
      <c r="A458" s="2" t="inlineStr">
        <is>
          <t>F457</t>
        </is>
      </c>
      <c r="B458" s="2" t="inlineStr">
        <is>
          <t>compliance</t>
        </is>
      </c>
      <c r="C458" s="2" t="inlineStr">
        <is>
          <t>esg_fact</t>
        </is>
      </c>
      <c r="D458" s="3" t="inlineStr">
        <is>
          <t>ESG fact: item (CSRD / VSME status, energy, emissions, taxonomy, permit, incident, labour); value; year; source</t>
        </is>
      </c>
      <c r="E458" s="2" t="n"/>
      <c r="F458" s="2" t="n"/>
      <c r="G458" s="2" t="n"/>
      <c r="H458" s="3" t="inlineStr">
        <is>
          <t>item: emissions reporting; value: scope 1-3 calculations with Dutch Carbon Consultants support (CO2 Performance Ladder, LCA), five UN SDGs adopted in 2022; year: 2023; source: sustainability appendix</t>
        </is>
      </c>
      <c r="I458" s="2" t="inlineStr">
        <is>
          <t>S1</t>
        </is>
      </c>
      <c r="J458" s="2" t="n">
        <v>193</v>
      </c>
      <c r="K458" s="3" t="inlineStr">
        <is>
          <t>Dutch Carbon Consultants (for all information related to the CO₂ Performance Ladder, including scope emissions calculations, the LCA</t>
        </is>
      </c>
      <c r="L458" s="2" t="inlineStr">
        <is>
          <t>pend</t>
        </is>
      </c>
      <c r="M458" s="2" t="n"/>
      <c r="N458" s="2" t="n"/>
      <c r="O458" s="3" t="inlineStr">
        <is>
          <t>https://vanillabonds.com/dossier-data/pdf/fastned/fastned-2023-annual-report.pdf#page=193</t>
        </is>
      </c>
    </row>
    <row r="459">
      <c r="A459" s="2" t="inlineStr">
        <is>
          <t>F458</t>
        </is>
      </c>
      <c r="B459" s="2" t="inlineStr">
        <is>
          <t>compliance</t>
        </is>
      </c>
      <c r="C459" s="2" t="inlineStr">
        <is>
          <t>esg_fact</t>
        </is>
      </c>
      <c r="D459" s="3" t="inlineStr">
        <is>
          <t>ESG fact: item (CSRD / VSME status, energy, emissions, taxonomy, permit, incident, labour); value; year; source</t>
        </is>
      </c>
      <c r="E459" s="2" t="n"/>
      <c r="F459" s="2" t="n"/>
      <c r="G459" s="2" t="n"/>
      <c r="H459" s="3" t="inlineStr">
        <is>
          <t>item: materiality assessment; value: first assessment late 2022 covers impact materiality only, financial materiality to be added in a 2024 assessment; year: 2023; source: sustainability appendix</t>
        </is>
      </c>
      <c r="I459" s="2" t="inlineStr">
        <is>
          <t>S1</t>
        </is>
      </c>
      <c r="J459" s="2" t="n">
        <v>194</v>
      </c>
      <c r="K459" s="3" t="inlineStr">
        <is>
          <t>We plan to conduct another materiality assessment in 2024 to incorporate this concept.</t>
        </is>
      </c>
      <c r="L459" s="2" t="inlineStr">
        <is>
          <t>pend</t>
        </is>
      </c>
      <c r="M459" s="2" t="n"/>
      <c r="N459" s="2" t="n"/>
      <c r="O459" s="3" t="inlineStr">
        <is>
          <t>https://vanillabonds.com/dossier-data/pdf/fastned/fastned-2023-annual-report.pdf#page=194</t>
        </is>
      </c>
    </row>
    <row r="460">
      <c r="A460" s="2" t="inlineStr">
        <is>
          <t>F459</t>
        </is>
      </c>
      <c r="B460" s="2" t="inlineStr">
        <is>
          <t>compliance</t>
        </is>
      </c>
      <c r="C460" s="2" t="inlineStr">
        <is>
          <t>esg_fact</t>
        </is>
      </c>
      <c r="D460" s="3" t="inlineStr">
        <is>
          <t>ESG fact: item (CSRD / VSME status, energy, emissions, taxonomy, permit, incident, labour); value; year; source</t>
        </is>
      </c>
      <c r="E460" s="2" t="n"/>
      <c r="F460" s="2" t="n">
        <v>99635446</v>
      </c>
      <c r="G460" s="2" t="n"/>
      <c r="H460" s="3" t="inlineStr">
        <is>
          <t>item: renewable energy sold to customers (kWh); value: 99,635,446 (2022: 51,912,801); year: 2023; source: sustainability appendix KPI table</t>
        </is>
      </c>
      <c r="I460" s="2" t="inlineStr">
        <is>
          <t>S1</t>
        </is>
      </c>
      <c r="J460" s="2" t="n">
        <v>196</v>
      </c>
      <c r="K460" s="3" t="inlineStr">
        <is>
          <t>Amount of renewable energy sold to customers (kWh) 99,635,446 51,912,801</t>
        </is>
      </c>
      <c r="L460" s="2" t="inlineStr">
        <is>
          <t>pend</t>
        </is>
      </c>
      <c r="M460" s="2" t="n"/>
      <c r="N460" s="2" t="n"/>
      <c r="O460" s="3" t="inlineStr">
        <is>
          <t>https://vanillabonds.com/dossier-data/pdf/fastned/fastned-2023-annual-report.pdf#page=196</t>
        </is>
      </c>
    </row>
    <row r="461">
      <c r="A461" s="2" t="inlineStr">
        <is>
          <t>F460</t>
        </is>
      </c>
      <c r="B461" s="2" t="inlineStr">
        <is>
          <t>compliance</t>
        </is>
      </c>
      <c r="C461" s="2" t="inlineStr">
        <is>
          <t>esg_fact</t>
        </is>
      </c>
      <c r="D461" s="3" t="inlineStr">
        <is>
          <t>ESG fact: item (CSRD / VSME status, energy, emissions, taxonomy, permit, incident, labour); value; year; source</t>
        </is>
      </c>
      <c r="E461" s="2" t="n"/>
      <c r="F461" s="2" t="n"/>
      <c r="G461" s="2" t="n"/>
      <c r="H461" s="3" t="inlineStr">
        <is>
          <t>item: guarantees of origin purchased; value: 100,000+ (2022: 55,332); year: 2023; source: sustainability appendix KPI table</t>
        </is>
      </c>
      <c r="I461" s="2" t="inlineStr">
        <is>
          <t>S1</t>
        </is>
      </c>
      <c r="J461" s="2" t="n">
        <v>196</v>
      </c>
      <c r="K461" s="3" t="inlineStr">
        <is>
          <t>Number of guarantees of origin purchased 100,000+ 55,332</t>
        </is>
      </c>
      <c r="L461" s="2" t="inlineStr">
        <is>
          <t>pend</t>
        </is>
      </c>
      <c r="M461" s="2" t="n"/>
      <c r="N461" s="2" t="n"/>
      <c r="O461" s="3" t="inlineStr">
        <is>
          <t>https://vanillabonds.com/dossier-data/pdf/fastned/fastned-2023-annual-report.pdf#page=196</t>
        </is>
      </c>
    </row>
    <row r="462">
      <c r="A462" s="2" t="inlineStr">
        <is>
          <t>F461</t>
        </is>
      </c>
      <c r="B462" s="2" t="inlineStr">
        <is>
          <t>compliance</t>
        </is>
      </c>
      <c r="C462" s="2" t="inlineStr">
        <is>
          <t>esg_fact</t>
        </is>
      </c>
      <c r="D462" s="3" t="inlineStr">
        <is>
          <t>ESG fact: item (CSRD / VSME status, energy, emissions, taxonomy, permit, incident, labour); value; year; source</t>
        </is>
      </c>
      <c r="E462" s="2" t="n"/>
      <c r="F462" s="2" t="n">
        <v>55</v>
      </c>
      <c r="G462" s="2" t="n"/>
      <c r="H462" s="3" t="inlineStr">
        <is>
          <t>item: stations opened; value: 55 (2022: 59), signed station locations 59 (2022: 49); year: 2023; source: sustainability appendix KPI table</t>
        </is>
      </c>
      <c r="I462" s="2" t="inlineStr">
        <is>
          <t>S1</t>
        </is>
      </c>
      <c r="J462" s="2" t="n">
        <v>196</v>
      </c>
      <c r="K462" s="2" t="inlineStr">
        <is>
          <t>Stations opened 55 59</t>
        </is>
      </c>
      <c r="L462" s="2" t="inlineStr">
        <is>
          <t>pend</t>
        </is>
      </c>
      <c r="M462" s="2" t="n"/>
      <c r="N462" s="2" t="n"/>
      <c r="O462" s="3" t="inlineStr">
        <is>
          <t>https://vanillabonds.com/dossier-data/pdf/fastned/fastned-2023-annual-report.pdf#page=196</t>
        </is>
      </c>
    </row>
    <row r="463">
      <c r="A463" s="2" t="inlineStr">
        <is>
          <t>F462</t>
        </is>
      </c>
      <c r="B463" s="2" t="inlineStr">
        <is>
          <t>compliance</t>
        </is>
      </c>
      <c r="C463" s="2" t="inlineStr">
        <is>
          <t>esg_fact</t>
        </is>
      </c>
      <c r="D463" s="3" t="inlineStr">
        <is>
          <t>ESG fact: item (CSRD / VSME status, energy, emissions, taxonomy, permit, incident, labour); value; year; source</t>
        </is>
      </c>
      <c r="E463" s="2" t="n"/>
      <c r="F463" s="2" t="n">
        <v>99.40000000000001</v>
      </c>
      <c r="G463" s="2" t="n"/>
      <c r="H463" s="3" t="inlineStr">
        <is>
          <t>item: network uptime (%); value: 99.4 (2022: 99.1), NPS 60 (2022: 52); year: 2023; source: sustainability appendix KPI table</t>
        </is>
      </c>
      <c r="I463" s="2" t="inlineStr">
        <is>
          <t>S1</t>
        </is>
      </c>
      <c r="J463" s="2" t="n">
        <v>196</v>
      </c>
      <c r="K463" s="2" t="inlineStr">
        <is>
          <t>Uptime (%) 99.4 99.1</t>
        </is>
      </c>
      <c r="L463" s="2" t="inlineStr">
        <is>
          <t>pend</t>
        </is>
      </c>
      <c r="M463" s="2" t="n"/>
      <c r="N463" s="2" t="n"/>
      <c r="O463" s="3" t="inlineStr">
        <is>
          <t>https://vanillabonds.com/dossier-data/pdf/fastned/fastned-2023-annual-report.pdf#page=196</t>
        </is>
      </c>
    </row>
    <row r="464">
      <c r="A464" s="2" t="inlineStr">
        <is>
          <t>F463</t>
        </is>
      </c>
      <c r="B464" s="2" t="inlineStr">
        <is>
          <t>compliance</t>
        </is>
      </c>
      <c r="C464" s="2" t="inlineStr">
        <is>
          <t>esg_fact</t>
        </is>
      </c>
      <c r="D464" s="3" t="inlineStr">
        <is>
          <t>ESG fact: item (CSRD / VSME status, energy, emissions, taxonomy, permit, incident, labour); value; year; source</t>
        </is>
      </c>
      <c r="E464" s="2" t="n"/>
      <c r="F464" s="2" t="n">
        <v>96161</v>
      </c>
      <c r="G464" s="2" t="n"/>
      <c r="H464" s="3" t="inlineStr">
        <is>
          <t>item: CO2 avoided (tonnes); value: 96,161 (2022: 40,752); year: 2023; source: sustainability appendix KPI table</t>
        </is>
      </c>
      <c r="I464" s="2" t="inlineStr">
        <is>
          <t>S1</t>
        </is>
      </c>
      <c r="J464" s="2" t="n">
        <v>197</v>
      </c>
      <c r="K464" s="2" t="inlineStr">
        <is>
          <t>CO₂ avoided (tonnes) 96,161.00 40,752.00</t>
        </is>
      </c>
      <c r="L464" s="2" t="inlineStr">
        <is>
          <t>pend</t>
        </is>
      </c>
      <c r="M464" s="2" t="n"/>
      <c r="N464" s="2" t="n"/>
      <c r="O464" s="3" t="inlineStr">
        <is>
          <t>https://vanillabonds.com/dossier-data/pdf/fastned/fastned-2023-annual-report.pdf#page=197</t>
        </is>
      </c>
    </row>
    <row r="465">
      <c r="A465" s="2" t="inlineStr">
        <is>
          <t>F464</t>
        </is>
      </c>
      <c r="B465" s="2" t="inlineStr">
        <is>
          <t>compliance</t>
        </is>
      </c>
      <c r="C465" s="2" t="inlineStr">
        <is>
          <t>esg_fact</t>
        </is>
      </c>
      <c r="D465" s="3" t="inlineStr">
        <is>
          <t>ESG fact: item (CSRD / VSME status, energy, emissions, taxonomy, permit, incident, labour); value; year; source</t>
        </is>
      </c>
      <c r="E465" s="2" t="n"/>
      <c r="F465" s="2" t="n"/>
      <c r="G465" s="2" t="n"/>
      <c r="H465" s="3" t="inlineStr">
        <is>
          <t>item: construction waste; value: not measured in 2023 or 2022; year: 2023; source: sustainability appendix</t>
        </is>
      </c>
      <c r="I465" s="2" t="inlineStr">
        <is>
          <t>S1</t>
        </is>
      </c>
      <c r="J465" s="2" t="n">
        <v>197</v>
      </c>
      <c r="K465" s="3" t="inlineStr">
        <is>
          <t>In 2023 we did not measure construction waste across Fastned, therefore we could not report on it.</t>
        </is>
      </c>
      <c r="L465" s="2" t="inlineStr">
        <is>
          <t>pend</t>
        </is>
      </c>
      <c r="M465" s="2" t="n"/>
      <c r="N465" s="2" t="n"/>
      <c r="O465" s="3" t="inlineStr">
        <is>
          <t>https://vanillabonds.com/dossier-data/pdf/fastned/fastned-2023-annual-report.pdf#page=197</t>
        </is>
      </c>
    </row>
    <row r="466">
      <c r="A466" s="2" t="inlineStr">
        <is>
          <t>F465</t>
        </is>
      </c>
      <c r="B466" s="2" t="inlineStr">
        <is>
          <t>compliance</t>
        </is>
      </c>
      <c r="C466" s="2" t="inlineStr">
        <is>
          <t>esg_fact</t>
        </is>
      </c>
      <c r="D466" s="3" t="inlineStr">
        <is>
          <t>ESG fact: item (CSRD / VSME status, energy, emissions, taxonomy, permit, incident, labour); value; year; source</t>
        </is>
      </c>
      <c r="E466" s="2" t="n"/>
      <c r="F466" s="2" t="n"/>
      <c r="G466" s="2" t="n"/>
      <c r="H466" s="3" t="inlineStr">
        <is>
          <t>item: labour; value: works council in place (GRI 2-30 collective bargaining agreements referenced to Works Council); year: 2023; source: GRI content index</t>
        </is>
      </c>
      <c r="I466" s="2" t="inlineStr">
        <is>
          <t>S1</t>
        </is>
      </c>
      <c r="J466" s="2" t="n">
        <v>202</v>
      </c>
      <c r="K466" s="3" t="inlineStr">
        <is>
          <t>2-30 Collective bargaining agreements Works Council</t>
        </is>
      </c>
      <c r="L466" s="2" t="inlineStr">
        <is>
          <t>pend</t>
        </is>
      </c>
      <c r="M466" s="2" t="n"/>
      <c r="N466" s="2" t="n"/>
      <c r="O466" s="3" t="inlineStr">
        <is>
          <t>https://vanillabonds.com/dossier-data/pdf/fastned/fastned-2023-annual-report.pdf#page=202</t>
        </is>
      </c>
    </row>
    <row r="467">
      <c r="A467" s="2" t="inlineStr">
        <is>
          <t>F466</t>
        </is>
      </c>
      <c r="B467" s="2" t="inlineStr">
        <is>
          <t>market_data</t>
        </is>
      </c>
      <c r="C467" s="2" t="inlineStr">
        <is>
          <t>instrument_term</t>
        </is>
      </c>
      <c r="D467" s="3" t="inlineStr">
        <is>
          <t>Instrument term: term (rate type, base rate, maturity, call, listing, ISIN, denomination, settlement, holders, transfer); value</t>
        </is>
      </c>
      <c r="E467" s="2" t="n"/>
      <c r="F467" s="2" t="n"/>
      <c r="G467" s="2" t="n"/>
      <c r="H467" s="3" t="inlineStr">
        <is>
          <t>term: maturity; value: 5 years after issue (bonds of June and October 2023)</t>
        </is>
      </c>
      <c r="I467" s="2" t="inlineStr">
        <is>
          <t>S1</t>
        </is>
      </c>
      <c r="J467" s="2" t="n">
        <v>136</v>
      </c>
      <c r="K467" s="3" t="inlineStr">
        <is>
          <t>The bonds mature after 5 years. The purpose of the bond is to finance new stations and operating expenses.</t>
        </is>
      </c>
      <c r="L467" s="2" t="inlineStr">
        <is>
          <t>pend</t>
        </is>
      </c>
      <c r="M467" s="2" t="n"/>
      <c r="N467" s="2" t="n"/>
      <c r="O467" s="3" t="inlineStr">
        <is>
          <t>https://vanillabonds.com/dossier-data/pdf/fastned/fastned-2023-annual-report.pdf#page=136</t>
        </is>
      </c>
    </row>
    <row r="468">
      <c r="A468" s="2" t="inlineStr">
        <is>
          <t>F467</t>
        </is>
      </c>
      <c r="B468" s="2" t="inlineStr">
        <is>
          <t>market_data</t>
        </is>
      </c>
      <c r="C468" s="2" t="inlineStr">
        <is>
          <t>instrument_term</t>
        </is>
      </c>
      <c r="D468" s="3" t="inlineStr">
        <is>
          <t>Instrument term: term (rate type, base rate, maturity, call, listing, ISIN, denomination, settlement, holders, transfer); value</t>
        </is>
      </c>
      <c r="E468" s="2" t="n"/>
      <c r="F468" s="2" t="n"/>
      <c r="G468" s="2" t="n"/>
      <c r="H468" s="3" t="inlineStr">
        <is>
          <t>term: security; value: none, no securities for the bonds</t>
        </is>
      </c>
      <c r="I468" s="2" t="inlineStr">
        <is>
          <t>S1</t>
        </is>
      </c>
      <c r="J468" s="2" t="n">
        <v>136</v>
      </c>
      <c r="K468" s="3" t="inlineStr">
        <is>
          <t>There are no securities for the bonds and there are no covenants applicable that could require Fastned to repay any of the loans.</t>
        </is>
      </c>
      <c r="L468" s="2" t="inlineStr">
        <is>
          <t>pend</t>
        </is>
      </c>
      <c r="M468" s="2" t="n"/>
      <c r="N468" s="2" t="n"/>
      <c r="O468" s="3" t="inlineStr">
        <is>
          <t>https://vanillabonds.com/dossier-data/pdf/fastned/fastned-2023-annual-report.pdf#page=136</t>
        </is>
      </c>
    </row>
    <row r="469">
      <c r="A469" s="2" t="inlineStr">
        <is>
          <t>F468</t>
        </is>
      </c>
      <c r="B469" s="2" t="inlineStr">
        <is>
          <t>market_data</t>
        </is>
      </c>
      <c r="C469" s="2" t="inlineStr">
        <is>
          <t>instrument_term</t>
        </is>
      </c>
      <c r="D469" s="3" t="inlineStr">
        <is>
          <t>Instrument term: term (rate type, base rate, maturity, call, listing, ISIN, denomination, settlement, holders, transfer); value</t>
        </is>
      </c>
      <c r="E469" s="2" t="n"/>
      <c r="F469" s="2" t="n"/>
      <c r="G469" s="2" t="n"/>
      <c r="H469" s="2" t="inlineStr">
        <is>
          <t>term: ranking; value: not subordinated</t>
        </is>
      </c>
      <c r="I469" s="2" t="inlineStr">
        <is>
          <t>S1</t>
        </is>
      </c>
      <c r="J469" s="2" t="n">
        <v>136</v>
      </c>
      <c r="K469" s="3" t="inlineStr">
        <is>
          <t>The bonds are not subordinated and trading is very limited as they are not registered on any exchange.</t>
        </is>
      </c>
      <c r="L469" s="2" t="inlineStr">
        <is>
          <t>pend</t>
        </is>
      </c>
      <c r="M469" s="2" t="n"/>
      <c r="N469" s="2" t="n"/>
      <c r="O469" s="3" t="inlineStr">
        <is>
          <t>https://vanillabonds.com/dossier-data/pdf/fastned/fastned-2023-annual-report.pdf#page=136</t>
        </is>
      </c>
    </row>
    <row r="470">
      <c r="A470" s="2" t="inlineStr">
        <is>
          <t>F469</t>
        </is>
      </c>
      <c r="B470" s="2" t="inlineStr">
        <is>
          <t>market_data</t>
        </is>
      </c>
      <c r="C470" s="2" t="inlineStr">
        <is>
          <t>instrument_term</t>
        </is>
      </c>
      <c r="D470" s="3" t="inlineStr">
        <is>
          <t>Instrument term: term (rate type, base rate, maturity, call, listing, ISIN, denomination, settlement, holders, transfer); value</t>
        </is>
      </c>
      <c r="E470" s="2" t="n"/>
      <c r="F470" s="2" t="n"/>
      <c r="G470" s="2" t="n"/>
      <c r="H470" s="3" t="inlineStr">
        <is>
          <t>term: listing; value: not registered on any exchange, trading very limited</t>
        </is>
      </c>
      <c r="I470" s="2" t="inlineStr">
        <is>
          <t>S1</t>
        </is>
      </c>
      <c r="J470" s="2" t="n">
        <v>136</v>
      </c>
      <c r="K470" s="3" t="inlineStr">
        <is>
          <t>The bonds are not subordinated and trading is very limited as they are not registered on any exchange.</t>
        </is>
      </c>
      <c r="L470" s="2" t="inlineStr">
        <is>
          <t>pend</t>
        </is>
      </c>
      <c r="M470" s="2" t="n"/>
      <c r="N470" s="2" t="n"/>
      <c r="O470" s="3" t="inlineStr">
        <is>
          <t>https://vanillabonds.com/dossier-data/pdf/fastned/fastned-2023-annual-report.pdf#page=136</t>
        </is>
      </c>
    </row>
    <row r="471">
      <c r="A471" s="2" t="inlineStr">
        <is>
          <t>F470</t>
        </is>
      </c>
      <c r="B471" s="2" t="inlineStr">
        <is>
          <t>market_data</t>
        </is>
      </c>
      <c r="C471" s="2" t="inlineStr">
        <is>
          <t>instrument_term</t>
        </is>
      </c>
      <c r="D471" s="3" t="inlineStr">
        <is>
          <t>Instrument term: term (rate type, base rate, maturity, call, listing, ISIN, denomination, settlement, holders, transfer); value</t>
        </is>
      </c>
      <c r="E471" s="2" t="n"/>
      <c r="F471" s="2" t="n"/>
      <c r="G471" s="2" t="n"/>
      <c r="H471" s="3" t="inlineStr">
        <is>
          <t>term: coupon payment; value: quarterly in arrears (5.5% June 2023 bond, 6.0% October 2023 bond)</t>
        </is>
      </c>
      <c r="I471" s="2" t="inlineStr">
        <is>
          <t>S1</t>
        </is>
      </c>
      <c r="J471" s="2" t="n">
        <v>136</v>
      </c>
      <c r="K471" s="3" t="inlineStr">
        <is>
          <t>Interest on this bond is 5.5% per annum, payable quarterly in arrears.</t>
        </is>
      </c>
      <c r="L471" s="2" t="inlineStr">
        <is>
          <t>pend</t>
        </is>
      </c>
      <c r="M471" s="2" t="n"/>
      <c r="N471" s="2" t="n"/>
      <c r="O471" s="3" t="inlineStr">
        <is>
          <t>https://vanillabonds.com/dossier-data/pdf/fastned/fastned-2023-annual-report.pdf#page=136</t>
        </is>
      </c>
    </row>
    <row r="472">
      <c r="A472" s="2" t="inlineStr">
        <is>
          <t>F471</t>
        </is>
      </c>
      <c r="B472" s="2" t="inlineStr">
        <is>
          <t>market_data</t>
        </is>
      </c>
      <c r="C472" s="2" t="inlineStr">
        <is>
          <t>instrument_term</t>
        </is>
      </c>
      <c r="D472" s="3" t="inlineStr">
        <is>
          <t>Instrument term: term (rate type, base rate, maturity, call, listing, ISIN, denomination, settlement, holders, transfer); value</t>
        </is>
      </c>
      <c r="E472" s="2" t="n"/>
      <c r="F472" s="2" t="n"/>
      <c r="G472" s="2" t="n"/>
      <c r="H472" s="3" t="inlineStr">
        <is>
          <t>term: holders; value: retail investors (retail bond transactions, marketing for new bond issuances)</t>
        </is>
      </c>
      <c r="I472" s="2" t="inlineStr">
        <is>
          <t>S1</t>
        </is>
      </c>
      <c r="J472" s="2" t="n">
        <v>199</v>
      </c>
      <c r="K472" s="3" t="inlineStr">
        <is>
          <t>Communications regarding process and structure of retail bonds issued in 2023</t>
        </is>
      </c>
      <c r="L472" s="2" t="inlineStr">
        <is>
          <t>pend</t>
        </is>
      </c>
      <c r="M472" s="2" t="n"/>
      <c r="N472" s="2" t="n"/>
      <c r="O472" s="3" t="inlineStr">
        <is>
          <t>https://vanillabonds.com/dossier-data/pdf/fastned/fastned-2023-annual-report.pdf#page=199</t>
        </is>
      </c>
    </row>
    <row r="473">
      <c r="A473" s="2" t="inlineStr">
        <is>
          <t>F472</t>
        </is>
      </c>
      <c r="B473" s="2" t="inlineStr">
        <is>
          <t>identity</t>
        </is>
      </c>
      <c r="C473" s="2" t="inlineStr">
        <is>
          <t>legal_name</t>
        </is>
      </c>
      <c r="D473" s="2" t="inlineStr">
        <is>
          <t>Legal name</t>
        </is>
      </c>
      <c r="E473" s="2" t="n"/>
      <c r="F473" s="2" t="n"/>
      <c r="G473" s="2" t="n"/>
      <c r="H473" s="2" t="inlineStr">
        <is>
          <t>Fastned B.V.</t>
        </is>
      </c>
      <c r="I473" s="2" t="inlineStr">
        <is>
          <t>S2</t>
        </is>
      </c>
      <c r="J473" s="2" t="n">
        <v>187</v>
      </c>
      <c r="K473" s="3" t="inlineStr">
        <is>
          <t>We have audited the financial statements 2024 of Fastned B.V.</t>
        </is>
      </c>
      <c r="L473" s="2" t="inlineStr">
        <is>
          <t>pend</t>
        </is>
      </c>
      <c r="M473" s="2" t="n"/>
      <c r="N473" s="2" t="n"/>
      <c r="O473" s="3" t="inlineStr">
        <is>
          <t>https://vanillabonds.com/dossier-data/pdf/fastned/fastned-2024-annual-report.pdf#page=187</t>
        </is>
      </c>
    </row>
    <row r="474">
      <c r="A474" s="2" t="inlineStr">
        <is>
          <t>F473</t>
        </is>
      </c>
      <c r="B474" s="2" t="inlineStr">
        <is>
          <t>identity</t>
        </is>
      </c>
      <c r="C474" s="2" t="inlineStr">
        <is>
          <t>legal_form</t>
        </is>
      </c>
      <c r="D474" s="2" t="inlineStr">
        <is>
          <t>Legal form</t>
        </is>
      </c>
      <c r="E474" s="2" t="n"/>
      <c r="F474" s="2" t="n"/>
      <c r="G474" s="2" t="n"/>
      <c r="H474" s="2" t="inlineStr">
        <is>
          <t>Dutch B.V. (private limited company)</t>
        </is>
      </c>
      <c r="I474" s="2" t="inlineStr">
        <is>
          <t>S2</t>
        </is>
      </c>
      <c r="J474" s="2" t="n">
        <v>73</v>
      </c>
      <c r="K474" s="3" t="inlineStr">
        <is>
          <t>Fastned B.V. (the “Company”) is a private liability company incorporated under Dutch law and listed on Euronext Amsterdam</t>
        </is>
      </c>
      <c r="L474" s="2" t="inlineStr">
        <is>
          <t>pend</t>
        </is>
      </c>
      <c r="M474" s="2" t="n"/>
      <c r="N474" s="2" t="n"/>
      <c r="O474" s="3" t="inlineStr">
        <is>
          <t>https://vanillabonds.com/dossier-data/pdf/fastned/fastned-2024-annual-report.pdf#page=73</t>
        </is>
      </c>
    </row>
    <row r="475">
      <c r="A475" s="2" t="inlineStr">
        <is>
          <t>F474</t>
        </is>
      </c>
      <c r="B475" s="2" t="inlineStr">
        <is>
          <t>identity</t>
        </is>
      </c>
      <c r="C475" s="2" t="inlineStr">
        <is>
          <t>legal_form</t>
        </is>
      </c>
      <c r="D475" s="2" t="inlineStr">
        <is>
          <t>Legal form</t>
        </is>
      </c>
      <c r="E475" s="2" t="n"/>
      <c r="F475" s="2" t="n"/>
      <c r="G475" s="2" t="n"/>
      <c r="H475" s="2" t="inlineStr">
        <is>
          <t>Dutch B.V.</t>
        </is>
      </c>
      <c r="I475" s="2" t="inlineStr">
        <is>
          <t>S2</t>
        </is>
      </c>
      <c r="J475" s="2" t="n">
        <v>113</v>
      </c>
      <c r="K475" s="3" t="inlineStr">
        <is>
          <t>are presented in Euro, which is Fastned B.V.'s functional and presentation</t>
        </is>
      </c>
      <c r="L475" s="2" t="inlineStr">
        <is>
          <t>pend</t>
        </is>
      </c>
      <c r="M475" s="2" t="n"/>
      <c r="N475" s="2" t="n"/>
      <c r="O475" s="3" t="inlineStr">
        <is>
          <t>https://vanillabonds.com/dossier-data/pdf/fastned/fastned-2024-annual-report.pdf#page=113</t>
        </is>
      </c>
    </row>
    <row r="476">
      <c r="A476" s="2" t="inlineStr">
        <is>
          <t>F475</t>
        </is>
      </c>
      <c r="B476" s="2" t="inlineStr">
        <is>
          <t>identity</t>
        </is>
      </c>
      <c r="C476" s="2" t="inlineStr">
        <is>
          <t>registry</t>
        </is>
      </c>
      <c r="D476" s="2" t="inlineStr">
        <is>
          <t>Commercial register / registration no.</t>
        </is>
      </c>
      <c r="E476" s="2" t="n"/>
      <c r="F476" s="2" t="n"/>
      <c r="G476" s="2" t="n"/>
      <c r="H476" s="2" t="inlineStr">
        <is>
          <t>KvK 54606179</t>
        </is>
      </c>
      <c r="I476" s="2" t="inlineStr">
        <is>
          <t>S2</t>
        </is>
      </c>
      <c r="J476" s="2" t="n">
        <v>106</v>
      </c>
      <c r="K476" s="3" t="inlineStr">
        <is>
          <t>registered with the Dutch trade register under number 54606179</t>
        </is>
      </c>
      <c r="L476" s="2" t="inlineStr">
        <is>
          <t>pend</t>
        </is>
      </c>
      <c r="M476" s="2" t="n"/>
      <c r="N476" s="2" t="n"/>
      <c r="O476" s="3" t="inlineStr">
        <is>
          <t>https://vanillabonds.com/dossier-data/pdf/fastned/fastned-2024-annual-report.pdf#page=106</t>
        </is>
      </c>
    </row>
    <row r="477">
      <c r="A477" s="2" t="inlineStr">
        <is>
          <t>F476</t>
        </is>
      </c>
      <c r="B477" s="2" t="inlineStr">
        <is>
          <t>identity</t>
        </is>
      </c>
      <c r="C477" s="2" t="inlineStr">
        <is>
          <t>founded</t>
        </is>
      </c>
      <c r="D477" s="2" t="inlineStr">
        <is>
          <t>Founded</t>
        </is>
      </c>
      <c r="E477" s="2" t="n"/>
      <c r="F477" s="2" t="n"/>
      <c r="G477" s="2" t="n"/>
      <c r="H477" s="2" t="inlineStr">
        <is>
          <t>2012</t>
        </is>
      </c>
      <c r="I477" s="2" t="inlineStr">
        <is>
          <t>S2</t>
        </is>
      </c>
      <c r="J477" s="2" t="n">
        <v>13</v>
      </c>
      <c r="K477" s="3" t="inlineStr">
        <is>
          <t>The EV landscape of 2024 is vastly changed from that of 2012, the year of Fastned’s foundation.</t>
        </is>
      </c>
      <c r="L477" s="2" t="inlineStr">
        <is>
          <t>pend</t>
        </is>
      </c>
      <c r="M477" s="2" t="n"/>
      <c r="N477" s="2" t="n"/>
      <c r="O477" s="3" t="inlineStr">
        <is>
          <t>https://vanillabonds.com/dossier-data/pdf/fastned/fastned-2024-annual-report.pdf#page=13</t>
        </is>
      </c>
    </row>
    <row r="478">
      <c r="A478" s="2" t="inlineStr">
        <is>
          <t>F477</t>
        </is>
      </c>
      <c r="B478" s="2" t="inlineStr">
        <is>
          <t>identity</t>
        </is>
      </c>
      <c r="C478" s="2" t="inlineStr">
        <is>
          <t>registered_office</t>
        </is>
      </c>
      <c r="D478" s="2" t="inlineStr">
        <is>
          <t>Registered office</t>
        </is>
      </c>
      <c r="E478" s="2" t="n"/>
      <c r="F478" s="2" t="n"/>
      <c r="G478" s="2" t="n"/>
      <c r="H478" s="3" t="inlineStr">
        <is>
          <t>Mondriaantoren, Amstelplein 44, Amsterdam</t>
        </is>
      </c>
      <c r="I478" s="2" t="inlineStr">
        <is>
          <t>S2</t>
        </is>
      </c>
      <c r="J478" s="2" t="n">
        <v>106</v>
      </c>
      <c r="K478" s="3" t="inlineStr">
        <is>
          <t>The registered office is located at Mondriaantoren, floor 21 and 22, Amstelplein 44 in Amsterdam.</t>
        </is>
      </c>
      <c r="L478" s="2" t="inlineStr">
        <is>
          <t>pend</t>
        </is>
      </c>
      <c r="M478" s="2" t="n"/>
      <c r="N478" s="2" t="n"/>
      <c r="O478" s="3" t="inlineStr">
        <is>
          <t>https://vanillabonds.com/dossier-data/pdf/fastned/fastned-2024-annual-report.pdf#page=106</t>
        </is>
      </c>
    </row>
    <row r="479">
      <c r="A479" s="2" t="inlineStr">
        <is>
          <t>F478</t>
        </is>
      </c>
      <c r="B479" s="2" t="inlineStr">
        <is>
          <t>identity</t>
        </is>
      </c>
      <c r="C479" s="2" t="inlineStr">
        <is>
          <t>registered_office</t>
        </is>
      </c>
      <c r="D479" s="2" t="inlineStr">
        <is>
          <t>Registered office</t>
        </is>
      </c>
      <c r="E479" s="2" t="n"/>
      <c r="F479" s="2" t="n"/>
      <c r="G479" s="2" t="n"/>
      <c r="H479" s="2" t="inlineStr">
        <is>
          <t>Amstelplein 44, 1096 BC Amsterdam</t>
        </is>
      </c>
      <c r="I479" s="2" t="inlineStr">
        <is>
          <t>S2</t>
        </is>
      </c>
      <c r="J479" s="2" t="n">
        <v>207</v>
      </c>
      <c r="K479" s="3" t="inlineStr">
        <is>
          <t>Mondriaantoren, floor 21 &amp; 22, Amstelplein 44,</t>
        </is>
      </c>
      <c r="L479" s="2" t="inlineStr">
        <is>
          <t>pend</t>
        </is>
      </c>
      <c r="M479" s="2" t="n"/>
      <c r="N479" s="2" t="n"/>
      <c r="O479" s="3" t="inlineStr">
        <is>
          <t>https://vanillabonds.com/dossier-data/pdf/fastned/fastned-2024-annual-report.pdf#page=207</t>
        </is>
      </c>
    </row>
    <row r="480">
      <c r="A480" s="2" t="inlineStr">
        <is>
          <t>F479</t>
        </is>
      </c>
      <c r="B480" s="2" t="inlineStr">
        <is>
          <t>identity</t>
        </is>
      </c>
      <c r="C480" s="2" t="inlineStr">
        <is>
          <t>country</t>
        </is>
      </c>
      <c r="D480" s="2" t="inlineStr">
        <is>
          <t>Country of incorporation (ISO-2)</t>
        </is>
      </c>
      <c r="E480" s="2" t="n"/>
      <c r="F480" s="2" t="n"/>
      <c r="G480" s="2" t="n"/>
      <c r="H480" s="2" t="inlineStr">
        <is>
          <t>NL</t>
        </is>
      </c>
      <c r="I480" s="2" t="inlineStr">
        <is>
          <t>S2</t>
        </is>
      </c>
      <c r="J480" s="2" t="n">
        <v>187</v>
      </c>
      <c r="K480" s="2" t="inlineStr">
        <is>
          <t>Company”) based in Amsterdam.</t>
        </is>
      </c>
      <c r="L480" s="2" t="inlineStr">
        <is>
          <t>pend</t>
        </is>
      </c>
      <c r="M480" s="2" t="n"/>
      <c r="N480" s="2" t="n"/>
      <c r="O480" s="3" t="inlineStr">
        <is>
          <t>https://vanillabonds.com/dossier-data/pdf/fastned/fastned-2024-annual-report.pdf#page=187</t>
        </is>
      </c>
    </row>
    <row r="481">
      <c r="A481" s="2" t="inlineStr">
        <is>
          <t>F480</t>
        </is>
      </c>
      <c r="B481" s="2" t="inlineStr">
        <is>
          <t>identity</t>
        </is>
      </c>
      <c r="C481" s="2" t="inlineStr">
        <is>
          <t>sector</t>
        </is>
      </c>
      <c r="D481" s="2" t="inlineStr">
        <is>
          <t>Sector</t>
        </is>
      </c>
      <c r="E481" s="2" t="n"/>
      <c r="F481" s="2" t="n"/>
      <c r="G481" s="2" t="n"/>
      <c r="H481" s="2" t="inlineStr">
        <is>
          <t>EV fast-charging stations (operator)</t>
        </is>
      </c>
      <c r="I481" s="2" t="inlineStr">
        <is>
          <t>S2</t>
        </is>
      </c>
      <c r="J481" s="2" t="n">
        <v>106</v>
      </c>
      <c r="K481" s="3" t="inlineStr">
        <is>
          <t>The principal activity of Fastned B.V. and subsidiaries (the Group) consist of the exploitation of fast charging facilities for fully electric and hybrid cars.</t>
        </is>
      </c>
      <c r="L481" s="2" t="inlineStr">
        <is>
          <t>pend</t>
        </is>
      </c>
      <c r="M481" s="2" t="n"/>
      <c r="N481" s="2" t="n"/>
      <c r="O481" s="3" t="inlineStr">
        <is>
          <t>https://vanillabonds.com/dossier-data/pdf/fastned/fastned-2024-annual-report.pdf#page=106</t>
        </is>
      </c>
    </row>
    <row r="482">
      <c r="A482" s="2" t="inlineStr">
        <is>
          <t>F481</t>
        </is>
      </c>
      <c r="B482" s="2" t="inlineStr">
        <is>
          <t>identity</t>
        </is>
      </c>
      <c r="C482" s="2" t="inlineStr">
        <is>
          <t>sector</t>
        </is>
      </c>
      <c r="D482" s="2" t="inlineStr">
        <is>
          <t>Sector</t>
        </is>
      </c>
      <c r="E482" s="2" t="n"/>
      <c r="F482" s="2" t="n"/>
      <c r="G482" s="2" t="n"/>
      <c r="H482" s="2" t="inlineStr">
        <is>
          <t>EV fast-charging station operator</t>
        </is>
      </c>
      <c r="I482" s="2" t="inlineStr">
        <is>
          <t>S2</t>
        </is>
      </c>
      <c r="J482" s="2" t="n">
        <v>130</v>
      </c>
      <c r="K482" s="3" t="inlineStr">
        <is>
          <t>The business activity of the six operating segments is location acquisition and efficient construction and operation of Fastned charging stations.</t>
        </is>
      </c>
      <c r="L482" s="2" t="inlineStr">
        <is>
          <t>pend</t>
        </is>
      </c>
      <c r="M482" s="2" t="n"/>
      <c r="N482" s="2" t="n"/>
      <c r="O482" s="3" t="inlineStr">
        <is>
          <t>https://vanillabonds.com/dossier-data/pdf/fastned/fastned-2024-annual-report.pdf#page=130</t>
        </is>
      </c>
    </row>
    <row r="483">
      <c r="A483" s="2" t="inlineStr">
        <is>
          <t>F482</t>
        </is>
      </c>
      <c r="B483" s="2" t="inlineStr">
        <is>
          <t>identity</t>
        </is>
      </c>
      <c r="C483" s="2" t="inlineStr">
        <is>
          <t>sites</t>
        </is>
      </c>
      <c r="D483" s="2" t="inlineStr">
        <is>
          <t>Sites / countries of operation</t>
        </is>
      </c>
      <c r="E483" s="2" t="n"/>
      <c r="F483" s="2" t="n"/>
      <c r="G483" s="2" t="n"/>
      <c r="H483" s="3" t="inlineStr">
        <is>
          <t>346 stations in 7 countries (NL, DE, FR, BE, UK, CH, DK)</t>
        </is>
      </c>
      <c r="I483" s="2" t="inlineStr">
        <is>
          <t>S2</t>
        </is>
      </c>
      <c r="J483" s="2" t="n">
        <v>13</v>
      </c>
      <c r="K483" s="3" t="inlineStr">
        <is>
          <t>by the end of 2024, we had 346 fast charging stations operating across seven European countries</t>
        </is>
      </c>
      <c r="L483" s="2" t="inlineStr">
        <is>
          <t>pend</t>
        </is>
      </c>
      <c r="M483" s="2" t="n"/>
      <c r="N483" s="2" t="n"/>
      <c r="O483" s="3" t="inlineStr">
        <is>
          <t>https://vanillabonds.com/dossier-data/pdf/fastned/fastned-2024-annual-report.pdf#page=13</t>
        </is>
      </c>
    </row>
    <row r="484">
      <c r="A484" s="2" t="inlineStr">
        <is>
          <t>F483</t>
        </is>
      </c>
      <c r="B484" s="2" t="inlineStr">
        <is>
          <t>identity</t>
        </is>
      </c>
      <c r="C484" s="2" t="inlineStr">
        <is>
          <t>sites</t>
        </is>
      </c>
      <c r="D484" s="2" t="inlineStr">
        <is>
          <t>Sites / countries of operation</t>
        </is>
      </c>
      <c r="E484" s="2" t="n"/>
      <c r="F484" s="2" t="n"/>
      <c r="G484" s="2" t="n"/>
      <c r="H484" s="3" t="inlineStr">
        <is>
          <t>7 countries; NL DE UK BE FR CH IT ES DK AT subsidiaries</t>
        </is>
      </c>
      <c r="I484" s="2" t="inlineStr">
        <is>
          <t>S2</t>
        </is>
      </c>
      <c r="J484" s="2" t="n">
        <v>133</v>
      </c>
      <c r="K484" s="3" t="inlineStr">
        <is>
          <t>The Group operates in seven countries. There are no customers that account for</t>
        </is>
      </c>
      <c r="L484" s="2" t="inlineStr">
        <is>
          <t>pend</t>
        </is>
      </c>
      <c r="M484" s="2" t="n"/>
      <c r="N484" s="2" t="n"/>
      <c r="O484" s="3" t="inlineStr">
        <is>
          <t>https://vanillabonds.com/dossier-data/pdf/fastned/fastned-2024-annual-report.pdf#page=133</t>
        </is>
      </c>
    </row>
    <row r="485">
      <c r="A485" s="2" t="inlineStr">
        <is>
          <t>F484</t>
        </is>
      </c>
      <c r="B485" s="2" t="inlineStr">
        <is>
          <t>identity</t>
        </is>
      </c>
      <c r="C485" s="2" t="inlineStr">
        <is>
          <t>employees</t>
        </is>
      </c>
      <c r="D485" s="2" t="inlineStr">
        <is>
          <t>Employees (FTE, period end)</t>
        </is>
      </c>
      <c r="E485" s="2" t="inlineStr">
        <is>
          <t>FY2023</t>
        </is>
      </c>
      <c r="F485" s="2" t="n">
        <v>172</v>
      </c>
      <c r="G485" s="2" t="n"/>
      <c r="H485" s="2" t="inlineStr">
        <is>
          <t>Average FTE for the year 2023: 172.</t>
        </is>
      </c>
      <c r="I485" s="2" t="inlineStr">
        <is>
          <t>S2</t>
        </is>
      </c>
      <c r="J485" s="2" t="n">
        <v>134</v>
      </c>
      <c r="K485" s="3" t="inlineStr">
        <is>
          <t>In 2024, the average number of FTEs of the Group was 265 (2023 : 172). In the</t>
        </is>
      </c>
      <c r="L485" s="2" t="inlineStr">
        <is>
          <t>pend</t>
        </is>
      </c>
      <c r="M485" s="2" t="n"/>
      <c r="N485" s="3" t="inlineStr">
        <is>
          <t>conflict: S1·p31 222 vs S1·p123 172 vs S2·p134 172</t>
        </is>
      </c>
      <c r="O485" s="3" t="inlineStr">
        <is>
          <t>https://vanillabonds.com/dossier-data/pdf/fastned/fastned-2024-annual-report.pdf#page=134</t>
        </is>
      </c>
    </row>
    <row r="486">
      <c r="A486" s="2" t="inlineStr">
        <is>
          <t>F485</t>
        </is>
      </c>
      <c r="B486" s="2" t="inlineStr">
        <is>
          <t>identity</t>
        </is>
      </c>
      <c r="C486" s="2" t="inlineStr">
        <is>
          <t>employees</t>
        </is>
      </c>
      <c r="D486" s="2" t="inlineStr">
        <is>
          <t>Employees (FTE, period end)</t>
        </is>
      </c>
      <c r="E486" s="2" t="inlineStr">
        <is>
          <t>FY2024</t>
        </is>
      </c>
      <c r="F486" s="2" t="n">
        <v>333</v>
      </c>
      <c r="G486" s="2" t="n"/>
      <c r="H486" s="3" t="inlineStr">
        <is>
          <t>Headcount 333 at end of 2024 (not stated as FTE); 301 full-time, 32 part-time</t>
        </is>
      </c>
      <c r="I486" s="2" t="inlineStr">
        <is>
          <t>S2</t>
        </is>
      </c>
      <c r="J486" s="2" t="n">
        <v>35</v>
      </c>
      <c r="K486" s="3" t="inlineStr">
        <is>
          <t>We increased our total headcount to 333 as of the end of 2024</t>
        </is>
      </c>
      <c r="L486" s="2" t="inlineStr">
        <is>
          <t>pend</t>
        </is>
      </c>
      <c r="M486" s="2" t="n"/>
      <c r="N486" s="3" t="inlineStr">
        <is>
          <t>conflict: S2·p35 333 vs S2·p134 265 vs S3·p157 265</t>
        </is>
      </c>
      <c r="O486" s="3" t="inlineStr">
        <is>
          <t>https://vanillabonds.com/dossier-data/pdf/fastned/fastned-2024-annual-report.pdf#page=35</t>
        </is>
      </c>
    </row>
    <row r="487">
      <c r="A487" s="2" t="inlineStr">
        <is>
          <t>F486</t>
        </is>
      </c>
      <c r="B487" s="2" t="inlineStr">
        <is>
          <t>identity</t>
        </is>
      </c>
      <c r="C487" s="2" t="inlineStr">
        <is>
          <t>employees</t>
        </is>
      </c>
      <c r="D487" s="2" t="inlineStr">
        <is>
          <t>Employees (FTE, period end)</t>
        </is>
      </c>
      <c r="E487" s="2" t="inlineStr">
        <is>
          <t>FY2024</t>
        </is>
      </c>
      <c r="F487" s="2" t="n">
        <v>265</v>
      </c>
      <c r="G487" s="2" t="n"/>
      <c r="H487" s="3" t="inlineStr">
        <is>
          <t>Average FTE for the year 2024 (period-end figure not given): 265 (2023: 172).</t>
        </is>
      </c>
      <c r="I487" s="2" t="inlineStr">
        <is>
          <t>S2</t>
        </is>
      </c>
      <c r="J487" s="2" t="n">
        <v>134</v>
      </c>
      <c r="K487" s="3" t="inlineStr">
        <is>
          <t>In 2024, the average number of FTEs of the Group was 265 (2023 : 172). In the</t>
        </is>
      </c>
      <c r="L487" s="2" t="inlineStr">
        <is>
          <t>pend</t>
        </is>
      </c>
      <c r="M487" s="2" t="n"/>
      <c r="N487" s="3" t="inlineStr">
        <is>
          <t>conflict: S2·p35 333 vs S2·p134 265 vs S3·p157 265</t>
        </is>
      </c>
      <c r="O487" s="3" t="inlineStr">
        <is>
          <t>https://vanillabonds.com/dossier-data/pdf/fastned/fastned-2024-annual-report.pdf#page=134</t>
        </is>
      </c>
    </row>
    <row r="488">
      <c r="A488" s="2" t="inlineStr">
        <is>
          <t>F487</t>
        </is>
      </c>
      <c r="B488" s="2" t="inlineStr">
        <is>
          <t>identity</t>
        </is>
      </c>
      <c r="C488" s="2" t="inlineStr">
        <is>
          <t>ownership</t>
        </is>
      </c>
      <c r="D488" s="2" t="inlineStr">
        <is>
          <t>Ownership / UBO</t>
        </is>
      </c>
      <c r="E488" s="2" t="n"/>
      <c r="F488" s="2" t="n"/>
      <c r="G488" s="2" t="n"/>
      <c r="H488" s="3" t="inlineStr">
        <is>
          <t>FAST Foundation holds all shares; DRs listed</t>
        </is>
      </c>
      <c r="I488" s="2" t="inlineStr">
        <is>
          <t>S2</t>
        </is>
      </c>
      <c r="J488" s="2" t="n">
        <v>75</v>
      </c>
      <c r="K488" s="3" t="inlineStr">
        <is>
          <t>FAST holds all shares of the Company (including those previously held by the founders and other major shareholders) and issues depository receipts (DRs) for these shares to investors and founders.</t>
        </is>
      </c>
      <c r="L488" s="2" t="inlineStr">
        <is>
          <t>pend</t>
        </is>
      </c>
      <c r="M488" s="2" t="n"/>
      <c r="N488" s="2" t="n"/>
      <c r="O488" s="3" t="inlineStr">
        <is>
          <t>https://vanillabonds.com/dossier-data/pdf/fastned/fastned-2024-annual-report.pdf#page=75</t>
        </is>
      </c>
    </row>
    <row r="489">
      <c r="A489" s="2" t="inlineStr">
        <is>
          <t>F488</t>
        </is>
      </c>
      <c r="B489" s="2" t="inlineStr">
        <is>
          <t>identity</t>
        </is>
      </c>
      <c r="C489" s="2" t="inlineStr">
        <is>
          <t>ownership</t>
        </is>
      </c>
      <c r="D489" s="2" t="inlineStr">
        <is>
          <t>Ownership / UBO</t>
        </is>
      </c>
      <c r="E489" s="2" t="n"/>
      <c r="F489" s="2" t="n"/>
      <c r="G489" s="2" t="n"/>
      <c r="H489" s="3" t="inlineStr">
        <is>
          <t>Shares held by FAST (Fastned Administratie Stichting)</t>
        </is>
      </c>
      <c r="I489" s="2" t="inlineStr">
        <is>
          <t>S2</t>
        </is>
      </c>
      <c r="J489" s="2" t="n">
        <v>127</v>
      </c>
      <c r="K489" s="3" t="inlineStr">
        <is>
          <t>Shares in Fastned B.V. are held by FAST (Fastned Administratie Stichting),</t>
        </is>
      </c>
      <c r="L489" s="2" t="inlineStr">
        <is>
          <t>pend</t>
        </is>
      </c>
      <c r="M489" s="2" t="n"/>
      <c r="N489" s="2" t="n"/>
      <c r="O489" s="3" t="inlineStr">
        <is>
          <t>https://vanillabonds.com/dossier-data/pdf/fastned/fastned-2024-annual-report.pdf#page=127</t>
        </is>
      </c>
    </row>
    <row r="490">
      <c r="A490" s="2" t="inlineStr">
        <is>
          <t>F489</t>
        </is>
      </c>
      <c r="B490" s="2" t="inlineStr">
        <is>
          <t>identity</t>
        </is>
      </c>
      <c r="C490" s="2" t="inlineStr">
        <is>
          <t>ownership</t>
        </is>
      </c>
      <c r="D490" s="2" t="inlineStr">
        <is>
          <t>Ownership / UBO</t>
        </is>
      </c>
      <c r="E490" s="2" t="n"/>
      <c r="F490" s="2" t="n"/>
      <c r="G490" s="2" t="n"/>
      <c r="H490" s="3" t="inlineStr">
        <is>
          <t>Wilhelmina-Dok B.V. (Bart Lubbers) 36.7% (2023: 37.0%)</t>
        </is>
      </c>
      <c r="I490" s="2" t="inlineStr">
        <is>
          <t>S2</t>
        </is>
      </c>
      <c r="J490" s="2" t="n">
        <v>128</v>
      </c>
      <c r="K490" s="3" t="inlineStr">
        <is>
          <t>Wilhelmina-Dok B.V. (Bart Lubbers) 36.7 37.0</t>
        </is>
      </c>
      <c r="L490" s="2" t="inlineStr">
        <is>
          <t>pend</t>
        </is>
      </c>
      <c r="M490" s="2" t="n"/>
      <c r="N490" s="2" t="n"/>
      <c r="O490" s="3" t="inlineStr">
        <is>
          <t>https://vanillabonds.com/dossier-data/pdf/fastned/fastned-2024-annual-report.pdf#page=128</t>
        </is>
      </c>
    </row>
    <row r="491">
      <c r="A491" s="2" t="inlineStr">
        <is>
          <t>F490</t>
        </is>
      </c>
      <c r="B491" s="2" t="inlineStr">
        <is>
          <t>identity</t>
        </is>
      </c>
      <c r="C491" s="2" t="inlineStr">
        <is>
          <t>ownership</t>
        </is>
      </c>
      <c r="D491" s="2" t="inlineStr">
        <is>
          <t>Ownership / UBO</t>
        </is>
      </c>
      <c r="E491" s="2" t="n"/>
      <c r="F491" s="2" t="n"/>
      <c r="G491" s="2" t="n"/>
      <c r="H491" s="3" t="inlineStr">
        <is>
          <t>Carraig Aonair Holding B.V. (Langezaal) 21.3% (2023: 21.5%)</t>
        </is>
      </c>
      <c r="I491" s="2" t="inlineStr">
        <is>
          <t>S2</t>
        </is>
      </c>
      <c r="J491" s="2" t="n">
        <v>128</v>
      </c>
      <c r="K491" s="3" t="inlineStr">
        <is>
          <t>Carraig Aonair Holding B.V. (Michiel Langezaal) 21.3 21.5</t>
        </is>
      </c>
      <c r="L491" s="2" t="inlineStr">
        <is>
          <t>pend</t>
        </is>
      </c>
      <c r="M491" s="2" t="n"/>
      <c r="N491" s="2" t="n"/>
      <c r="O491" s="3" t="inlineStr">
        <is>
          <t>https://vanillabonds.com/dossier-data/pdf/fastned/fastned-2024-annual-report.pdf#page=128</t>
        </is>
      </c>
    </row>
    <row r="492">
      <c r="A492" s="2" t="inlineStr">
        <is>
          <t>F491</t>
        </is>
      </c>
      <c r="B492" s="2" t="inlineStr">
        <is>
          <t>identity</t>
        </is>
      </c>
      <c r="C492" s="2" t="inlineStr">
        <is>
          <t>ownership</t>
        </is>
      </c>
      <c r="D492" s="2" t="inlineStr">
        <is>
          <t>Ownership / UBO</t>
        </is>
      </c>
      <c r="E492" s="2" t="n"/>
      <c r="F492" s="2" t="n"/>
      <c r="G492" s="2" t="n"/>
      <c r="H492" s="3" t="inlineStr">
        <is>
          <t>Breesaap B.V. 5.8% (Bart Lubbers owns 33% of Breesaap)</t>
        </is>
      </c>
      <c r="I492" s="2" t="inlineStr">
        <is>
          <t>S2</t>
        </is>
      </c>
      <c r="J492" s="2" t="n">
        <v>128</v>
      </c>
      <c r="K492" s="3" t="inlineStr">
        <is>
          <t>Furthermore, Bart Lubbers has a 33% share in Breesaap B.V. Breesaap B.V. has 5.8% of shares in Fastned B.V.</t>
        </is>
      </c>
      <c r="L492" s="2" t="inlineStr">
        <is>
          <t>pend</t>
        </is>
      </c>
      <c r="M492" s="2" t="n"/>
      <c r="N492" s="2" t="n"/>
      <c r="O492" s="3" t="inlineStr">
        <is>
          <t>https://vanillabonds.com/dossier-data/pdf/fastned/fastned-2024-annual-report.pdf#page=128</t>
        </is>
      </c>
    </row>
    <row r="493">
      <c r="A493" s="2" t="inlineStr">
        <is>
          <t>F492</t>
        </is>
      </c>
      <c r="B493" s="2" t="inlineStr">
        <is>
          <t>identity</t>
        </is>
      </c>
      <c r="C493" s="2" t="inlineStr">
        <is>
          <t>listing</t>
        </is>
      </c>
      <c r="D493" s="2" t="inlineStr">
        <is>
          <t>Listings (equity, bonds)</t>
        </is>
      </c>
      <c r="E493" s="2" t="n"/>
      <c r="F493" s="2" t="n"/>
      <c r="G493" s="2" t="n"/>
      <c r="H493" s="3" t="inlineStr">
        <is>
          <t>All DRs listed on Euronext Amsterdam; bonds outstanding</t>
        </is>
      </c>
      <c r="I493" s="2" t="inlineStr">
        <is>
          <t>S2</t>
        </is>
      </c>
      <c r="J493" s="2" t="n">
        <v>75</v>
      </c>
      <c r="K493" s="3" t="inlineStr">
        <is>
          <t>All DRs (100% of the Fastned share capital) are listed on Euronext Amsterdam.</t>
        </is>
      </c>
      <c r="L493" s="2" t="inlineStr">
        <is>
          <t>pend</t>
        </is>
      </c>
      <c r="M493" s="2" t="n"/>
      <c r="N493" s="2" t="n"/>
      <c r="O493" s="3" t="inlineStr">
        <is>
          <t>https://vanillabonds.com/dossier-data/pdf/fastned/fastned-2024-annual-report.pdf#page=75</t>
        </is>
      </c>
    </row>
    <row r="494">
      <c r="A494" s="2" t="inlineStr">
        <is>
          <t>F493</t>
        </is>
      </c>
      <c r="B494" s="2" t="inlineStr">
        <is>
          <t>identity</t>
        </is>
      </c>
      <c r="C494" s="2" t="inlineStr">
        <is>
          <t>listing</t>
        </is>
      </c>
      <c r="D494" s="2" t="inlineStr">
        <is>
          <t>Listings (equity, bonds)</t>
        </is>
      </c>
      <c r="E494" s="2" t="n"/>
      <c r="F494" s="2" t="n"/>
      <c r="G494" s="2" t="n"/>
      <c r="H494" s="2" t="inlineStr">
        <is>
          <t>Bonds not registered on any exchange</t>
        </is>
      </c>
      <c r="I494" s="2" t="inlineStr">
        <is>
          <t>S2</t>
        </is>
      </c>
      <c r="J494" s="2" t="n">
        <v>147</v>
      </c>
      <c r="K494" s="3" t="inlineStr">
        <is>
          <t>The bonds are not subordinated and trading is very limited as they are not registered on any exchange.</t>
        </is>
      </c>
      <c r="L494" s="2" t="inlineStr">
        <is>
          <t>pend</t>
        </is>
      </c>
      <c r="M494" s="2" t="n"/>
      <c r="N494" s="2" t="n"/>
      <c r="O494" s="3" t="inlineStr">
        <is>
          <t>https://vanillabonds.com/dossier-data/pdf/fastned/fastned-2024-annual-report.pdf#page=147</t>
        </is>
      </c>
    </row>
    <row r="495">
      <c r="A495" s="2" t="inlineStr">
        <is>
          <t>F494</t>
        </is>
      </c>
      <c r="B495" s="2" t="inlineStr">
        <is>
          <t>identity</t>
        </is>
      </c>
      <c r="C495" s="2" t="inlineStr">
        <is>
          <t>listing</t>
        </is>
      </c>
      <c r="D495" s="2" t="inlineStr">
        <is>
          <t>Listings (equity, bonds)</t>
        </is>
      </c>
      <c r="E495" s="2" t="n"/>
      <c r="F495" s="2" t="n"/>
      <c r="G495" s="2" t="n"/>
      <c r="H495" s="3" t="inlineStr">
        <is>
          <t>Depositary receipts traded on a stock exchange</t>
        </is>
      </c>
      <c r="I495" s="2" t="inlineStr">
        <is>
          <t>S2</t>
        </is>
      </c>
      <c r="J495" s="2" t="n">
        <v>161</v>
      </c>
      <c r="K495" s="3" t="inlineStr">
        <is>
          <t>equal to the average price of a DR on the relevant stock exchange during the 90</t>
        </is>
      </c>
      <c r="L495" s="2" t="inlineStr">
        <is>
          <t>pend</t>
        </is>
      </c>
      <c r="M495" s="2" t="n"/>
      <c r="N495" s="2" t="n"/>
      <c r="O495" s="3" t="inlineStr">
        <is>
          <t>https://vanillabonds.com/dossier-data/pdf/fastned/fastned-2024-annual-report.pdf#page=161</t>
        </is>
      </c>
    </row>
    <row r="496">
      <c r="A496" s="2" t="inlineStr">
        <is>
          <t>F495</t>
        </is>
      </c>
      <c r="B496" s="2" t="inlineStr">
        <is>
          <t>identity</t>
        </is>
      </c>
      <c r="C496" s="2" t="inlineStr">
        <is>
          <t>listing</t>
        </is>
      </c>
      <c r="D496" s="2" t="inlineStr">
        <is>
          <t>Listings (equity, bonds)</t>
        </is>
      </c>
      <c r="E496" s="2" t="n"/>
      <c r="F496" s="2" t="n"/>
      <c r="G496" s="2" t="n"/>
      <c r="H496" s="2" t="inlineStr">
        <is>
          <t>Group files with Euronext</t>
        </is>
      </c>
      <c r="I496" s="2" t="inlineStr">
        <is>
          <t>S2</t>
        </is>
      </c>
      <c r="J496" s="2" t="n">
        <v>198</v>
      </c>
      <c r="K496" s="3" t="inlineStr">
        <is>
          <t>described in the Group’s filings with Euronext.</t>
        </is>
      </c>
      <c r="L496" s="2" t="inlineStr">
        <is>
          <t>pend</t>
        </is>
      </c>
      <c r="M496" s="2" t="n"/>
      <c r="N496" s="2" t="n"/>
      <c r="O496" s="3" t="inlineStr">
        <is>
          <t>https://vanillabonds.com/dossier-data/pdf/fastned/fastned-2024-annual-report.pdf#page=198</t>
        </is>
      </c>
    </row>
    <row r="497">
      <c r="A497" s="2" t="inlineStr">
        <is>
          <t>F496</t>
        </is>
      </c>
      <c r="B497" s="2" t="inlineStr">
        <is>
          <t>identity</t>
        </is>
      </c>
      <c r="C497" s="2" t="inlineStr">
        <is>
          <t>auditor</t>
        </is>
      </c>
      <c r="D497" s="2" t="inlineStr">
        <is>
          <t>Auditor</t>
        </is>
      </c>
      <c r="E497" s="2" t="n"/>
      <c r="F497" s="2" t="n"/>
      <c r="G497" s="2" t="n"/>
      <c r="H497" s="2" t="inlineStr">
        <is>
          <t>BDO Audit &amp; Assurance B.V.</t>
        </is>
      </c>
      <c r="I497" s="2" t="inlineStr">
        <is>
          <t>S2</t>
        </is>
      </c>
      <c r="J497" s="2" t="n">
        <v>167</v>
      </c>
      <c r="K497" s="3" t="inlineStr">
        <is>
          <t>Group auditor for 2024 is BDO Audit &amp; Assurance B.V. (2023: BDO Audit &amp;</t>
        </is>
      </c>
      <c r="L497" s="2" t="inlineStr">
        <is>
          <t>pend</t>
        </is>
      </c>
      <c r="M497" s="2" t="n"/>
      <c r="N497" s="2" t="n"/>
      <c r="O497" s="3" t="inlineStr">
        <is>
          <t>https://vanillabonds.com/dossier-data/pdf/fastned/fastned-2024-annual-report.pdf#page=167</t>
        </is>
      </c>
    </row>
    <row r="498">
      <c r="A498" s="2" t="inlineStr">
        <is>
          <t>F497</t>
        </is>
      </c>
      <c r="B498" s="2" t="inlineStr">
        <is>
          <t>identity</t>
        </is>
      </c>
      <c r="C498" s="2" t="inlineStr">
        <is>
          <t>audit_opinion</t>
        </is>
      </c>
      <c r="D498" s="2" t="inlineStr">
        <is>
          <t>Audit opinion</t>
        </is>
      </c>
      <c r="E498" s="2" t="inlineStr">
        <is>
          <t>FY2024</t>
        </is>
      </c>
      <c r="F498" s="2" t="n"/>
      <c r="G498" s="2" t="n"/>
      <c r="H498" s="3" t="inlineStr">
        <is>
          <t>unqualified (as stated by the Supervisory Board; auditor's report in part 2)</t>
        </is>
      </c>
      <c r="I498" s="2" t="inlineStr">
        <is>
          <t>S2</t>
        </is>
      </c>
      <c r="J498" s="2" t="n">
        <v>87</v>
      </c>
      <c r="K498" s="3" t="inlineStr">
        <is>
          <t>Attached to these statements is the unqualified independent auditor’s report from BDO Audit &amp; Assurance B.V..</t>
        </is>
      </c>
      <c r="L498" s="2" t="inlineStr">
        <is>
          <t>pend</t>
        </is>
      </c>
      <c r="M498" s="2" t="n"/>
      <c r="N498" s="2" t="n"/>
      <c r="O498" s="3" t="inlineStr">
        <is>
          <t>https://vanillabonds.com/dossier-data/pdf/fastned/fastned-2024-annual-report.pdf#page=87</t>
        </is>
      </c>
    </row>
    <row r="499">
      <c r="A499" s="2" t="inlineStr">
        <is>
          <t>F498</t>
        </is>
      </c>
      <c r="B499" s="2" t="inlineStr">
        <is>
          <t>identity</t>
        </is>
      </c>
      <c r="C499" s="2" t="inlineStr">
        <is>
          <t>audit_opinion</t>
        </is>
      </c>
      <c r="D499" s="2" t="inlineStr">
        <is>
          <t>Audit opinion</t>
        </is>
      </c>
      <c r="E499" s="2" t="inlineStr">
        <is>
          <t>FY2024</t>
        </is>
      </c>
      <c r="F499" s="2" t="n"/>
      <c r="G499" s="2" t="n"/>
      <c r="H499" s="3" t="inlineStr">
        <is>
          <t>unqualified; no emphasis of matter; auditor concluded 'no material uncertainty' on going concern (p189)</t>
        </is>
      </c>
      <c r="I499" s="2" t="inlineStr">
        <is>
          <t>S2</t>
        </is>
      </c>
      <c r="J499" s="2" t="n">
        <v>187</v>
      </c>
      <c r="K499" s="3" t="inlineStr">
        <is>
          <t>the accompanying consolidated financial statements give a true and fair view</t>
        </is>
      </c>
      <c r="L499" s="2" t="inlineStr">
        <is>
          <t>pend</t>
        </is>
      </c>
      <c r="M499" s="2" t="n"/>
      <c r="N499" s="2" t="n"/>
      <c r="O499" s="3" t="inlineStr">
        <is>
          <t>https://vanillabonds.com/dossier-data/pdf/fastned/fastned-2024-annual-report.pdf#page=187</t>
        </is>
      </c>
    </row>
    <row r="500">
      <c r="A500" s="2" t="inlineStr">
        <is>
          <t>F499</t>
        </is>
      </c>
      <c r="B500" s="2" t="inlineStr">
        <is>
          <t>identity</t>
        </is>
      </c>
      <c r="C500" s="2" t="inlineStr">
        <is>
          <t>accounting_standard</t>
        </is>
      </c>
      <c r="D500" s="2" t="inlineStr">
        <is>
          <t>Accounting standard</t>
        </is>
      </c>
      <c r="E500" s="2" t="n"/>
      <c r="F500" s="2" t="n"/>
      <c r="G500" s="2" t="n"/>
      <c r="H500" s="3" t="inlineStr">
        <is>
          <t>IFRS as adopted by the EU; Part 9 Book 2 Dutch Civil Code</t>
        </is>
      </c>
      <c r="I500" s="2" t="inlineStr">
        <is>
          <t>S2</t>
        </is>
      </c>
      <c r="J500" s="2" t="n">
        <v>106</v>
      </c>
      <c r="K500" s="3" t="inlineStr">
        <is>
          <t>The financial statements have been prepared in accordance with International Financial Reporting Standards (IFRS) as adopted by the European Union (EU).</t>
        </is>
      </c>
      <c r="L500" s="2" t="inlineStr">
        <is>
          <t>pend</t>
        </is>
      </c>
      <c r="M500" s="2" t="n"/>
      <c r="N500" s="2" t="n"/>
      <c r="O500" s="3" t="inlineStr">
        <is>
          <t>https://vanillabonds.com/dossier-data/pdf/fastned/fastned-2024-annual-report.pdf#page=106</t>
        </is>
      </c>
    </row>
    <row r="501">
      <c r="A501" s="2" t="inlineStr">
        <is>
          <t>F500</t>
        </is>
      </c>
      <c r="B501" s="2" t="inlineStr">
        <is>
          <t>identity</t>
        </is>
      </c>
      <c r="C501" s="2" t="inlineStr">
        <is>
          <t>accounting_standard</t>
        </is>
      </c>
      <c r="D501" s="2" t="inlineStr">
        <is>
          <t>Accounting standard</t>
        </is>
      </c>
      <c r="E501" s="2" t="n"/>
      <c r="F501" s="2" t="n"/>
      <c r="G501" s="2" t="n"/>
      <c r="H501" s="3" t="inlineStr">
        <is>
          <t>EU-IFRS and Part 9 Book 2 Dutch Civil Code</t>
        </is>
      </c>
      <c r="I501" s="2" t="inlineStr">
        <is>
          <t>S2</t>
        </is>
      </c>
      <c r="J501" s="2" t="n">
        <v>171</v>
      </c>
      <c r="K501" s="3" t="inlineStr">
        <is>
          <t>These financial statements have been prepared in accordance with International Financial Reporting Standards (IFRSs) as adopted by the European Union (EU) and</t>
        </is>
      </c>
      <c r="L501" s="2" t="inlineStr">
        <is>
          <t>pend</t>
        </is>
      </c>
      <c r="M501" s="2" t="n"/>
      <c r="N501" s="2" t="n"/>
      <c r="O501" s="3" t="inlineStr">
        <is>
          <t>https://vanillabonds.com/dossier-data/pdf/fastned/fastned-2024-annual-report.pdf#page=171</t>
        </is>
      </c>
    </row>
    <row r="502">
      <c r="A502" s="2" t="inlineStr">
        <is>
          <t>F501</t>
        </is>
      </c>
      <c r="B502" s="2" t="inlineStr">
        <is>
          <t>identity</t>
        </is>
      </c>
      <c r="C502" s="2" t="inlineStr">
        <is>
          <t>fiscal_year_end</t>
        </is>
      </c>
      <c r="D502" s="2" t="inlineStr">
        <is>
          <t>Fiscal year end</t>
        </is>
      </c>
      <c r="E502" s="2" t="n"/>
      <c r="F502" s="2" t="n"/>
      <c r="G502" s="2" t="n"/>
      <c r="H502" s="2" t="inlineStr">
        <is>
          <t>31 December</t>
        </is>
      </c>
      <c r="I502" s="2" t="inlineStr">
        <is>
          <t>S2</t>
        </is>
      </c>
      <c r="J502" s="2" t="n">
        <v>171</v>
      </c>
      <c r="K502" s="2" t="inlineStr">
        <is>
          <t>for the year ended 31 December 2024</t>
        </is>
      </c>
      <c r="L502" s="2" t="inlineStr">
        <is>
          <t>pend</t>
        </is>
      </c>
      <c r="M502" s="2" t="n"/>
      <c r="N502" s="2" t="n"/>
      <c r="O502" s="3" t="inlineStr">
        <is>
          <t>https://vanillabonds.com/dossier-data/pdf/fastned/fastned-2024-annual-report.pdf#page=171</t>
        </is>
      </c>
    </row>
    <row r="503">
      <c r="A503" s="2" t="inlineStr">
        <is>
          <t>F502</t>
        </is>
      </c>
      <c r="B503" s="2" t="inlineStr">
        <is>
          <t>business</t>
        </is>
      </c>
      <c r="C503" s="2" t="inlineStr">
        <is>
          <t>business_fact</t>
        </is>
      </c>
      <c r="D503" s="2" t="inlineStr">
        <is>
          <t>Business fact</t>
        </is>
      </c>
      <c r="E503" s="2" t="n"/>
      <c r="F503" s="2" t="n"/>
      <c r="G503" s="2" t="n"/>
      <c r="H503" s="3" t="inlineStr">
        <is>
          <t>Key figures 2024: 2,109 chargers (+23%), 5.4 million charging sessions (+35%), 703.7 million electric km (+40%), 140.7 GWh energy sold (+41%), uptime &gt;99%.</t>
        </is>
      </c>
      <c r="I503" s="2" t="inlineStr">
        <is>
          <t>S2</t>
        </is>
      </c>
      <c r="J503" s="2" t="n">
        <v>5</v>
      </c>
      <c r="K503" s="3" t="inlineStr">
        <is>
          <t>Electric kilometres powered Chargers Charging sessions 703.7 million 2,109 5.4 million</t>
        </is>
      </c>
      <c r="L503" s="2" t="inlineStr">
        <is>
          <t>pend</t>
        </is>
      </c>
      <c r="M503" s="2" t="n"/>
      <c r="N503" s="2" t="n"/>
      <c r="O503" s="3" t="inlineStr">
        <is>
          <t>https://vanillabonds.com/dossier-data/pdf/fastned/fastned-2024-annual-report.pdf#page=5</t>
        </is>
      </c>
    </row>
    <row r="504">
      <c r="A504" s="2" t="inlineStr">
        <is>
          <t>F503</t>
        </is>
      </c>
      <c r="B504" s="2" t="inlineStr">
        <is>
          <t>business</t>
        </is>
      </c>
      <c r="C504" s="2" t="inlineStr">
        <is>
          <t>business_fact</t>
        </is>
      </c>
      <c r="D504" s="2" t="inlineStr">
        <is>
          <t>Business fact</t>
        </is>
      </c>
      <c r="E504" s="2" t="n"/>
      <c r="F504" s="2" t="n"/>
      <c r="G504" s="2" t="n"/>
      <c r="H504" s="3" t="inlineStr">
        <is>
          <t>Electric truck charging piloted at selected stations in Switzerland and Belgium in 2024.</t>
        </is>
      </c>
      <c r="I504" s="2" t="inlineStr">
        <is>
          <t>S2</t>
        </is>
      </c>
      <c r="J504" s="2" t="n">
        <v>8</v>
      </c>
      <c r="K504" s="3" t="inlineStr">
        <is>
          <t>in 2024 we began piloting electric truck charging at selected stations in Switzerland and Belgium.</t>
        </is>
      </c>
      <c r="L504" s="2" t="inlineStr">
        <is>
          <t>pend</t>
        </is>
      </c>
      <c r="M504" s="2" t="n"/>
      <c r="N504" s="2" t="n"/>
      <c r="O504" s="3" t="inlineStr">
        <is>
          <t>https://vanillabonds.com/dossier-data/pdf/fastned/fastned-2024-annual-report.pdf#page=8</t>
        </is>
      </c>
    </row>
    <row r="505">
      <c r="A505" s="2" t="inlineStr">
        <is>
          <t>F504</t>
        </is>
      </c>
      <c r="B505" s="2" t="inlineStr">
        <is>
          <t>business</t>
        </is>
      </c>
      <c r="C505" s="2" t="inlineStr">
        <is>
          <t>business_fact</t>
        </is>
      </c>
      <c r="D505" s="2" t="inlineStr">
        <is>
          <t>Business fact</t>
        </is>
      </c>
      <c r="E505" s="2" t="n"/>
      <c r="F505" s="2" t="n"/>
      <c r="G505" s="2" t="n"/>
      <c r="H505" s="3" t="inlineStr">
        <is>
          <t>CEO statement: the average station's 2024 EBITDA margin was 'around 40%' and Fastned is 'a top-three European charging company' (company statement).</t>
        </is>
      </c>
      <c r="I505" s="2" t="inlineStr">
        <is>
          <t>S2</t>
        </is>
      </c>
      <c r="J505" s="2" t="n">
        <v>9</v>
      </c>
      <c r="K505" s="3" t="inlineStr">
        <is>
          <t>with EBITDAs in 2024 around 40% the profitability of our average station in 2024 has been healthy, already delivering industry-leading returns.</t>
        </is>
      </c>
      <c r="L505" s="2" t="inlineStr">
        <is>
          <t>pend</t>
        </is>
      </c>
      <c r="M505" s="2" t="n"/>
      <c r="N505" s="2" t="n"/>
      <c r="O505" s="3" t="inlineStr">
        <is>
          <t>https://vanillabonds.com/dossier-data/pdf/fastned/fastned-2024-annual-report.pdf#page=9</t>
        </is>
      </c>
    </row>
    <row r="506">
      <c r="A506" s="2" t="inlineStr">
        <is>
          <t>F505</t>
        </is>
      </c>
      <c r="B506" s="2" t="inlineStr">
        <is>
          <t>business</t>
        </is>
      </c>
      <c r="C506" s="2" t="inlineStr">
        <is>
          <t>business_fact</t>
        </is>
      </c>
      <c r="D506" s="2" t="inlineStr">
        <is>
          <t>Business fact</t>
        </is>
      </c>
      <c r="E506" s="2" t="n"/>
      <c r="F506" s="2" t="n"/>
      <c r="G506" s="2" t="n"/>
      <c r="H506" s="3" t="inlineStr">
        <is>
          <t>Fastned describes itself as a 'pure-player' EV fast-charging company whose sole business is EV fast-charging.</t>
        </is>
      </c>
      <c r="I506" s="2" t="inlineStr">
        <is>
          <t>S2</t>
        </is>
      </c>
      <c r="J506" s="2" t="n">
        <v>13</v>
      </c>
      <c r="K506" s="3" t="inlineStr">
        <is>
          <t>charging company - our sole business is EV fast-charging.</t>
        </is>
      </c>
      <c r="L506" s="2" t="inlineStr">
        <is>
          <t>pend</t>
        </is>
      </c>
      <c r="M506" s="2" t="n"/>
      <c r="N506" s="2" t="n"/>
      <c r="O506" s="3" t="inlineStr">
        <is>
          <t>https://vanillabonds.com/dossier-data/pdf/fastned/fastned-2024-annual-report.pdf#page=13</t>
        </is>
      </c>
    </row>
    <row r="507">
      <c r="A507" s="2" t="inlineStr">
        <is>
          <t>F506</t>
        </is>
      </c>
      <c r="B507" s="2" t="inlineStr">
        <is>
          <t>business</t>
        </is>
      </c>
      <c r="C507" s="2" t="inlineStr">
        <is>
          <t>business_fact</t>
        </is>
      </c>
      <c r="D507" s="2" t="inlineStr">
        <is>
          <t>Business fact</t>
        </is>
      </c>
      <c r="E507" s="2" t="n"/>
      <c r="F507" s="2" t="n"/>
      <c r="G507" s="2" t="n"/>
      <c r="H507" s="3" t="inlineStr">
        <is>
          <t>Total locations operational or secured at year-end 2024: 569; target 1,000 stations by 2030.</t>
        </is>
      </c>
      <c r="I507" s="2" t="inlineStr">
        <is>
          <t>S2</t>
        </is>
      </c>
      <c r="J507" s="2" t="n">
        <v>13</v>
      </c>
      <c r="K507" s="3" t="inlineStr">
        <is>
          <t>with 569 locations already operational or secured for development by year-end 2024, we remain on track to reach this goal.</t>
        </is>
      </c>
      <c r="L507" s="2" t="inlineStr">
        <is>
          <t>pend</t>
        </is>
      </c>
      <c r="M507" s="2" t="n"/>
      <c r="N507" s="2" t="n"/>
      <c r="O507" s="3" t="inlineStr">
        <is>
          <t>https://vanillabonds.com/dossier-data/pdf/fastned/fastned-2024-annual-report.pdf#page=13</t>
        </is>
      </c>
    </row>
    <row r="508">
      <c r="A508" s="2" t="inlineStr">
        <is>
          <t>F507</t>
        </is>
      </c>
      <c r="B508" s="2" t="inlineStr">
        <is>
          <t>business</t>
        </is>
      </c>
      <c r="C508" s="2" t="inlineStr">
        <is>
          <t>business_fact</t>
        </is>
      </c>
      <c r="D508" s="2" t="inlineStr">
        <is>
          <t>Business fact</t>
        </is>
      </c>
      <c r="E508" s="2" t="n"/>
      <c r="F508" s="2" t="n"/>
      <c r="G508" s="2" t="n"/>
      <c r="H508" s="3" t="inlineStr">
        <is>
          <t>In 2024 Fastned opened 50 new stations in seven countries and secured 139 further locations; 346 stations with over 2,000 charging points at year end.</t>
        </is>
      </c>
      <c r="I508" s="2" t="inlineStr">
        <is>
          <t>S2</t>
        </is>
      </c>
      <c r="J508" s="2" t="n">
        <v>16</v>
      </c>
      <c r="K508" s="3" t="inlineStr">
        <is>
          <t>charging stations across seven countries, while securing another 139 locations for future construction.</t>
        </is>
      </c>
      <c r="L508" s="2" t="inlineStr">
        <is>
          <t>pend</t>
        </is>
      </c>
      <c r="M508" s="2" t="n"/>
      <c r="N508" s="2" t="n"/>
      <c r="O508" s="3" t="inlineStr">
        <is>
          <t>https://vanillabonds.com/dossier-data/pdf/fastned/fastned-2024-annual-report.pdf#page=16</t>
        </is>
      </c>
    </row>
    <row r="509">
      <c r="A509" s="2" t="inlineStr">
        <is>
          <t>F508</t>
        </is>
      </c>
      <c r="B509" s="2" t="inlineStr">
        <is>
          <t>business</t>
        </is>
      </c>
      <c r="C509" s="2" t="inlineStr">
        <is>
          <t>business_fact</t>
        </is>
      </c>
      <c r="D509" s="2" t="inlineStr">
        <is>
          <t>Business fact</t>
        </is>
      </c>
      <c r="E509" s="2" t="n"/>
      <c r="F509" s="2" t="n"/>
      <c r="G509" s="2" t="n"/>
      <c r="H509" s="3" t="inlineStr">
        <is>
          <t>Locations secured in 2024: 75 on private land and 64 on public land; by country 50 Germany, 19 France, 17 UK, 16 Switzerland, 13 Belgium.</t>
        </is>
      </c>
      <c r="I509" s="2" t="inlineStr">
        <is>
          <t>S2</t>
        </is>
      </c>
      <c r="J509" s="2" t="n">
        <v>16</v>
      </c>
      <c r="K509" s="3" t="inlineStr">
        <is>
          <t>In 2024 this trend continued, with 75 private locations secured alongside 64 public locations.</t>
        </is>
      </c>
      <c r="L509" s="2" t="inlineStr">
        <is>
          <t>pend</t>
        </is>
      </c>
      <c r="M509" s="2" t="n"/>
      <c r="N509" s="2" t="n"/>
      <c r="O509" s="3" t="inlineStr">
        <is>
          <t>https://vanillabonds.com/dossier-data/pdf/fastned/fastned-2024-annual-report.pdf#page=16</t>
        </is>
      </c>
    </row>
    <row r="510">
      <c r="A510" s="2" t="inlineStr">
        <is>
          <t>F509</t>
        </is>
      </c>
      <c r="B510" s="2" t="inlineStr">
        <is>
          <t>business</t>
        </is>
      </c>
      <c r="C510" s="2" t="inlineStr">
        <is>
          <t>business_fact</t>
        </is>
      </c>
      <c r="D510" s="2" t="inlineStr">
        <is>
          <t>Business fact</t>
        </is>
      </c>
      <c r="E510" s="2" t="n"/>
      <c r="F510" s="2" t="n"/>
      <c r="G510" s="2" t="n"/>
      <c r="H510" s="3" t="inlineStr">
        <is>
          <t>Netherlands: 181 active stations, 14 new in 2024, 10 locations secured in 2024.</t>
        </is>
      </c>
      <c r="I510" s="2" t="inlineStr">
        <is>
          <t>S2</t>
        </is>
      </c>
      <c r="J510" s="2" t="n">
        <v>22</v>
      </c>
      <c r="K510" s="3" t="inlineStr">
        <is>
          <t>Total active stations: 181 New stations in 2024: 14 New locations secured in 2024: 10</t>
        </is>
      </c>
      <c r="L510" s="2" t="inlineStr">
        <is>
          <t>pend</t>
        </is>
      </c>
      <c r="M510" s="2" t="n"/>
      <c r="N510" s="2" t="n"/>
      <c r="O510" s="3" t="inlineStr">
        <is>
          <t>https://vanillabonds.com/dossier-data/pdf/fastned/fastned-2024-annual-report.pdf#page=22</t>
        </is>
      </c>
    </row>
    <row r="511">
      <c r="A511" s="2" t="inlineStr">
        <is>
          <t>F510</t>
        </is>
      </c>
      <c r="B511" s="2" t="inlineStr">
        <is>
          <t>business</t>
        </is>
      </c>
      <c r="C511" s="2" t="inlineStr">
        <is>
          <t>business_fact</t>
        </is>
      </c>
      <c r="D511" s="2" t="inlineStr">
        <is>
          <t>Business fact</t>
        </is>
      </c>
      <c r="E511" s="2" t="n"/>
      <c r="F511" s="2" t="n"/>
      <c r="G511" s="2" t="n"/>
      <c r="H511" s="3" t="inlineStr">
        <is>
          <t>Germany: 42 active stations, 3 new in 2024, 50 locations secured in 2024.</t>
        </is>
      </c>
      <c r="I511" s="2" t="inlineStr">
        <is>
          <t>S2</t>
        </is>
      </c>
      <c r="J511" s="2" t="n">
        <v>23</v>
      </c>
      <c r="K511" s="3" t="inlineStr">
        <is>
          <t>Total active stations: 42 New stations in 2024: 3 New locations secured in 2024: 50</t>
        </is>
      </c>
      <c r="L511" s="2" t="inlineStr">
        <is>
          <t>pend</t>
        </is>
      </c>
      <c r="M511" s="2" t="n"/>
      <c r="N511" s="2" t="n"/>
      <c r="O511" s="3" t="inlineStr">
        <is>
          <t>https://vanillabonds.com/dossier-data/pdf/fastned/fastned-2024-annual-report.pdf#page=23</t>
        </is>
      </c>
    </row>
    <row r="512">
      <c r="A512" s="2" t="inlineStr">
        <is>
          <t>F511</t>
        </is>
      </c>
      <c r="B512" s="2" t="inlineStr">
        <is>
          <t>business</t>
        </is>
      </c>
      <c r="C512" s="2" t="inlineStr">
        <is>
          <t>business_fact</t>
        </is>
      </c>
      <c r="D512" s="2" t="inlineStr">
        <is>
          <t>Business fact</t>
        </is>
      </c>
      <c r="E512" s="2" t="n"/>
      <c r="F512" s="2" t="n"/>
      <c r="G512" s="2" t="n"/>
      <c r="H512" s="3" t="inlineStr">
        <is>
          <t>France: 44 active stations, 6 new in 2024, 19 locations secured in 2024.</t>
        </is>
      </c>
      <c r="I512" s="2" t="inlineStr">
        <is>
          <t>S2</t>
        </is>
      </c>
      <c r="J512" s="2" t="n">
        <v>24</v>
      </c>
      <c r="K512" s="3" t="inlineStr">
        <is>
          <t>Total active stations: 44 New stations in 2024: 6 New locations secured in 2024: 19</t>
        </is>
      </c>
      <c r="L512" s="2" t="inlineStr">
        <is>
          <t>pend</t>
        </is>
      </c>
      <c r="M512" s="2" t="n"/>
      <c r="N512" s="2" t="n"/>
      <c r="O512" s="3" t="inlineStr">
        <is>
          <t>https://vanillabonds.com/dossier-data/pdf/fastned/fastned-2024-annual-report.pdf#page=24</t>
        </is>
      </c>
    </row>
    <row r="513">
      <c r="A513" s="2" t="inlineStr">
        <is>
          <t>F512</t>
        </is>
      </c>
      <c r="B513" s="2" t="inlineStr">
        <is>
          <t>business</t>
        </is>
      </c>
      <c r="C513" s="2" t="inlineStr">
        <is>
          <t>business_fact</t>
        </is>
      </c>
      <c r="D513" s="2" t="inlineStr">
        <is>
          <t>Business fact</t>
        </is>
      </c>
      <c r="E513" s="2" t="n"/>
      <c r="F513" s="2" t="n"/>
      <c r="G513" s="2" t="n"/>
      <c r="H513" s="3" t="inlineStr">
        <is>
          <t>Belgium: 36 active stations, 12 new in 2024, 13 locations secured in 2024.</t>
        </is>
      </c>
      <c r="I513" s="2" t="inlineStr">
        <is>
          <t>S2</t>
        </is>
      </c>
      <c r="J513" s="2" t="n">
        <v>25</v>
      </c>
      <c r="K513" s="3" t="inlineStr">
        <is>
          <t>Total active stations: 36 New stations in 2024: 12 New locations secured in 2024: 13</t>
        </is>
      </c>
      <c r="L513" s="2" t="inlineStr">
        <is>
          <t>pend</t>
        </is>
      </c>
      <c r="M513" s="2" t="n"/>
      <c r="N513" s="2" t="n"/>
      <c r="O513" s="3" t="inlineStr">
        <is>
          <t>https://vanillabonds.com/dossier-data/pdf/fastned/fastned-2024-annual-report.pdf#page=25</t>
        </is>
      </c>
    </row>
    <row r="514">
      <c r="A514" s="2" t="inlineStr">
        <is>
          <t>F513</t>
        </is>
      </c>
      <c r="B514" s="2" t="inlineStr">
        <is>
          <t>business</t>
        </is>
      </c>
      <c r="C514" s="2" t="inlineStr">
        <is>
          <t>business_fact</t>
        </is>
      </c>
      <c r="D514" s="2" t="inlineStr">
        <is>
          <t>Business fact</t>
        </is>
      </c>
      <c r="E514" s="2" t="n"/>
      <c r="F514" s="2" t="n"/>
      <c r="G514" s="2" t="n"/>
      <c r="H514" s="3" t="inlineStr">
        <is>
          <t>United Kingdom: 30 active stations, 8 new in 2024, 17 locations secured in 2024.</t>
        </is>
      </c>
      <c r="I514" s="2" t="inlineStr">
        <is>
          <t>S2</t>
        </is>
      </c>
      <c r="J514" s="2" t="n">
        <v>26</v>
      </c>
      <c r="K514" s="3" t="inlineStr">
        <is>
          <t>Total active stations: 30 New stations in 2024: 8 New locations secured in 2024: 17</t>
        </is>
      </c>
      <c r="L514" s="2" t="inlineStr">
        <is>
          <t>pend</t>
        </is>
      </c>
      <c r="M514" s="2" t="n"/>
      <c r="N514" s="2" t="n"/>
      <c r="O514" s="3" t="inlineStr">
        <is>
          <t>https://vanillabonds.com/dossier-data/pdf/fastned/fastned-2024-annual-report.pdf#page=26</t>
        </is>
      </c>
    </row>
    <row r="515">
      <c r="A515" s="2" t="inlineStr">
        <is>
          <t>F514</t>
        </is>
      </c>
      <c r="B515" s="2" t="inlineStr">
        <is>
          <t>business</t>
        </is>
      </c>
      <c r="C515" s="2" t="inlineStr">
        <is>
          <t>business_fact</t>
        </is>
      </c>
      <c r="D515" s="2" t="inlineStr">
        <is>
          <t>Business fact</t>
        </is>
      </c>
      <c r="E515" s="2" t="n"/>
      <c r="F515" s="2" t="n"/>
      <c r="G515" s="2" t="n"/>
      <c r="H515" s="3" t="inlineStr">
        <is>
          <t>Switzerland: 10 active stations, 3 new in 2024, 16 locations secured in 2024.</t>
        </is>
      </c>
      <c r="I515" s="2" t="inlineStr">
        <is>
          <t>S2</t>
        </is>
      </c>
      <c r="J515" s="2" t="n">
        <v>27</v>
      </c>
      <c r="K515" s="3" t="inlineStr">
        <is>
          <t>Total active stations: 10 New stations in 2024: 3 New locations secured in 2024: 16</t>
        </is>
      </c>
      <c r="L515" s="2" t="inlineStr">
        <is>
          <t>pend</t>
        </is>
      </c>
      <c r="M515" s="2" t="n"/>
      <c r="N515" s="2" t="n"/>
      <c r="O515" s="3" t="inlineStr">
        <is>
          <t>https://vanillabonds.com/dossier-data/pdf/fastned/fastned-2024-annual-report.pdf#page=27</t>
        </is>
      </c>
    </row>
    <row r="516">
      <c r="A516" s="2" t="inlineStr">
        <is>
          <t>F515</t>
        </is>
      </c>
      <c r="B516" s="2" t="inlineStr">
        <is>
          <t>business</t>
        </is>
      </c>
      <c r="C516" s="2" t="inlineStr">
        <is>
          <t>business_fact</t>
        </is>
      </c>
      <c r="D516" s="2" t="inlineStr">
        <is>
          <t>Business fact</t>
        </is>
      </c>
      <c r="E516" s="2" t="n"/>
      <c r="F516" s="2" t="n"/>
      <c r="G516" s="2" t="n"/>
      <c r="H516" s="3" t="inlineStr">
        <is>
          <t>Denmark: 3 active stations, 2 new in 2024, 2 locations secured in 2024; Italy 5 and Spain 7 locations secured, first stations in 2025.</t>
        </is>
      </c>
      <c r="I516" s="2" t="inlineStr">
        <is>
          <t>S2</t>
        </is>
      </c>
      <c r="J516" s="2" t="n">
        <v>30</v>
      </c>
      <c r="K516" s="3" t="inlineStr">
        <is>
          <t>Total active stations: 3 New stations in 2024: 2 New locations secured in 2024: 2</t>
        </is>
      </c>
      <c r="L516" s="2" t="inlineStr">
        <is>
          <t>pend</t>
        </is>
      </c>
      <c r="M516" s="2" t="n"/>
      <c r="N516" s="2" t="n"/>
      <c r="O516" s="3" t="inlineStr">
        <is>
          <t>https://vanillabonds.com/dossier-data/pdf/fastned/fastned-2024-annual-report.pdf#page=30</t>
        </is>
      </c>
    </row>
    <row r="517">
      <c r="A517" s="2" t="inlineStr">
        <is>
          <t>F516</t>
        </is>
      </c>
      <c r="B517" s="2" t="inlineStr">
        <is>
          <t>business</t>
        </is>
      </c>
      <c r="C517" s="2" t="inlineStr">
        <is>
          <t>business_fact</t>
        </is>
      </c>
      <c r="D517" s="2" t="inlineStr">
        <is>
          <t>Business fact</t>
        </is>
      </c>
      <c r="E517" s="2" t="n"/>
      <c r="F517" s="2" t="n"/>
      <c r="G517" s="2" t="n"/>
      <c r="H517" s="3" t="inlineStr">
        <is>
          <t>Headcount grew 50% in 2024 with 142 hires (78 male, 64 female); employee turnover 13% (2023: 9%).</t>
        </is>
      </c>
      <c r="I517" s="2" t="inlineStr">
        <is>
          <t>S2</t>
        </is>
      </c>
      <c r="J517" s="2" t="n">
        <v>35</v>
      </c>
      <c r="K517" s="3" t="inlineStr">
        <is>
          <t>This is backed up by our turnover of 13% in 2024, a slight increase from 9% in the previous year.</t>
        </is>
      </c>
      <c r="L517" s="2" t="inlineStr">
        <is>
          <t>pend</t>
        </is>
      </c>
      <c r="M517" s="2" t="n"/>
      <c r="N517" s="2" t="n"/>
      <c r="O517" s="3" t="inlineStr">
        <is>
          <t>https://vanillabonds.com/dossier-data/pdf/fastned/fastned-2024-annual-report.pdf#page=35</t>
        </is>
      </c>
    </row>
    <row r="518">
      <c r="A518" s="2" t="inlineStr">
        <is>
          <t>F517</t>
        </is>
      </c>
      <c r="B518" s="2" t="inlineStr">
        <is>
          <t>business</t>
        </is>
      </c>
      <c r="C518" s="2" t="inlineStr">
        <is>
          <t>business_fact</t>
        </is>
      </c>
      <c r="D518" s="2" t="inlineStr">
        <is>
          <t>Business fact</t>
        </is>
      </c>
      <c r="E518" s="2" t="n"/>
      <c r="F518" s="2" t="n"/>
      <c r="G518" s="2" t="n"/>
      <c r="H518" s="3" t="inlineStr">
        <is>
          <t>Annual revenue per station €270 thousand (+21%); volume per station 440 MWh (+20%); weighted EV fleet penetration 4.7%.</t>
        </is>
      </c>
      <c r="I518" s="2" t="inlineStr">
        <is>
          <t>S2</t>
        </is>
      </c>
      <c r="J518" s="2" t="n">
        <v>40</v>
      </c>
      <c r="K518" s="3" t="inlineStr">
        <is>
          <t>Annual revenue per station grew to €270 thousand, an increase of 21% from 2023. Annual volume per station reached 440 MWh, an increase of 20% from 2023.</t>
        </is>
      </c>
      <c r="L518" s="2" t="inlineStr">
        <is>
          <t>pend</t>
        </is>
      </c>
      <c r="M518" s="2" t="n"/>
      <c r="N518" s="2" t="n"/>
      <c r="O518" s="3" t="inlineStr">
        <is>
          <t>https://vanillabonds.com/dossier-data/pdf/fastned/fastned-2024-annual-report.pdf#page=40</t>
        </is>
      </c>
    </row>
    <row r="519">
      <c r="A519" s="2" t="inlineStr">
        <is>
          <t>F518</t>
        </is>
      </c>
      <c r="B519" s="2" t="inlineStr">
        <is>
          <t>business</t>
        </is>
      </c>
      <c r="C519" s="2" t="inlineStr">
        <is>
          <t>business_fact</t>
        </is>
      </c>
      <c r="D519" s="2" t="inlineStr">
        <is>
          <t>Business fact</t>
        </is>
      </c>
      <c r="E519" s="2" t="n"/>
      <c r="F519" s="2" t="n"/>
      <c r="G519" s="2" t="n"/>
      <c r="H519" s="3" t="inlineStr">
        <is>
          <t>Network utilisation 13.1% in 2024 versus 12.4% in 2023; 28% more chargers than the 2023 average.</t>
        </is>
      </c>
      <c r="I519" s="2" t="inlineStr">
        <is>
          <t>S2</t>
        </is>
      </c>
      <c r="J519" s="2" t="n">
        <v>40</v>
      </c>
      <c r="K519" s="3" t="inlineStr">
        <is>
          <t>Network utilisation in 2024 was 13.1% versus 12.4% in 2023, driven by the higher number of sessions in 2024.</t>
        </is>
      </c>
      <c r="L519" s="2" t="inlineStr">
        <is>
          <t>pend</t>
        </is>
      </c>
      <c r="M519" s="2" t="n"/>
      <c r="N519" s="2" t="n"/>
      <c r="O519" s="3" t="inlineStr">
        <is>
          <t>https://vanillabonds.com/dossier-data/pdf/fastned/fastned-2024-annual-report.pdf#page=40</t>
        </is>
      </c>
    </row>
    <row r="520">
      <c r="A520" s="2" t="inlineStr">
        <is>
          <t>F519</t>
        </is>
      </c>
      <c r="B520" s="2" t="inlineStr">
        <is>
          <t>business</t>
        </is>
      </c>
      <c r="C520" s="2" t="inlineStr">
        <is>
          <t>business_fact</t>
        </is>
      </c>
      <c r="D520" s="2" t="inlineStr">
        <is>
          <t>Business fact</t>
        </is>
      </c>
      <c r="E520" s="2" t="n"/>
      <c r="F520" s="2" t="n"/>
      <c r="G520" s="2" t="n"/>
      <c r="H520" s="3" t="inlineStr">
        <is>
          <t>Operational EBITDA per station €102 thousand (+16%); operational EBITDA margin 38% (2023: 39%).</t>
        </is>
      </c>
      <c r="I520" s="2" t="inlineStr">
        <is>
          <t>S2</t>
        </is>
      </c>
      <c r="J520" s="2" t="n">
        <v>40</v>
      </c>
      <c r="K520" s="3" t="inlineStr">
        <is>
          <t>Operational EBITDA (€32.6 million) and operational EBITDA per station (€102 thousand) grew strongly in 2024 compared to 2023: 37% and 16%, respectively.</t>
        </is>
      </c>
      <c r="L520" s="2" t="inlineStr">
        <is>
          <t>pend</t>
        </is>
      </c>
      <c r="M520" s="2" t="n"/>
      <c r="N520" s="2" t="n"/>
      <c r="O520" s="3" t="inlineStr">
        <is>
          <t>https://vanillabonds.com/dossier-data/pdf/fastned/fastned-2024-annual-report.pdf#page=40</t>
        </is>
      </c>
    </row>
    <row r="521">
      <c r="A521" s="2" t="inlineStr">
        <is>
          <t>F520</t>
        </is>
      </c>
      <c r="B521" s="2" t="inlineStr">
        <is>
          <t>business</t>
        </is>
      </c>
      <c r="C521" s="2" t="inlineStr">
        <is>
          <t>business_fact</t>
        </is>
      </c>
      <c r="D521" s="2" t="inlineStr">
        <is>
          <t>Business fact</t>
        </is>
      </c>
      <c r="E521" s="2" t="n"/>
      <c r="F521" s="2" t="n"/>
      <c r="G521" s="2" t="n"/>
      <c r="H521" s="3" t="inlineStr">
        <is>
          <t>Fastned sells only renewable power; Guarantees of Origin bought country by country for every kWh sold.</t>
        </is>
      </c>
      <c r="I521" s="2" t="inlineStr">
        <is>
          <t>S2</t>
        </is>
      </c>
      <c r="J521" s="2" t="n">
        <v>58</v>
      </c>
      <c r="K521" s="3" t="inlineStr">
        <is>
          <t>We use the EU's Guarantee of Origin (GoO) system to ensure that for every kWh of electricity we sell, one kWh of renewable energy has been produced.</t>
        </is>
      </c>
      <c r="L521" s="2" t="inlineStr">
        <is>
          <t>pend</t>
        </is>
      </c>
      <c r="M521" s="2" t="n"/>
      <c r="N521" s="2" t="n"/>
      <c r="O521" s="3" t="inlineStr">
        <is>
          <t>https://vanillabonds.com/dossier-data/pdf/fastned/fastned-2024-annual-report.pdf#page=58</t>
        </is>
      </c>
    </row>
    <row r="522">
      <c r="A522" s="2" t="inlineStr">
        <is>
          <t>F521</t>
        </is>
      </c>
      <c r="B522" s="2" t="inlineStr">
        <is>
          <t>business</t>
        </is>
      </c>
      <c r="C522" s="2" t="inlineStr">
        <is>
          <t>business_fact</t>
        </is>
      </c>
      <c r="D522" s="2" t="inlineStr">
        <is>
          <t>Business fact</t>
        </is>
      </c>
      <c r="E522" s="2" t="n"/>
      <c r="F522" s="2" t="n"/>
      <c r="G522" s="2" t="n"/>
      <c r="H522" s="3" t="inlineStr">
        <is>
          <t>Three Fastned shops built in 2024 (six referenced in the taxonomy capex note); shop sales paid out as compensation at end-2024.</t>
        </is>
      </c>
      <c r="I522" s="2" t="inlineStr">
        <is>
          <t>S2</t>
        </is>
      </c>
      <c r="J522" s="2" t="n">
        <v>60</v>
      </c>
      <c r="K522" s="3" t="inlineStr">
        <is>
          <t>In 2024 we built three Fastned shops, and we plan to build more in 2025.</t>
        </is>
      </c>
      <c r="L522" s="2" t="inlineStr">
        <is>
          <t>pend</t>
        </is>
      </c>
      <c r="M522" s="2" t="n"/>
      <c r="N522" s="2" t="n"/>
      <c r="O522" s="3" t="inlineStr">
        <is>
          <t>https://vanillabonds.com/dossier-data/pdf/fastned/fastned-2024-annual-report.pdf#page=60</t>
        </is>
      </c>
    </row>
    <row r="523">
      <c r="A523" s="2" t="inlineStr">
        <is>
          <t>F522</t>
        </is>
      </c>
      <c r="B523" s="2" t="inlineStr">
        <is>
          <t>business</t>
        </is>
      </c>
      <c r="C523" s="2" t="inlineStr">
        <is>
          <t>business_fact</t>
        </is>
      </c>
      <c r="D523" s="2" t="inlineStr">
        <is>
          <t>Business fact</t>
        </is>
      </c>
      <c r="E523" s="2" t="n"/>
      <c r="F523" s="2" t="n"/>
      <c r="G523" s="2" t="n"/>
      <c r="H523" s="3" t="inlineStr">
        <is>
          <t>Customer service was transitioned to a new provider in 2024; app integrated with Tesla navigation.</t>
        </is>
      </c>
      <c r="I523" s="2" t="inlineStr">
        <is>
          <t>S2</t>
        </is>
      </c>
      <c r="J523" s="2" t="n">
        <v>71</v>
      </c>
      <c r="K523" s="3" t="inlineStr">
        <is>
          <t>We also transitioned our customer service to a new provider, maintaining high-quality support and ensuring a smooth experience for users.</t>
        </is>
      </c>
      <c r="L523" s="2" t="inlineStr">
        <is>
          <t>pend</t>
        </is>
      </c>
      <c r="M523" s="2" t="n"/>
      <c r="N523" s="2" t="n"/>
      <c r="O523" s="3" t="inlineStr">
        <is>
          <t>https://vanillabonds.com/dossier-data/pdf/fastned/fastned-2024-annual-report.pdf#page=71</t>
        </is>
      </c>
    </row>
    <row r="524">
      <c r="A524" s="2" t="inlineStr">
        <is>
          <t>F523</t>
        </is>
      </c>
      <c r="B524" s="2" t="inlineStr">
        <is>
          <t>business</t>
        </is>
      </c>
      <c r="C524" s="2" t="inlineStr">
        <is>
          <t>business_fact</t>
        </is>
      </c>
      <c r="D524" s="2" t="inlineStr">
        <is>
          <t>Business fact</t>
        </is>
      </c>
      <c r="E524" s="2" t="n"/>
      <c r="F524" s="2" t="n"/>
      <c r="G524" s="2" t="n"/>
      <c r="H524" s="3" t="inlineStr">
        <is>
          <t>Stations in operation: 346 (2024), 297 (2023), 244 (2022), 188 (2021), 131 (2020).</t>
        </is>
      </c>
      <c r="I524" s="2" t="inlineStr">
        <is>
          <t>S2</t>
        </is>
      </c>
      <c r="J524" s="2" t="n">
        <v>81</v>
      </c>
      <c r="K524" s="3" t="inlineStr">
        <is>
          <t>Number of stations 346 16 % 297 22 % 244 30 % 188 44 % 131</t>
        </is>
      </c>
      <c r="L524" s="2" t="inlineStr">
        <is>
          <t>pend</t>
        </is>
      </c>
      <c r="M524" s="2" t="n"/>
      <c r="N524" s="2" t="n"/>
      <c r="O524" s="3" t="inlineStr">
        <is>
          <t>https://vanillabonds.com/dossier-data/pdf/fastned/fastned-2024-annual-report.pdf#page=81</t>
        </is>
      </c>
    </row>
    <row r="525">
      <c r="A525" s="2" t="inlineStr">
        <is>
          <t>F524</t>
        </is>
      </c>
      <c r="B525" s="2" t="inlineStr">
        <is>
          <t>business</t>
        </is>
      </c>
      <c r="C525" s="2" t="inlineStr">
        <is>
          <t>business_fact</t>
        </is>
      </c>
      <c r="D525" s="2" t="inlineStr">
        <is>
          <t>Business fact</t>
        </is>
      </c>
      <c r="E525" s="2" t="n"/>
      <c r="F525" s="2" t="n"/>
      <c r="G525" s="2" t="n"/>
      <c r="H525" s="3" t="inlineStr">
        <is>
          <t>Revenue model: electricity sold per kWh at standard price or via subscription price plans with monthly fee; payment by Fastned app, charge card or bank card.</t>
        </is>
      </c>
      <c r="I525" s="2" t="inlineStr">
        <is>
          <t>S2</t>
        </is>
      </c>
      <c r="J525" s="2" t="n">
        <v>110</v>
      </c>
      <c r="K525" s="3" t="inlineStr">
        <is>
          <t>Fastned offers customers the choice of paying a standard price per kWh, or</t>
        </is>
      </c>
      <c r="L525" s="2" t="inlineStr">
        <is>
          <t>pend</t>
        </is>
      </c>
      <c r="M525" s="2" t="n"/>
      <c r="N525" s="2" t="n"/>
      <c r="O525" s="3" t="inlineStr">
        <is>
          <t>https://vanillabonds.com/dossier-data/pdf/fastned/fastned-2024-annual-report.pdf#page=110</t>
        </is>
      </c>
    </row>
    <row r="526">
      <c r="A526" s="2" t="inlineStr">
        <is>
          <t>F525</t>
        </is>
      </c>
      <c r="B526" s="2" t="inlineStr">
        <is>
          <t>business</t>
        </is>
      </c>
      <c r="C526" s="2" t="inlineStr">
        <is>
          <t>business_fact</t>
        </is>
      </c>
      <c r="D526" s="2" t="inlineStr">
        <is>
          <t>Business fact</t>
        </is>
      </c>
      <c r="E526" s="2" t="n"/>
      <c r="F526" s="2" t="n"/>
      <c r="G526" s="2" t="n"/>
      <c r="H526" s="3" t="inlineStr">
        <is>
          <t>Note 3 states a loan to Fastned Terra 1 B.V. is outstanding and the directors determined it necessary to impair it; note 14.4 shows the Terra 1 loan (EUR 1.2m) repaid in 2023 and Terra 1 is 100% consolidated.</t>
        </is>
      </c>
      <c r="I526" s="2" t="inlineStr">
        <is>
          <t>S2</t>
        </is>
      </c>
      <c r="J526" s="2" t="n">
        <v>123</v>
      </c>
      <c r="K526" s="3" t="inlineStr">
        <is>
          <t>the directors have determined that it is necessary to impair the</t>
        </is>
      </c>
      <c r="L526" s="2" t="inlineStr">
        <is>
          <t>pend</t>
        </is>
      </c>
      <c r="M526" s="2" t="n"/>
      <c r="N526" s="2" t="n"/>
      <c r="O526" s="3" t="inlineStr">
        <is>
          <t>https://vanillabonds.com/dossier-data/pdf/fastned/fastned-2024-annual-report.pdf#page=123</t>
        </is>
      </c>
    </row>
    <row r="527">
      <c r="A527" s="2" t="inlineStr">
        <is>
          <t>F526</t>
        </is>
      </c>
      <c r="B527" s="2" t="inlineStr">
        <is>
          <t>business</t>
        </is>
      </c>
      <c r="C527" s="2" t="inlineStr">
        <is>
          <t>business_fact</t>
        </is>
      </c>
      <c r="D527" s="2" t="inlineStr">
        <is>
          <t>Business fact</t>
        </is>
      </c>
      <c r="E527" s="2" t="n"/>
      <c r="F527" s="2" t="n"/>
      <c r="G527" s="2" t="n"/>
      <c r="H527" s="3" t="inlineStr">
        <is>
          <t>Fast Places Limited not consolidated despite 51%: equal board seats, unanimous shareholder approval for business plan changes and site acquisitions, deadlock resolution process; classified as joint venture under IFRS 11.</t>
        </is>
      </c>
      <c r="I527" s="2" t="inlineStr">
        <is>
          <t>S2</t>
        </is>
      </c>
      <c r="J527" s="2" t="n">
        <v>127</v>
      </c>
      <c r="K527" s="3" t="inlineStr">
        <is>
          <t>Although the % equity stake of Fastned UK is more than 50%, Fast Places is not</t>
        </is>
      </c>
      <c r="L527" s="2" t="inlineStr">
        <is>
          <t>pend</t>
        </is>
      </c>
      <c r="M527" s="2" t="n"/>
      <c r="N527" s="2" t="n"/>
      <c r="O527" s="3" t="inlineStr">
        <is>
          <t>https://vanillabonds.com/dossier-data/pdf/fastned/fastned-2024-annual-report.pdf#page=127</t>
        </is>
      </c>
    </row>
    <row r="528">
      <c r="A528" s="2" t="inlineStr">
        <is>
          <t>F527</t>
        </is>
      </c>
      <c r="B528" s="2" t="inlineStr">
        <is>
          <t>business</t>
        </is>
      </c>
      <c r="C528" s="2" t="inlineStr">
        <is>
          <t>business_fact</t>
        </is>
      </c>
      <c r="D528" s="2" t="inlineStr">
        <is>
          <t>Business fact</t>
        </is>
      </c>
      <c r="E528" s="2" t="n"/>
      <c r="F528" s="2" t="n"/>
      <c r="G528" s="2" t="n"/>
      <c r="H528" s="3" t="inlineStr">
        <is>
          <t>Fastned Beheer B.V. performs administrative, financial, commercial and technical management of fast chargers owned by Fastned Terra 1 B.V.</t>
        </is>
      </c>
      <c r="I528" s="2" t="inlineStr">
        <is>
          <t>S2</t>
        </is>
      </c>
      <c r="J528" s="2" t="n">
        <v>127</v>
      </c>
      <c r="K528" s="3" t="inlineStr">
        <is>
          <t>Fastned Beheer B.V. performs administrative, financial, commercial and technical</t>
        </is>
      </c>
      <c r="L528" s="2" t="inlineStr">
        <is>
          <t>pend</t>
        </is>
      </c>
      <c r="M528" s="2" t="n"/>
      <c r="N528" s="2" t="n"/>
      <c r="O528" s="3" t="inlineStr">
        <is>
          <t>https://vanillabonds.com/dossier-data/pdf/fastned/fastned-2024-annual-report.pdf#page=127</t>
        </is>
      </c>
    </row>
    <row r="529">
      <c r="A529" s="2" t="inlineStr">
        <is>
          <t>F528</t>
        </is>
      </c>
      <c r="B529" s="2" t="inlineStr">
        <is>
          <t>business</t>
        </is>
      </c>
      <c r="C529" s="2" t="inlineStr">
        <is>
          <t>business_fact</t>
        </is>
      </c>
      <c r="D529" s="2" t="inlineStr">
        <is>
          <t>Business fact</t>
        </is>
      </c>
      <c r="E529" s="2" t="n"/>
      <c r="F529" s="2" t="n"/>
      <c r="G529" s="2" t="n"/>
      <c r="H529" s="3" t="inlineStr">
        <is>
          <t>Revenue 2024: sales of electricity EUR 79.4m (2023: 57.0m), renewable energy units EUR 6.8m (2023: 3.4m), maintenance fees EUR 0.1m, station construction under service concessions EUR 0.4m.</t>
        </is>
      </c>
      <c r="I529" s="2" t="inlineStr">
        <is>
          <t>S2</t>
        </is>
      </c>
      <c r="J529" s="2" t="n">
        <v>129</v>
      </c>
      <c r="K529" s="3" t="inlineStr">
        <is>
          <t>Sales of electricity Goods transferred at a point in time 79,395 56,981</t>
        </is>
      </c>
      <c r="L529" s="2" t="inlineStr">
        <is>
          <t>pend</t>
        </is>
      </c>
      <c r="M529" s="2" t="n"/>
      <c r="N529" s="2" t="n"/>
      <c r="O529" s="3" t="inlineStr">
        <is>
          <t>https://vanillabonds.com/dossier-data/pdf/fastned/fastned-2024-annual-report.pdf#page=129</t>
        </is>
      </c>
    </row>
    <row r="530">
      <c r="A530" s="2" t="inlineStr">
        <is>
          <t>F529</t>
        </is>
      </c>
      <c r="B530" s="2" t="inlineStr">
        <is>
          <t>business</t>
        </is>
      </c>
      <c r="C530" s="2" t="inlineStr">
        <is>
          <t>business_fact</t>
        </is>
      </c>
      <c r="D530" s="2" t="inlineStr">
        <is>
          <t>Business fact</t>
        </is>
      </c>
      <c r="E530" s="2" t="n"/>
      <c r="F530" s="2" t="n"/>
      <c r="G530" s="2" t="n"/>
      <c r="H530" s="3" t="inlineStr">
        <is>
          <t>Cost of sales 2024 EUR 18.1m (electricity 17.8m, construction 0.3m); 2023 EUR 15.6m.</t>
        </is>
      </c>
      <c r="I530" s="2" t="inlineStr">
        <is>
          <t>S2</t>
        </is>
      </c>
      <c r="J530" s="2" t="n">
        <v>133</v>
      </c>
      <c r="K530" s="2" t="inlineStr">
        <is>
          <t>Total cost of sales 18,149 15,615</t>
        </is>
      </c>
      <c r="L530" s="2" t="inlineStr">
        <is>
          <t>pend</t>
        </is>
      </c>
      <c r="M530" s="2" t="n"/>
      <c r="N530" s="2" t="n"/>
      <c r="O530" s="3" t="inlineStr">
        <is>
          <t>https://vanillabonds.com/dossier-data/pdf/fastned/fastned-2024-annual-report.pdf#page=133</t>
        </is>
      </c>
    </row>
    <row r="531">
      <c r="A531" s="2" t="inlineStr">
        <is>
          <t>F530</t>
        </is>
      </c>
      <c r="B531" s="2" t="inlineStr">
        <is>
          <t>business</t>
        </is>
      </c>
      <c r="C531" s="2" t="inlineStr">
        <is>
          <t>business_fact</t>
        </is>
      </c>
      <c r="D531" s="2" t="inlineStr">
        <is>
          <t>Business fact</t>
        </is>
      </c>
      <c r="E531" s="2" t="n"/>
      <c r="F531" s="2" t="n"/>
      <c r="G531" s="2" t="n"/>
      <c r="H531" s="3" t="inlineStr">
        <is>
          <t>Administrative expenses 2024 EUR 46.1m (2023: 33.1m): wages EUR 16.3m, PP&amp;E depreciation 19.4m, right-of-use depreciation 3.7m, impairment 1.5m, social security 3.2m, pension 1.0m, amortisation 0.3m.</t>
        </is>
      </c>
      <c r="I531" s="2" t="inlineStr">
        <is>
          <t>S2</t>
        </is>
      </c>
      <c r="J531" s="2" t="n">
        <v>134</v>
      </c>
      <c r="K531" s="3" t="inlineStr">
        <is>
          <t>Total administrative expenses 46,117 33,104</t>
        </is>
      </c>
      <c r="L531" s="2" t="inlineStr">
        <is>
          <t>pend</t>
        </is>
      </c>
      <c r="M531" s="2" t="n"/>
      <c r="N531" s="2" t="n"/>
      <c r="O531" s="3" t="inlineStr">
        <is>
          <t>https://vanillabonds.com/dossier-data/pdf/fastned/fastned-2024-annual-report.pdf#page=134</t>
        </is>
      </c>
    </row>
    <row r="532">
      <c r="A532" s="2" t="inlineStr">
        <is>
          <t>F531</t>
        </is>
      </c>
      <c r="B532" s="2" t="inlineStr">
        <is>
          <t>business</t>
        </is>
      </c>
      <c r="C532" s="2" t="inlineStr">
        <is>
          <t>business_fact</t>
        </is>
      </c>
      <c r="D532" s="2" t="inlineStr">
        <is>
          <t>Business fact</t>
        </is>
      </c>
      <c r="E532" s="2" t="n"/>
      <c r="F532" s="2" t="n"/>
      <c r="G532" s="2" t="n"/>
      <c r="H532" s="3" t="inlineStr">
        <is>
          <t>Average FTE by country 2024: Netherlands 150, Germany 28, France 25, UK 24, Belgium 19, Switzerland 8, Spain 6, Italy 3, Ireland 1, Denmark 1.</t>
        </is>
      </c>
      <c r="I532" s="2" t="inlineStr">
        <is>
          <t>S2</t>
        </is>
      </c>
      <c r="J532" s="2" t="n">
        <v>134</v>
      </c>
      <c r="K532" s="3" t="inlineStr">
        <is>
          <t>Netherlands, the average number of employees was 150 (2023: 107). The other</t>
        </is>
      </c>
      <c r="L532" s="2" t="inlineStr">
        <is>
          <t>pend</t>
        </is>
      </c>
      <c r="M532" s="2" t="n"/>
      <c r="N532" s="2" t="n"/>
      <c r="O532" s="3" t="inlineStr">
        <is>
          <t>https://vanillabonds.com/dossier-data/pdf/fastned/fastned-2024-annual-report.pdf#page=134</t>
        </is>
      </c>
    </row>
    <row r="533">
      <c r="A533" s="2" t="inlineStr">
        <is>
          <t>F532</t>
        </is>
      </c>
      <c r="B533" s="2" t="inlineStr">
        <is>
          <t>business</t>
        </is>
      </c>
      <c r="C533" s="2" t="inlineStr">
        <is>
          <t>business_fact</t>
        </is>
      </c>
      <c r="D533" s="2" t="inlineStr">
        <is>
          <t>Business fact</t>
        </is>
      </c>
      <c r="E533" s="2" t="n"/>
      <c r="F533" s="2" t="n"/>
      <c r="G533" s="2" t="n"/>
      <c r="H533" s="3" t="inlineStr">
        <is>
          <t>Selling and distribution expenses 2024 EUR 20.1m (2023: 11.6m): grid fees 13.7m, maintenance 4.0m, other exploitation costs 2.4m.</t>
        </is>
      </c>
      <c r="I533" s="2" t="inlineStr">
        <is>
          <t>S2</t>
        </is>
      </c>
      <c r="J533" s="2" t="n">
        <v>135</v>
      </c>
      <c r="K533" s="3" t="inlineStr">
        <is>
          <t>Total selling and distribution expenses 20,083 11,627</t>
        </is>
      </c>
      <c r="L533" s="2" t="inlineStr">
        <is>
          <t>pend</t>
        </is>
      </c>
      <c r="M533" s="2" t="n"/>
      <c r="N533" s="2" t="n"/>
      <c r="O533" s="3" t="inlineStr">
        <is>
          <t>https://vanillabonds.com/dossier-data/pdf/fastned/fastned-2024-annual-report.pdf#page=135</t>
        </is>
      </c>
    </row>
    <row r="534">
      <c r="A534" s="2" t="inlineStr">
        <is>
          <t>F533</t>
        </is>
      </c>
      <c r="B534" s="2" t="inlineStr">
        <is>
          <t>business</t>
        </is>
      </c>
      <c r="C534" s="2" t="inlineStr">
        <is>
          <t>business_fact</t>
        </is>
      </c>
      <c r="D534" s="2" t="inlineStr">
        <is>
          <t>Business fact</t>
        </is>
      </c>
      <c r="E534" s="2" t="n"/>
      <c r="F534" s="2" t="n"/>
      <c r="G534" s="2" t="n"/>
      <c r="H534" s="3" t="inlineStr">
        <is>
          <t>Other operating expenses 2024 EUR 18.5m (2023: 11.7m): advisory 5.2m, general 8.9m, marketing 2.8m, office 1.0m, car 0.6m.</t>
        </is>
      </c>
      <c r="I534" s="2" t="inlineStr">
        <is>
          <t>S2</t>
        </is>
      </c>
      <c r="J534" s="2" t="n">
        <v>135</v>
      </c>
      <c r="K534" s="3" t="inlineStr">
        <is>
          <t>Total other operating expenses 18,539 11,720</t>
        </is>
      </c>
      <c r="L534" s="2" t="inlineStr">
        <is>
          <t>pend</t>
        </is>
      </c>
      <c r="M534" s="2" t="n"/>
      <c r="N534" s="2" t="n"/>
      <c r="O534" s="3" t="inlineStr">
        <is>
          <t>https://vanillabonds.com/dossier-data/pdf/fastned/fastned-2024-annual-report.pdf#page=135</t>
        </is>
      </c>
    </row>
    <row r="535">
      <c r="A535" s="2" t="inlineStr">
        <is>
          <t>F534</t>
        </is>
      </c>
      <c r="B535" s="2" t="inlineStr">
        <is>
          <t>business</t>
        </is>
      </c>
      <c r="C535" s="2" t="inlineStr">
        <is>
          <t>business_fact</t>
        </is>
      </c>
      <c r="D535" s="2" t="inlineStr">
        <is>
          <t>Business fact</t>
        </is>
      </c>
      <c r="E535" s="2" t="n"/>
      <c r="F535" s="2" t="n"/>
      <c r="G535" s="2" t="n"/>
      <c r="H535" s="3" t="inlineStr">
        <is>
          <t>Finance costs 2024 EUR 15.0m (2023: 9.6m): interest on debts and borrowings 11.7m, lease interest 2.7m, bank charges 0.6m; finance income EUR 4.1m (2023: 2.8m) from interest on deposits.</t>
        </is>
      </c>
      <c r="I535" s="2" t="inlineStr">
        <is>
          <t>S2</t>
        </is>
      </c>
      <c r="J535" s="2" t="n">
        <v>135</v>
      </c>
      <c r="K535" s="2" t="inlineStr">
        <is>
          <t>Total finance costs 15,042 9,624</t>
        </is>
      </c>
      <c r="L535" s="2" t="inlineStr">
        <is>
          <t>pend</t>
        </is>
      </c>
      <c r="M535" s="2" t="n"/>
      <c r="N535" s="2" t="n"/>
      <c r="O535" s="3" t="inlineStr">
        <is>
          <t>https://vanillabonds.com/dossier-data/pdf/fastned/fastned-2024-annual-report.pdf#page=135</t>
        </is>
      </c>
    </row>
    <row r="536">
      <c r="A536" s="2" t="inlineStr">
        <is>
          <t>F535</t>
        </is>
      </c>
      <c r="B536" s="2" t="inlineStr">
        <is>
          <t>business</t>
        </is>
      </c>
      <c r="C536" s="2" t="inlineStr">
        <is>
          <t>business_fact</t>
        </is>
      </c>
      <c r="D536" s="2" t="inlineStr">
        <is>
          <t>Business fact</t>
        </is>
      </c>
      <c r="E536" s="2" t="n"/>
      <c r="F536" s="2" t="n"/>
      <c r="G536" s="2" t="n"/>
      <c r="H536" s="3" t="inlineStr">
        <is>
          <t>Loss before tax 2024 EUR 27.0m (2023: 18.9m); income tax 2024 a credit of EUR 0.4m.</t>
        </is>
      </c>
      <c r="I536" s="2" t="inlineStr">
        <is>
          <t>S2</t>
        </is>
      </c>
      <c r="J536" s="2" t="n">
        <v>136</v>
      </c>
      <c r="K536" s="3" t="inlineStr">
        <is>
          <t>Profit (loss) before tax (27,000) (18,890)</t>
        </is>
      </c>
      <c r="L536" s="2" t="inlineStr">
        <is>
          <t>pend</t>
        </is>
      </c>
      <c r="M536" s="2" t="n"/>
      <c r="N536" s="2" t="n"/>
      <c r="O536" s="3" t="inlineStr">
        <is>
          <t>https://vanillabonds.com/dossier-data/pdf/fastned/fastned-2024-annual-report.pdf#page=136</t>
        </is>
      </c>
    </row>
    <row r="537">
      <c r="A537" s="2" t="inlineStr">
        <is>
          <t>F536</t>
        </is>
      </c>
      <c r="B537" s="2" t="inlineStr">
        <is>
          <t>business</t>
        </is>
      </c>
      <c r="C537" s="2" t="inlineStr">
        <is>
          <t>business_fact</t>
        </is>
      </c>
      <c r="D537" s="2" t="inlineStr">
        <is>
          <t>Business fact</t>
        </is>
      </c>
      <c r="E537" s="2" t="n"/>
      <c r="F537" s="2" t="n"/>
      <c r="G537" s="2" t="n"/>
      <c r="H537" s="3" t="inlineStr">
        <is>
          <t>Basic and diluted loss per share 2024 EUR 1.38 (2023: EUR 1.00); weighted average 19,356,248 shares.</t>
        </is>
      </c>
      <c r="I537" s="2" t="inlineStr">
        <is>
          <t>S2</t>
        </is>
      </c>
      <c r="J537" s="2" t="n">
        <v>139</v>
      </c>
      <c r="K537" s="2" t="inlineStr">
        <is>
          <t>Basic loss per share (1.38) (1.00)</t>
        </is>
      </c>
      <c r="L537" s="2" t="inlineStr">
        <is>
          <t>pend</t>
        </is>
      </c>
      <c r="M537" s="2" t="n"/>
      <c r="N537" s="2" t="n"/>
      <c r="O537" s="3" t="inlineStr">
        <is>
          <t>https://vanillabonds.com/dossier-data/pdf/fastned/fastned-2024-annual-report.pdf#page=139</t>
        </is>
      </c>
    </row>
    <row r="538">
      <c r="A538" s="2" t="inlineStr">
        <is>
          <t>F537</t>
        </is>
      </c>
      <c r="B538" s="2" t="inlineStr">
        <is>
          <t>business</t>
        </is>
      </c>
      <c r="C538" s="2" t="inlineStr">
        <is>
          <t>business_fact</t>
        </is>
      </c>
      <c r="D538" s="2" t="inlineStr">
        <is>
          <t>Business fact</t>
        </is>
      </c>
      <c r="E538" s="2" t="n"/>
      <c r="F538" s="2" t="n"/>
      <c r="G538" s="2" t="n"/>
      <c r="H538" s="3" t="inlineStr">
        <is>
          <t>Intangible assets NBV EUR 2.5m: site licences and permits 1.6m, internally developed software 0.8m, trademarks 0.04m.</t>
        </is>
      </c>
      <c r="I538" s="2" t="inlineStr">
        <is>
          <t>S2</t>
        </is>
      </c>
      <c r="J538" s="2" t="n">
        <v>140</v>
      </c>
      <c r="K538" s="3" t="inlineStr">
        <is>
          <t>At 31 December Net Book Value 1,597 820 41 2,458 1,819 653 32 2,504</t>
        </is>
      </c>
      <c r="L538" s="2" t="inlineStr">
        <is>
          <t>pend</t>
        </is>
      </c>
      <c r="M538" s="2" t="n"/>
      <c r="N538" s="2" t="n"/>
      <c r="O538" s="3" t="inlineStr">
        <is>
          <t>https://vanillabonds.com/dossier-data/pdf/fastned/fastned-2024-annual-report.pdf#page=140</t>
        </is>
      </c>
    </row>
    <row r="539">
      <c r="A539" s="2" t="inlineStr">
        <is>
          <t>F538</t>
        </is>
      </c>
      <c r="B539" s="2" t="inlineStr">
        <is>
          <t>business</t>
        </is>
      </c>
      <c r="C539" s="2" t="inlineStr">
        <is>
          <t>business_fact</t>
        </is>
      </c>
      <c r="D539" s="2" t="inlineStr">
        <is>
          <t>Business fact</t>
        </is>
      </c>
      <c r="E539" s="2" t="n"/>
      <c r="F539" s="2" t="n"/>
      <c r="G539" s="2" t="n"/>
      <c r="H539" s="3" t="inlineStr">
        <is>
          <t>PP&amp;E net book value 31 Dec 2024 EUR 235.4m (2023: 186.0m): land 1.4m, construction in progress 44.8m, charging stations and technical installations 186.5m, other 2.7m; EUR 51.2m transferred from construction in progress to stations in 2024.</t>
        </is>
      </c>
      <c r="I539" s="2" t="inlineStr">
        <is>
          <t>S2</t>
        </is>
      </c>
      <c r="J539" s="2" t="n">
        <v>142</v>
      </c>
      <c r="K539" s="3" t="inlineStr">
        <is>
          <t>At 31 December 2024 1,388 44,802 186,483 2,694 235,367</t>
        </is>
      </c>
      <c r="L539" s="2" t="inlineStr">
        <is>
          <t>pend</t>
        </is>
      </c>
      <c r="M539" s="2" t="n"/>
      <c r="N539" s="2" t="n"/>
      <c r="O539" s="3" t="inlineStr">
        <is>
          <t>https://vanillabonds.com/dossier-data/pdf/fastned/fastned-2024-annual-report.pdf#page=142</t>
        </is>
      </c>
    </row>
    <row r="540">
      <c r="A540" s="2" t="inlineStr">
        <is>
          <t>F539</t>
        </is>
      </c>
      <c r="B540" s="2" t="inlineStr">
        <is>
          <t>business</t>
        </is>
      </c>
      <c r="C540" s="2" t="inlineStr">
        <is>
          <t>business_fact</t>
        </is>
      </c>
      <c r="D540" s="2" t="inlineStr">
        <is>
          <t>Business fact</t>
        </is>
      </c>
      <c r="E540" s="2" t="n"/>
      <c r="F540" s="2" t="n"/>
      <c r="G540" s="2" t="n"/>
      <c r="H540" s="3" t="inlineStr">
        <is>
          <t>Government grant assets are netted in PP&amp;E as a negative asset; new German Regional Tender grant asset EUR 119k recognised in 2024, expected to increase.</t>
        </is>
      </c>
      <c r="I540" s="2" t="inlineStr">
        <is>
          <t>S2</t>
        </is>
      </c>
      <c r="J540" s="2" t="n">
        <v>142</v>
      </c>
      <c r="K540" s="3" t="inlineStr">
        <is>
          <t>recognised a new government grant asset received from the German</t>
        </is>
      </c>
      <c r="L540" s="2" t="inlineStr">
        <is>
          <t>pend</t>
        </is>
      </c>
      <c r="M540" s="2" t="n"/>
      <c r="N540" s="2" t="n"/>
      <c r="O540" s="3" t="inlineStr">
        <is>
          <t>https://vanillabonds.com/dossier-data/pdf/fastned/fastned-2024-annual-report.pdf#page=142</t>
        </is>
      </c>
    </row>
    <row r="541">
      <c r="A541" s="2" t="inlineStr">
        <is>
          <t>F540</t>
        </is>
      </c>
      <c r="B541" s="2" t="inlineStr">
        <is>
          <t>business</t>
        </is>
      </c>
      <c r="C541" s="2" t="inlineStr">
        <is>
          <t>business_fact</t>
        </is>
      </c>
      <c r="D541" s="2" t="inlineStr">
        <is>
          <t>Business fact</t>
        </is>
      </c>
      <c r="E541" s="2" t="n"/>
      <c r="F541" s="2" t="n"/>
      <c r="G541" s="2" t="n"/>
      <c r="H541" s="3" t="inlineStr">
        <is>
          <t>No borrowing costs capitalised in 2024 or 2023 (short build time of stations).</t>
        </is>
      </c>
      <c r="I541" s="2" t="inlineStr">
        <is>
          <t>S2</t>
        </is>
      </c>
      <c r="J541" s="2" t="n">
        <v>143</v>
      </c>
      <c r="K541" s="3" t="inlineStr">
        <is>
          <t>capitalised during the year ended 31 December 2024 was nil (2023: nil).</t>
        </is>
      </c>
      <c r="L541" s="2" t="inlineStr">
        <is>
          <t>pend</t>
        </is>
      </c>
      <c r="M541" s="2" t="n"/>
      <c r="N541" s="2" t="n"/>
      <c r="O541" s="3" t="inlineStr">
        <is>
          <t>https://vanillabonds.com/dossier-data/pdf/fastned/fastned-2024-annual-report.pdf#page=143</t>
        </is>
      </c>
    </row>
    <row r="542">
      <c r="A542" s="2" t="inlineStr">
        <is>
          <t>F541</t>
        </is>
      </c>
      <c r="B542" s="2" t="inlineStr">
        <is>
          <t>business</t>
        </is>
      </c>
      <c r="C542" s="2" t="inlineStr">
        <is>
          <t>business_fact</t>
        </is>
      </c>
      <c r="D542" s="2" t="inlineStr">
        <is>
          <t>Business fact</t>
        </is>
      </c>
      <c r="E542" s="2" t="n"/>
      <c r="F542" s="2" t="n"/>
      <c r="G542" s="2" t="n"/>
      <c r="H542" s="3" t="inlineStr">
        <is>
          <t>Right-of-use assets NBV 31 Dec 2024 EUR 35.0m (2023: 19.6m), of which land 23.8m; additions 2024 EUR 19.7m.</t>
        </is>
      </c>
      <c r="I542" s="2" t="inlineStr">
        <is>
          <t>S2</t>
        </is>
      </c>
      <c r="J542" s="2" t="n">
        <v>144</v>
      </c>
      <c r="K542" s="3" t="inlineStr">
        <is>
          <t>At 31 December 2024 5,893 23,831 3,459 1,837 35,020</t>
        </is>
      </c>
      <c r="L542" s="2" t="inlineStr">
        <is>
          <t>pend</t>
        </is>
      </c>
      <c r="M542" s="2" t="n"/>
      <c r="N542" s="2" t="n"/>
      <c r="O542" s="3" t="inlineStr">
        <is>
          <t>https://vanillabonds.com/dossier-data/pdf/fastned/fastned-2024-annual-report.pdf#page=144</t>
        </is>
      </c>
    </row>
    <row r="543">
      <c r="A543" s="2" t="inlineStr">
        <is>
          <t>F542</t>
        </is>
      </c>
      <c r="B543" s="2" t="inlineStr">
        <is>
          <t>business</t>
        </is>
      </c>
      <c r="C543" s="2" t="inlineStr">
        <is>
          <t>business_fact</t>
        </is>
      </c>
      <c r="D543" s="2" t="inlineStr">
        <is>
          <t>Business fact</t>
        </is>
      </c>
      <c r="E543" s="2" t="n"/>
      <c r="F543" s="2" t="n"/>
      <c r="G543" s="2" t="n"/>
      <c r="H543" s="3" t="inlineStr">
        <is>
          <t>Lease cash outflow 2024 EUR 4.3m (2023: 3.7m) plus EUR 0.6m short-term/low-value; variable lease payments linked to station sales EUR 0.9m (2023: 0.3m).</t>
        </is>
      </c>
      <c r="I543" s="2" t="inlineStr">
        <is>
          <t>S2</t>
        </is>
      </c>
      <c r="J543" s="2" t="n">
        <v>145</v>
      </c>
      <c r="K543" s="3" t="inlineStr">
        <is>
          <t>The total cash outflow in 2024 for leases amounted to €4,265 thousand (2023:</t>
        </is>
      </c>
      <c r="L543" s="2" t="inlineStr">
        <is>
          <t>pend</t>
        </is>
      </c>
      <c r="M543" s="2" t="n"/>
      <c r="N543" s="2" t="n"/>
      <c r="O543" s="3" t="inlineStr">
        <is>
          <t>https://vanillabonds.com/dossier-data/pdf/fastned/fastned-2024-annual-report.pdf#page=145</t>
        </is>
      </c>
    </row>
    <row r="544">
      <c r="A544" s="2" t="inlineStr">
        <is>
          <t>F543</t>
        </is>
      </c>
      <c r="B544" s="2" t="inlineStr">
        <is>
          <t>business</t>
        </is>
      </c>
      <c r="C544" s="2" t="inlineStr">
        <is>
          <t>business_fact</t>
        </is>
      </c>
      <c r="D544" s="2" t="inlineStr">
        <is>
          <t>Business fact</t>
        </is>
      </c>
      <c r="E544" s="2" t="n"/>
      <c r="F544" s="2" t="n"/>
      <c r="G544" s="2" t="n"/>
      <c r="H544" s="3" t="inlineStr">
        <is>
          <t>2024 financing cash flows on borrowings: loan issue/repayment net inflow EUR 86.2m, interest paid EUR 10.2m (2023: 6.8m), non-cash bond extensions EUR 20.8m.</t>
        </is>
      </c>
      <c r="I544" s="2" t="inlineStr">
        <is>
          <t>S2</t>
        </is>
      </c>
      <c r="J544" s="2" t="n">
        <v>148</v>
      </c>
      <c r="K544" s="3" t="inlineStr">
        <is>
          <t>160,999 10,502 86,231 (10,200) (295) (20,775) 226,460</t>
        </is>
      </c>
      <c r="L544" s="2" t="inlineStr">
        <is>
          <t>pend</t>
        </is>
      </c>
      <c r="M544" s="2" t="n"/>
      <c r="N544" s="2" t="n"/>
      <c r="O544" s="3" t="inlineStr">
        <is>
          <t>https://vanillabonds.com/dossier-data/pdf/fastned/fastned-2024-annual-report.pdf#page=148</t>
        </is>
      </c>
    </row>
    <row r="545">
      <c r="A545" s="2" t="inlineStr">
        <is>
          <t>F544</t>
        </is>
      </c>
      <c r="B545" s="2" t="inlineStr">
        <is>
          <t>business</t>
        </is>
      </c>
      <c r="C545" s="2" t="inlineStr">
        <is>
          <t>business_fact</t>
        </is>
      </c>
      <c r="D545" s="2" t="inlineStr">
        <is>
          <t>Business fact</t>
        </is>
      </c>
      <c r="E545" s="2" t="n"/>
      <c r="F545" s="2" t="n"/>
      <c r="G545" s="2" t="n"/>
      <c r="H545" s="3" t="inlineStr">
        <is>
          <t>Fair value of interest-bearing loans and borrowings equals carrying amount EUR 226.5m (2023: 161.0m), level-3 inputs.</t>
        </is>
      </c>
      <c r="I545" s="2" t="inlineStr">
        <is>
          <t>S2</t>
        </is>
      </c>
      <c r="J545" s="2" t="n">
        <v>150</v>
      </c>
      <c r="K545" s="3" t="inlineStr">
        <is>
          <t>Interest-bearing loans and borrowings 226,460 160,999 226,460 160,999</t>
        </is>
      </c>
      <c r="L545" s="2" t="inlineStr">
        <is>
          <t>pend</t>
        </is>
      </c>
      <c r="M545" s="2" t="n"/>
      <c r="N545" s="2" t="n"/>
      <c r="O545" s="3" t="inlineStr">
        <is>
          <t>https://vanillabonds.com/dossier-data/pdf/fastned/fastned-2024-annual-report.pdf#page=150</t>
        </is>
      </c>
    </row>
    <row r="546">
      <c r="A546" s="2" t="inlineStr">
        <is>
          <t>F545</t>
        </is>
      </c>
      <c r="B546" s="2" t="inlineStr">
        <is>
          <t>business</t>
        </is>
      </c>
      <c r="C546" s="2" t="inlineStr">
        <is>
          <t>business_fact</t>
        </is>
      </c>
      <c r="D546" s="2" t="inlineStr">
        <is>
          <t>Business fact</t>
        </is>
      </c>
      <c r="E546" s="2" t="n"/>
      <c r="F546" s="2" t="n"/>
      <c r="G546" s="2" t="n"/>
      <c r="H546" s="3" t="inlineStr">
        <is>
          <t>Contract asset EUR 0.4m for German Highway Tender construction performed but not yet billed (2023: nil).</t>
        </is>
      </c>
      <c r="I546" s="2" t="inlineStr">
        <is>
          <t>S2</t>
        </is>
      </c>
      <c r="J546" s="2" t="n">
        <v>154</v>
      </c>
      <c r="K546" s="3" t="inlineStr">
        <is>
          <t>During the year, the Company completed construction related to a service</t>
        </is>
      </c>
      <c r="L546" s="2" t="inlineStr">
        <is>
          <t>pend</t>
        </is>
      </c>
      <c r="M546" s="2" t="n"/>
      <c r="N546" s="2" t="n"/>
      <c r="O546" s="3" t="inlineStr">
        <is>
          <t>https://vanillabonds.com/dossier-data/pdf/fastned/fastned-2024-annual-report.pdf#page=154</t>
        </is>
      </c>
    </row>
    <row r="547">
      <c r="A547" s="2" t="inlineStr">
        <is>
          <t>F546</t>
        </is>
      </c>
      <c r="B547" s="2" t="inlineStr">
        <is>
          <t>business</t>
        </is>
      </c>
      <c r="C547" s="2" t="inlineStr">
        <is>
          <t>business_fact</t>
        </is>
      </c>
      <c r="D547" s="2" t="inlineStr">
        <is>
          <t>Business fact</t>
        </is>
      </c>
      <c r="E547" s="2" t="n"/>
      <c r="F547" s="2" t="n"/>
      <c r="G547" s="2" t="n"/>
      <c r="H547" s="3" t="inlineStr">
        <is>
          <t>Trade and other receivables and prepayments EUR 33.5m (2023: 19.4m): trade receivables net 16.8m, taxes 2.9m, prepayments 9.9m, other 3.9m.</t>
        </is>
      </c>
      <c r="I547" s="2" t="inlineStr">
        <is>
          <t>S2</t>
        </is>
      </c>
      <c r="J547" s="2" t="n">
        <v>155</v>
      </c>
      <c r="K547" s="2" t="inlineStr">
        <is>
          <t>Trade receivables, net 16,782 10,333</t>
        </is>
      </c>
      <c r="L547" s="2" t="inlineStr">
        <is>
          <t>pend</t>
        </is>
      </c>
      <c r="M547" s="2" t="n"/>
      <c r="N547" s="2" t="n"/>
      <c r="O547" s="3" t="inlineStr">
        <is>
          <t>https://vanillabonds.com/dossier-data/pdf/fastned/fastned-2024-annual-report.pdf#page=155</t>
        </is>
      </c>
    </row>
    <row r="548">
      <c r="A548" s="2" t="inlineStr">
        <is>
          <t>F547</t>
        </is>
      </c>
      <c r="B548" s="2" t="inlineStr">
        <is>
          <t>business</t>
        </is>
      </c>
      <c r="C548" s="2" t="inlineStr">
        <is>
          <t>business_fact</t>
        </is>
      </c>
      <c r="D548" s="2" t="inlineStr">
        <is>
          <t>Business fact</t>
        </is>
      </c>
      <c r="E548" s="2" t="n"/>
      <c r="F548" s="2" t="n"/>
      <c r="G548" s="2" t="n"/>
      <c r="H548" s="3" t="inlineStr">
        <is>
          <t>Payment terms: trade receivables generally 14 days, non-interest bearing; trade payables settled on 30-day terms; other payables one to six months.</t>
        </is>
      </c>
      <c r="I548" s="2" t="inlineStr">
        <is>
          <t>S2</t>
        </is>
      </c>
      <c r="J548" s="2" t="n">
        <v>158</v>
      </c>
      <c r="K548" s="3" t="inlineStr">
        <is>
          <t>Trade payables are non-interest bearing and are normally settled on 30-day</t>
        </is>
      </c>
      <c r="L548" s="2" t="inlineStr">
        <is>
          <t>pend</t>
        </is>
      </c>
      <c r="M548" s="2" t="n"/>
      <c r="N548" s="2" t="n"/>
      <c r="O548" s="3" t="inlineStr">
        <is>
          <t>https://vanillabonds.com/dossier-data/pdf/fastned/fastned-2024-annual-report.pdf#page=158</t>
        </is>
      </c>
    </row>
    <row r="549">
      <c r="A549" s="2" t="inlineStr">
        <is>
          <t>F548</t>
        </is>
      </c>
      <c r="B549" s="2" t="inlineStr">
        <is>
          <t>business</t>
        </is>
      </c>
      <c r="C549" s="2" t="inlineStr">
        <is>
          <t>business_fact</t>
        </is>
      </c>
      <c r="D549" s="2" t="inlineStr">
        <is>
          <t>Business fact</t>
        </is>
      </c>
      <c r="E549" s="2" t="n"/>
      <c r="F549" s="2" t="n"/>
      <c r="G549" s="2" t="n"/>
      <c r="H549" s="3" t="inlineStr">
        <is>
          <t>Trade and other payables EUR 22.0m (2023: 15.6m): trade payables 7.2m, taxes and social security 1.4m, other payables 13.4m.</t>
        </is>
      </c>
      <c r="I549" s="2" t="inlineStr">
        <is>
          <t>S2</t>
        </is>
      </c>
      <c r="J549" s="2" t="n">
        <v>158</v>
      </c>
      <c r="K549" s="3" t="inlineStr">
        <is>
          <t>Total trade and other payables 21,972 15,560</t>
        </is>
      </c>
      <c r="L549" s="2" t="inlineStr">
        <is>
          <t>pend</t>
        </is>
      </c>
      <c r="M549" s="2" t="n"/>
      <c r="N549" s="2" t="n"/>
      <c r="O549" s="3" t="inlineStr">
        <is>
          <t>https://vanillabonds.com/dossier-data/pdf/fastned/fastned-2024-annual-report.pdf#page=158</t>
        </is>
      </c>
    </row>
    <row r="550">
      <c r="A550" s="2" t="inlineStr">
        <is>
          <t>F549</t>
        </is>
      </c>
      <c r="B550" s="2" t="inlineStr">
        <is>
          <t>business</t>
        </is>
      </c>
      <c r="C550" s="2" t="inlineStr">
        <is>
          <t>business_fact</t>
        </is>
      </c>
      <c r="D550" s="2" t="inlineStr">
        <is>
          <t>Business fact</t>
        </is>
      </c>
      <c r="E550" s="2" t="n"/>
      <c r="F550" s="2" t="n"/>
      <c r="G550" s="2" t="n"/>
      <c r="H550" s="3" t="inlineStr">
        <is>
          <t>Lease liabilities undiscounted maturity: year 1 EUR 6.0m, year 2 5.9m, year 3 5.5m, year 4 5.2m, year 5 3.9m, beyond 5 years 35.1m, total 61.6m less unearned interest 23.9m = 37.7m.</t>
        </is>
      </c>
      <c r="I550" s="2" t="inlineStr">
        <is>
          <t>S2</t>
        </is>
      </c>
      <c r="J550" s="2" t="n">
        <v>158</v>
      </c>
      <c r="K550" s="2" t="inlineStr">
        <is>
          <t>&gt; 5 years 35,070 16,289</t>
        </is>
      </c>
      <c r="L550" s="2" t="inlineStr">
        <is>
          <t>pend</t>
        </is>
      </c>
      <c r="M550" s="2" t="n"/>
      <c r="N550" s="2" t="n"/>
      <c r="O550" s="3" t="inlineStr">
        <is>
          <t>https://vanillabonds.com/dossier-data/pdf/fastned/fastned-2024-annual-report.pdf#page=158</t>
        </is>
      </c>
    </row>
    <row r="551">
      <c r="A551" s="2" t="inlineStr">
        <is>
          <t>F550</t>
        </is>
      </c>
      <c r="B551" s="2" t="inlineStr">
        <is>
          <t>business</t>
        </is>
      </c>
      <c r="C551" s="2" t="inlineStr">
        <is>
          <t>business_fact</t>
        </is>
      </c>
      <c r="D551" s="2" t="inlineStr">
        <is>
          <t>Business fact</t>
        </is>
      </c>
      <c r="E551" s="2" t="n"/>
      <c r="F551" s="2" t="n"/>
      <c r="G551" s="2" t="n"/>
      <c r="H551" s="3" t="inlineStr">
        <is>
          <t>Decommissioning provision EUR 17.6m (2023: 13.3m); 2024 movements: additions 2.5m, unwinding 0.4m, revised contractor quotations +5.9m, change in estimate on component reuse -4.5m.</t>
        </is>
      </c>
      <c r="I551" s="2" t="inlineStr">
        <is>
          <t>S2</t>
        </is>
      </c>
      <c r="J551" s="2" t="n">
        <v>159</v>
      </c>
      <c r="K551" s="3" t="inlineStr">
        <is>
          <t>provision has been reduced by € 4.5 million as of 31 December 2024.</t>
        </is>
      </c>
      <c r="L551" s="2" t="inlineStr">
        <is>
          <t>pend</t>
        </is>
      </c>
      <c r="M551" s="2" t="n"/>
      <c r="N551" s="2" t="n"/>
      <c r="O551" s="3" t="inlineStr">
        <is>
          <t>https://vanillabonds.com/dossier-data/pdf/fastned/fastned-2024-annual-report.pdf#page=159</t>
        </is>
      </c>
    </row>
    <row r="552">
      <c r="A552" s="2" t="inlineStr">
        <is>
          <t>F551</t>
        </is>
      </c>
      <c r="B552" s="2" t="inlineStr">
        <is>
          <t>business</t>
        </is>
      </c>
      <c r="C552" s="2" t="inlineStr">
        <is>
          <t>business_fact</t>
        </is>
      </c>
      <c r="D552" s="2" t="inlineStr">
        <is>
          <t>Business fact</t>
        </is>
      </c>
      <c r="E552" s="2" t="n"/>
      <c r="F552" s="2" t="n"/>
      <c r="G552" s="2" t="n"/>
      <c r="H552" s="3" t="inlineStr">
        <is>
          <t>Employee options outstanding 31 Dec 2024: 347,163 at WAEP EUR 14.61 (342,241 exercisable); 189,466 exercised in 2024 at EUR 10.09; 4,922 unvested options at EUR 33-50.</t>
        </is>
      </c>
      <c r="I552" s="2" t="inlineStr">
        <is>
          <t>S2</t>
        </is>
      </c>
      <c r="J552" s="2" t="n">
        <v>160</v>
      </c>
      <c r="K552" s="3" t="inlineStr">
        <is>
          <t>Outstanding at 31 December 347,163 14.61 556,565 13.00</t>
        </is>
      </c>
      <c r="L552" s="2" t="inlineStr">
        <is>
          <t>pend</t>
        </is>
      </c>
      <c r="M552" s="2" t="n"/>
      <c r="N552" s="2" t="n"/>
      <c r="O552" s="3" t="inlineStr">
        <is>
          <t>https://vanillabonds.com/dossier-data/pdf/fastned/fastned-2024-annual-report.pdf#page=160</t>
        </is>
      </c>
    </row>
    <row r="553">
      <c r="A553" s="2" t="inlineStr">
        <is>
          <t>F552</t>
        </is>
      </c>
      <c r="B553" s="2" t="inlineStr">
        <is>
          <t>business</t>
        </is>
      </c>
      <c r="C553" s="2" t="inlineStr">
        <is>
          <t>business_fact</t>
        </is>
      </c>
      <c r="D553" s="2" t="inlineStr">
        <is>
          <t>Business fact</t>
        </is>
      </c>
      <c r="E553" s="2" t="n"/>
      <c r="F553" s="2" t="n"/>
      <c r="G553" s="2" t="n"/>
      <c r="H553" s="3" t="inlineStr">
        <is>
          <t>Founders Club: 69 members (investors of EUR 25k on NPEX 2014-2015 or EUR 50k on Nxchange 2016) charge free for life; 71,779 kWh in 2024 (2023: 62,755); deferred income EUR 185k.</t>
        </is>
      </c>
      <c r="I553" s="2" t="inlineStr">
        <is>
          <t>S2</t>
        </is>
      </c>
      <c r="J553" s="2" t="n">
        <v>160</v>
      </c>
      <c r="K553" s="3" t="inlineStr">
        <is>
          <t>were 69 members in this Club. The members of the Fastned Founders Club have</t>
        </is>
      </c>
      <c r="L553" s="2" t="inlineStr">
        <is>
          <t>pend</t>
        </is>
      </c>
      <c r="M553" s="2" t="n"/>
      <c r="N553" s="2" t="n"/>
      <c r="O553" s="3" t="inlineStr">
        <is>
          <t>https://vanillabonds.com/dossier-data/pdf/fastned/fastned-2024-annual-report.pdf#page=160</t>
        </is>
      </c>
    </row>
    <row r="554">
      <c r="A554" s="2" t="inlineStr">
        <is>
          <t>F553</t>
        </is>
      </c>
      <c r="B554" s="2" t="inlineStr">
        <is>
          <t>business</t>
        </is>
      </c>
      <c r="C554" s="2" t="inlineStr">
        <is>
          <t>business_fact</t>
        </is>
      </c>
      <c r="D554" s="2" t="inlineStr">
        <is>
          <t>Business fact</t>
        </is>
      </c>
      <c r="E554" s="2" t="n"/>
      <c r="F554" s="2" t="n"/>
      <c r="G554" s="2" t="n"/>
      <c r="H554" s="3" t="inlineStr">
        <is>
          <t>2018 Option Plan: at each of ten milestones (market cap plus operational goal) options for 1% of outstanding DRs are allocated; exercise price never below EUR 10; exercisable within five years; Supervisory Board sets criteria for Managing Directors.</t>
        </is>
      </c>
      <c r="I554" s="2" t="inlineStr">
        <is>
          <t>S2</t>
        </is>
      </c>
      <c r="J554" s="2" t="n">
        <v>161</v>
      </c>
      <c r="K554" s="3" t="inlineStr">
        <is>
          <t>employees for a total of 1% of the then outstanding number of DRs. The</t>
        </is>
      </c>
      <c r="L554" s="2" t="inlineStr">
        <is>
          <t>pend</t>
        </is>
      </c>
      <c r="M554" s="2" t="n"/>
      <c r="N554" s="2" t="n"/>
      <c r="O554" s="3" t="inlineStr">
        <is>
          <t>https://vanillabonds.com/dossier-data/pdf/fastned/fastned-2024-annual-report.pdf#page=161</t>
        </is>
      </c>
    </row>
    <row r="555">
      <c r="A555" s="2" t="inlineStr">
        <is>
          <t>F554</t>
        </is>
      </c>
      <c r="B555" s="2" t="inlineStr">
        <is>
          <t>business</t>
        </is>
      </c>
      <c r="C555" s="2" t="inlineStr">
        <is>
          <t>business_fact</t>
        </is>
      </c>
      <c r="D555" s="2" t="inlineStr">
        <is>
          <t>Business fact</t>
        </is>
      </c>
      <c r="E555" s="2" t="n"/>
      <c r="F555" s="2" t="n"/>
      <c r="G555" s="2" t="n"/>
      <c r="H555" s="3" t="inlineStr">
        <is>
          <t>Share-based payment expense 2024 EUR 24k (2023: EUR 2,679k net of EUR 567k capitalised).</t>
        </is>
      </c>
      <c r="I555" s="2" t="inlineStr">
        <is>
          <t>S2</t>
        </is>
      </c>
      <c r="J555" s="2" t="n">
        <v>162</v>
      </c>
      <c r="K555" s="3" t="inlineStr">
        <is>
          <t>Total expense included in administrative expenses 24 2,679</t>
        </is>
      </c>
      <c r="L555" s="2" t="inlineStr">
        <is>
          <t>pend</t>
        </is>
      </c>
      <c r="M555" s="2" t="n"/>
      <c r="N555" s="2" t="n"/>
      <c r="O555" s="3" t="inlineStr">
        <is>
          <t>https://vanillabonds.com/dossier-data/pdf/fastned/fastned-2024-annual-report.pdf#page=162</t>
        </is>
      </c>
    </row>
    <row r="556">
      <c r="A556" s="2" t="inlineStr">
        <is>
          <t>F555</t>
        </is>
      </c>
      <c r="B556" s="2" t="inlineStr">
        <is>
          <t>business</t>
        </is>
      </c>
      <c r="C556" s="2" t="inlineStr">
        <is>
          <t>business_fact</t>
        </is>
      </c>
      <c r="D556" s="2" t="inlineStr">
        <is>
          <t>Business fact</t>
        </is>
      </c>
      <c r="E556" s="2" t="n"/>
      <c r="F556" s="2" t="n"/>
      <c r="G556" s="2" t="n"/>
      <c r="H556" s="3" t="inlineStr">
        <is>
          <t>Parent company (Fastned B.V. solo) 2024: loss EUR 24.7m (2023: 19.3m) incl. results from subsidiaries EUR -19.8m; revenue EUR 55.1m; operating loss EUR 6.6m.</t>
        </is>
      </c>
      <c r="I556" s="2" t="inlineStr">
        <is>
          <t>S2</t>
        </is>
      </c>
      <c r="J556" s="2" t="n">
        <v>169</v>
      </c>
      <c r="K556" s="2" t="inlineStr">
        <is>
          <t>Loss for the year (24,718) (19,250)</t>
        </is>
      </c>
      <c r="L556" s="2" t="inlineStr">
        <is>
          <t>pend</t>
        </is>
      </c>
      <c r="M556" s="2" t="n"/>
      <c r="N556" s="2" t="n"/>
      <c r="O556" s="3" t="inlineStr">
        <is>
          <t>https://vanillabonds.com/dossier-data/pdf/fastned/fastned-2024-annual-report.pdf#page=169</t>
        </is>
      </c>
    </row>
    <row r="557">
      <c r="A557" s="2" t="inlineStr">
        <is>
          <t>F556</t>
        </is>
      </c>
      <c r="B557" s="2" t="inlineStr">
        <is>
          <t>business</t>
        </is>
      </c>
      <c r="C557" s="2" t="inlineStr">
        <is>
          <t>business_fact</t>
        </is>
      </c>
      <c r="D557" s="2" t="inlineStr">
        <is>
          <t>Business fact</t>
        </is>
      </c>
      <c r="E557" s="2" t="n"/>
      <c r="F557" s="2" t="n"/>
      <c r="G557" s="2" t="n"/>
      <c r="H557" s="3" t="inlineStr">
        <is>
          <t>Parent company balance sheet 31 Dec 2024: total equity EUR 123.4m after appropriation (2023: 146.2m), external loans non-current 185.6m and current 21.8m, cash 109.0m, loans to subsidiaries 129.1m non-current.</t>
        </is>
      </c>
      <c r="I557" s="2" t="inlineStr">
        <is>
          <t>S2</t>
        </is>
      </c>
      <c r="J557" s="2" t="n">
        <v>170</v>
      </c>
      <c r="K557" s="2" t="inlineStr">
        <is>
          <t>Total equity 123,417 146,197</t>
        </is>
      </c>
      <c r="L557" s="2" t="inlineStr">
        <is>
          <t>pend</t>
        </is>
      </c>
      <c r="M557" s="2" t="n"/>
      <c r="N557" s="2" t="n"/>
      <c r="O557" s="3" t="inlineStr">
        <is>
          <t>https://vanillabonds.com/dossier-data/pdf/fastned/fastned-2024-annual-report.pdf#page=170</t>
        </is>
      </c>
    </row>
    <row r="558">
      <c r="A558" s="2" t="inlineStr">
        <is>
          <t>F557</t>
        </is>
      </c>
      <c r="B558" s="2" t="inlineStr">
        <is>
          <t>business</t>
        </is>
      </c>
      <c r="C558" s="2" t="inlineStr">
        <is>
          <t>business_fact</t>
        </is>
      </c>
      <c r="D558" s="2" t="inlineStr">
        <is>
          <t>Business fact</t>
        </is>
      </c>
      <c r="E558" s="2" t="n"/>
      <c r="F558" s="2" t="n"/>
      <c r="G558" s="2" t="n"/>
      <c r="H558" s="3" t="inlineStr">
        <is>
          <t>Parent company 2024: equity contributions to subsidiaries EUR 15.5m (France 7.5m, Germany 3.25m, Switzerland 2.0m, Spain 1.3m, Italy 0.8m, Denmark 0.6m, Austria 0.035m); subsidiaries' aggregate result EUR -19.8m (UK -7.3m, France -4.9m, Germany -3.4m, Switzerland -2.1m).</t>
        </is>
      </c>
      <c r="I558" s="2" t="inlineStr">
        <is>
          <t>S2</t>
        </is>
      </c>
      <c r="J558" s="2" t="n">
        <v>178</v>
      </c>
      <c r="K558" s="3" t="inlineStr">
        <is>
          <t>Total investment in subsidiaries 4,915 15,537 (1,900) 28 (19,788) 6,635 5,427</t>
        </is>
      </c>
      <c r="L558" s="2" t="inlineStr">
        <is>
          <t>pend</t>
        </is>
      </c>
      <c r="M558" s="2" t="n"/>
      <c r="N558" s="2" t="n"/>
      <c r="O558" s="3" t="inlineStr">
        <is>
          <t>https://vanillabonds.com/dossier-data/pdf/fastned/fastned-2024-annual-report.pdf#page=178</t>
        </is>
      </c>
    </row>
    <row r="559">
      <c r="A559" s="2" t="inlineStr">
        <is>
          <t>F558</t>
        </is>
      </c>
      <c r="B559" s="2" t="inlineStr">
        <is>
          <t>business</t>
        </is>
      </c>
      <c r="C559" s="2" t="inlineStr">
        <is>
          <t>key_event</t>
        </is>
      </c>
      <c r="D559" s="2" t="inlineStr">
        <is>
          <t>Key event (M&amp;A, financing, strategy)</t>
        </is>
      </c>
      <c r="E559" s="2" t="n"/>
      <c r="F559" s="2" t="n"/>
      <c r="G559" s="2" t="n"/>
      <c r="H559" s="3" t="inlineStr">
        <is>
          <t>March 2024: headquarters moved to the Mondriaan Tower, Amsterdam.</t>
        </is>
      </c>
      <c r="I559" s="2" t="inlineStr">
        <is>
          <t>S2</t>
        </is>
      </c>
      <c r="J559" s="2" t="n">
        <v>3</v>
      </c>
      <c r="K559" s="3" t="inlineStr">
        <is>
          <t>Our team moves into a new HQ in Amsterdam’s Mondriaan Tower.</t>
        </is>
      </c>
      <c r="L559" s="2" t="inlineStr">
        <is>
          <t>pend</t>
        </is>
      </c>
      <c r="M559" s="2" t="n"/>
      <c r="N559" s="2" t="n"/>
      <c r="O559" s="3" t="inlineStr">
        <is>
          <t>https://vanillabonds.com/dossier-data/pdf/fastned/fastned-2024-annual-report.pdf#page=3</t>
        </is>
      </c>
    </row>
    <row r="560">
      <c r="A560" s="2" t="inlineStr">
        <is>
          <t>F559</t>
        </is>
      </c>
      <c r="B560" s="2" t="inlineStr">
        <is>
          <t>business</t>
        </is>
      </c>
      <c r="C560" s="2" t="inlineStr">
        <is>
          <t>key_event</t>
        </is>
      </c>
      <c r="D560" s="2" t="inlineStr">
        <is>
          <t>Key event (M&amp;A, financing, strategy)</t>
        </is>
      </c>
      <c r="E560" s="2" t="n"/>
      <c r="F560" s="2" t="n"/>
      <c r="G560" s="2" t="n"/>
      <c r="H560" s="3" t="inlineStr">
        <is>
          <t>April 2024: first Fastned shop and restaurant opened at the Brecht station, Belgium.</t>
        </is>
      </c>
      <c r="I560" s="2" t="inlineStr">
        <is>
          <t>S2</t>
        </is>
      </c>
      <c r="J560" s="2" t="n">
        <v>3</v>
      </c>
      <c r="K560" s="3" t="inlineStr">
        <is>
          <t>The first Fastned shop and restaurant opens at our station in Brecht, Belgium.</t>
        </is>
      </c>
      <c r="L560" s="2" t="inlineStr">
        <is>
          <t>pend</t>
        </is>
      </c>
      <c r="M560" s="2" t="n"/>
      <c r="N560" s="2" t="n"/>
      <c r="O560" s="3" t="inlineStr">
        <is>
          <t>https://vanillabonds.com/dossier-data/pdf/fastned/fastned-2024-annual-report.pdf#page=3</t>
        </is>
      </c>
    </row>
    <row r="561">
      <c r="A561" s="2" t="inlineStr">
        <is>
          <t>F560</t>
        </is>
      </c>
      <c r="B561" s="2" t="inlineStr">
        <is>
          <t>business</t>
        </is>
      </c>
      <c r="C561" s="2" t="inlineStr">
        <is>
          <t>key_event</t>
        </is>
      </c>
      <c r="D561" s="2" t="inlineStr">
        <is>
          <t>Key event (M&amp;A, financing, strategy)</t>
        </is>
      </c>
      <c r="E561" s="2" t="n"/>
      <c r="F561" s="2" t="n"/>
      <c r="G561" s="2" t="n"/>
      <c r="H561" s="3" t="inlineStr">
        <is>
          <t>June 2024: five years listed on Euronext Amsterdam; second bond issue of 2024.</t>
        </is>
      </c>
      <c r="I561" s="2" t="inlineStr">
        <is>
          <t>S2</t>
        </is>
      </c>
      <c r="J561" s="2" t="n">
        <v>3</v>
      </c>
      <c r="K561" s="3" t="inlineStr">
        <is>
          <t>Fastned celebrates 5 years listed on the Amsterdam Stock Exchange and makes its second bond issue of 2024.</t>
        </is>
      </c>
      <c r="L561" s="2" t="inlineStr">
        <is>
          <t>pend</t>
        </is>
      </c>
      <c r="M561" s="2" t="n"/>
      <c r="N561" s="2" t="n"/>
      <c r="O561" s="3" t="inlineStr">
        <is>
          <t>https://vanillabonds.com/dossier-data/pdf/fastned/fastned-2024-annual-report.pdf#page=3</t>
        </is>
      </c>
    </row>
    <row r="562">
      <c r="A562" s="2" t="inlineStr">
        <is>
          <t>F561</t>
        </is>
      </c>
      <c r="B562" s="2" t="inlineStr">
        <is>
          <t>business</t>
        </is>
      </c>
      <c r="C562" s="2" t="inlineStr">
        <is>
          <t>key_event</t>
        </is>
      </c>
      <c r="D562" s="2" t="inlineStr">
        <is>
          <t>Key event (M&amp;A, financing, strategy)</t>
        </is>
      </c>
      <c r="E562" s="2" t="n"/>
      <c r="F562" s="2" t="n"/>
      <c r="G562" s="2" t="n"/>
      <c r="H562" s="3" t="inlineStr">
        <is>
          <t>October 2024: tenders won for additional locations in Switzerland and Denmark.</t>
        </is>
      </c>
      <c r="I562" s="2" t="inlineStr">
        <is>
          <t>S2</t>
        </is>
      </c>
      <c r="J562" s="2" t="n">
        <v>4</v>
      </c>
      <c r="K562" s="3" t="inlineStr">
        <is>
          <t>Tenders won for additional locations in Switzerland and Denmark.</t>
        </is>
      </c>
      <c r="L562" s="2" t="inlineStr">
        <is>
          <t>pend</t>
        </is>
      </c>
      <c r="M562" s="2" t="n"/>
      <c r="N562" s="2" t="n"/>
      <c r="O562" s="3" t="inlineStr">
        <is>
          <t>https://vanillabonds.com/dossier-data/pdf/fastned/fastned-2024-annual-report.pdf#page=4</t>
        </is>
      </c>
    </row>
    <row r="563">
      <c r="A563" s="2" t="inlineStr">
        <is>
          <t>F562</t>
        </is>
      </c>
      <c r="B563" s="2" t="inlineStr">
        <is>
          <t>business</t>
        </is>
      </c>
      <c r="C563" s="2" t="inlineStr">
        <is>
          <t>key_event</t>
        </is>
      </c>
      <c r="D563" s="2" t="inlineStr">
        <is>
          <t>Key event (M&amp;A, financing, strategy)</t>
        </is>
      </c>
      <c r="E563" s="2" t="n"/>
      <c r="F563" s="2" t="n"/>
      <c r="G563" s="2" t="n"/>
      <c r="H563" s="3" t="inlineStr">
        <is>
          <t>2024: offices opened in Italy and Spain ahead of first stations there in 2025.</t>
        </is>
      </c>
      <c r="I563" s="2" t="inlineStr">
        <is>
          <t>S2</t>
        </is>
      </c>
      <c r="J563" s="2" t="n">
        <v>9</v>
      </c>
      <c r="K563" s="3" t="inlineStr">
        <is>
          <t>we opened offices in Italy and Spain, ready for our first stations to open to Italian and Spanish drivers in the coming year.</t>
        </is>
      </c>
      <c r="L563" s="2" t="inlineStr">
        <is>
          <t>pend</t>
        </is>
      </c>
      <c r="M563" s="2" t="n"/>
      <c r="N563" s="2" t="n"/>
      <c r="O563" s="3" t="inlineStr">
        <is>
          <t>https://vanillabonds.com/dossier-data/pdf/fastned/fastned-2024-annual-report.pdf#page=9</t>
        </is>
      </c>
    </row>
    <row r="564">
      <c r="A564" s="2" t="inlineStr">
        <is>
          <t>F563</t>
        </is>
      </c>
      <c r="B564" s="2" t="inlineStr">
        <is>
          <t>business</t>
        </is>
      </c>
      <c r="C564" s="2" t="inlineStr">
        <is>
          <t>key_event</t>
        </is>
      </c>
      <c r="D564" s="2" t="inlineStr">
        <is>
          <t>Key event (M&amp;A, financing, strategy)</t>
        </is>
      </c>
      <c r="E564" s="2" t="n"/>
      <c r="F564" s="2" t="n"/>
      <c r="G564" s="2" t="n"/>
      <c r="H564" s="3" t="inlineStr">
        <is>
          <t>February 2024: Deutschlandnetz tender won, 34 high-traffic highway locations in Germany secured.</t>
        </is>
      </c>
      <c r="I564" s="2" t="inlineStr">
        <is>
          <t>S2</t>
        </is>
      </c>
      <c r="J564" s="2" t="n">
        <v>16</v>
      </c>
      <c r="K564" s="3" t="inlineStr">
        <is>
          <t>A major success was the Deutschlandnetz tender in February, resulting in Fastned acquiring 34 high-traffic highway locations</t>
        </is>
      </c>
      <c r="L564" s="2" t="inlineStr">
        <is>
          <t>pend</t>
        </is>
      </c>
      <c r="M564" s="2" t="n"/>
      <c r="N564" s="2" t="n"/>
      <c r="O564" s="3" t="inlineStr">
        <is>
          <t>https://vanillabonds.com/dossier-data/pdf/fastned/fastned-2024-annual-report.pdf#page=16</t>
        </is>
      </c>
    </row>
    <row r="565">
      <c r="A565" s="2" t="inlineStr">
        <is>
          <t>F564</t>
        </is>
      </c>
      <c r="B565" s="2" t="inlineStr">
        <is>
          <t>business</t>
        </is>
      </c>
      <c r="C565" s="2" t="inlineStr">
        <is>
          <t>key_event</t>
        </is>
      </c>
      <c r="D565" s="2" t="inlineStr">
        <is>
          <t>Key event (M&amp;A, financing, strategy)</t>
        </is>
      </c>
      <c r="E565" s="2" t="n"/>
      <c r="F565" s="2" t="n"/>
      <c r="G565" s="2" t="n"/>
      <c r="H565" s="3" t="inlineStr">
        <is>
          <t>Cash flow from financing €67.0m in 2024, stemming mainly from three bond issues; proceeds from borrowings €66.7m (2023: €55.0m).</t>
        </is>
      </c>
      <c r="I565" s="2" t="inlineStr">
        <is>
          <t>S2</t>
        </is>
      </c>
      <c r="J565" s="2" t="n">
        <v>41</v>
      </c>
      <c r="K565" s="3" t="inlineStr">
        <is>
          <t>Cash flows from financing activities were €67.0 million, stemming mainly from three bond issues in 2024.</t>
        </is>
      </c>
      <c r="L565" s="2" t="inlineStr">
        <is>
          <t>pend</t>
        </is>
      </c>
      <c r="M565" s="2" t="n"/>
      <c r="N565" s="2" t="n"/>
      <c r="O565" s="3" t="inlineStr">
        <is>
          <t>https://vanillabonds.com/dossier-data/pdf/fastned/fastned-2024-annual-report.pdf#page=41</t>
        </is>
      </c>
    </row>
    <row r="566">
      <c r="A566" s="2" t="inlineStr">
        <is>
          <t>F565</t>
        </is>
      </c>
      <c r="B566" s="2" t="inlineStr">
        <is>
          <t>business</t>
        </is>
      </c>
      <c r="C566" s="2" t="inlineStr">
        <is>
          <t>key_event</t>
        </is>
      </c>
      <c r="D566" s="2" t="inlineStr">
        <is>
          <t>Key event (M&amp;A, financing, strategy)</t>
        </is>
      </c>
      <c r="E566" s="2" t="n"/>
      <c r="F566" s="2" t="n"/>
      <c r="G566" s="2" t="n"/>
      <c r="H566" s="3" t="inlineStr">
        <is>
          <t>December 2024: joint venture (Fast Places) with Places for London to build a fast-charging network in central London.</t>
        </is>
      </c>
      <c r="I566" s="2" t="inlineStr">
        <is>
          <t>S2</t>
        </is>
      </c>
      <c r="J566" s="2" t="n">
        <v>66</v>
      </c>
      <c r="K566" s="3" t="inlineStr">
        <is>
          <t>at the end of 2024 we had secured over 560 sites and started a joint venture with Places of London.</t>
        </is>
      </c>
      <c r="L566" s="2" t="inlineStr">
        <is>
          <t>pend</t>
        </is>
      </c>
      <c r="M566" s="2" t="n"/>
      <c r="N566" s="2" t="n"/>
      <c r="O566" s="3" t="inlineStr">
        <is>
          <t>https://vanillabonds.com/dossier-data/pdf/fastned/fastned-2024-annual-report.pdf#page=66</t>
        </is>
      </c>
    </row>
    <row r="567">
      <c r="A567" s="2" t="inlineStr">
        <is>
          <t>F566</t>
        </is>
      </c>
      <c r="B567" s="2" t="inlineStr">
        <is>
          <t>business</t>
        </is>
      </c>
      <c r="C567" s="2" t="inlineStr">
        <is>
          <t>key_event</t>
        </is>
      </c>
      <c r="D567" s="2" t="inlineStr">
        <is>
          <t>Key event (M&amp;A, financing, strategy)</t>
        </is>
      </c>
      <c r="E567" s="2" t="n"/>
      <c r="F567" s="2" t="n"/>
      <c r="G567" s="2" t="n"/>
      <c r="H567" s="3" t="inlineStr">
        <is>
          <t>As of end-2023 Fastned qualifies as a 'structured company' (Dutch structuurregime), filed with the Chamber of Commerce in June 2024.</t>
        </is>
      </c>
      <c r="I567" s="2" t="inlineStr">
        <is>
          <t>S2</t>
        </is>
      </c>
      <c r="J567" s="2" t="n">
        <v>75</v>
      </c>
      <c r="K567" s="3" t="inlineStr">
        <is>
          <t>As of the end of 2023, Fastned qualifies as a structured company. This has been filed with the Chamber of Commerce after the adoption of financial statements in June 2024.</t>
        </is>
      </c>
      <c r="L567" s="2" t="inlineStr">
        <is>
          <t>pend</t>
        </is>
      </c>
      <c r="M567" s="2" t="n"/>
      <c r="N567" s="2" t="n"/>
      <c r="O567" s="3" t="inlineStr">
        <is>
          <t>https://vanillabonds.com/dossier-data/pdf/fastned/fastned-2024-annual-report.pdf#page=75</t>
        </is>
      </c>
    </row>
    <row r="568">
      <c r="A568" s="2" t="inlineStr">
        <is>
          <t>F567</t>
        </is>
      </c>
      <c r="B568" s="2" t="inlineStr">
        <is>
          <t>business</t>
        </is>
      </c>
      <c r="C568" s="2" t="inlineStr">
        <is>
          <t>key_event</t>
        </is>
      </c>
      <c r="D568" s="2" t="inlineStr">
        <is>
          <t>Key event (M&amp;A, financing, strategy)</t>
        </is>
      </c>
      <c r="E568" s="2" t="n"/>
      <c r="F568" s="2" t="n"/>
      <c r="G568" s="2" t="n"/>
      <c r="H568" s="3" t="inlineStr">
        <is>
          <t>Schroders Capital lock-up on its DRs ran until 31 December 2024.</t>
        </is>
      </c>
      <c r="I568" s="2" t="inlineStr">
        <is>
          <t>S2</t>
        </is>
      </c>
      <c r="J568" s="2" t="n">
        <v>75</v>
      </c>
      <c r="K568" s="3" t="inlineStr">
        <is>
          <t>The agreement with Schroders included a lock-up period until 31 December 2024.</t>
        </is>
      </c>
      <c r="L568" s="2" t="inlineStr">
        <is>
          <t>pend</t>
        </is>
      </c>
      <c r="M568" s="2" t="n"/>
      <c r="N568" s="2" t="n"/>
      <c r="O568" s="3" t="inlineStr">
        <is>
          <t>https://vanillabonds.com/dossier-data/pdf/fastned/fastned-2024-annual-report.pdf#page=75</t>
        </is>
      </c>
    </row>
    <row r="569">
      <c r="A569" s="2" t="inlineStr">
        <is>
          <t>F568</t>
        </is>
      </c>
      <c r="B569" s="2" t="inlineStr">
        <is>
          <t>business</t>
        </is>
      </c>
      <c r="C569" s="2" t="inlineStr">
        <is>
          <t>key_event</t>
        </is>
      </c>
      <c r="D569" s="2" t="inlineStr">
        <is>
          <t>Key event (M&amp;A, financing, strategy)</t>
        </is>
      </c>
      <c r="E569" s="2" t="n"/>
      <c r="F569" s="2" t="n"/>
      <c r="G569" s="2" t="n"/>
      <c r="H569" s="3" t="inlineStr">
        <is>
          <t>2024: three bond tranches issued raising over €82 million (bonds issued and extended, about €82m).</t>
        </is>
      </c>
      <c r="I569" s="2" t="inlineStr">
        <is>
          <t>S2</t>
        </is>
      </c>
      <c r="J569" s="2" t="n">
        <v>84</v>
      </c>
      <c r="K569" s="3" t="inlineStr">
        <is>
          <t>In 2024 we issued three tranches of bonds, raising over €82 million.</t>
        </is>
      </c>
      <c r="L569" s="2" t="inlineStr">
        <is>
          <t>pend</t>
        </is>
      </c>
      <c r="M569" s="2" t="n"/>
      <c r="N569" s="2" t="n"/>
      <c r="O569" s="3" t="inlineStr">
        <is>
          <t>https://vanillabonds.com/dossier-data/pdf/fastned/fastned-2024-annual-report.pdf#page=84</t>
        </is>
      </c>
    </row>
    <row r="570">
      <c r="A570" s="2" t="inlineStr">
        <is>
          <t>F569</t>
        </is>
      </c>
      <c r="B570" s="2" t="inlineStr">
        <is>
          <t>business</t>
        </is>
      </c>
      <c r="C570" s="2" t="inlineStr">
        <is>
          <t>key_event</t>
        </is>
      </c>
      <c r="D570" s="2" t="inlineStr">
        <is>
          <t>Key event (M&amp;A, financing, strategy)</t>
        </is>
      </c>
      <c r="E570" s="2" t="n"/>
      <c r="F570" s="2" t="n"/>
      <c r="G570" s="2" t="n"/>
      <c r="H570" s="3" t="inlineStr">
        <is>
          <t>29 November 2024: Françoise Poggi appointed COO and third Management Board member.</t>
        </is>
      </c>
      <c r="I570" s="2" t="inlineStr">
        <is>
          <t>S2</t>
        </is>
      </c>
      <c r="J570" s="2" t="n">
        <v>86</v>
      </c>
      <c r="K570" s="3" t="inlineStr">
        <is>
          <t>On 29 November 2024 Françoise Poggi was appointed following the nomination of the Supervisory Board.</t>
        </is>
      </c>
      <c r="L570" s="2" t="inlineStr">
        <is>
          <t>pend</t>
        </is>
      </c>
      <c r="M570" s="2" t="n"/>
      <c r="N570" s="2" t="n"/>
      <c r="O570" s="3" t="inlineStr">
        <is>
          <t>https://vanillabonds.com/dossier-data/pdf/fastned/fastned-2024-annual-report.pdf#page=86</t>
        </is>
      </c>
    </row>
    <row r="571">
      <c r="A571" s="2" t="inlineStr">
        <is>
          <t>F570</t>
        </is>
      </c>
      <c r="B571" s="2" t="inlineStr">
        <is>
          <t>business</t>
        </is>
      </c>
      <c r="C571" s="2" t="inlineStr">
        <is>
          <t>key_event</t>
        </is>
      </c>
      <c r="D571" s="2" t="inlineStr">
        <is>
          <t>Key event (M&amp;A, financing, strategy)</t>
        </is>
      </c>
      <c r="E571" s="2" t="n"/>
      <c r="F571" s="2" t="n"/>
      <c r="G571" s="2" t="n"/>
      <c r="H571" s="3" t="inlineStr">
        <is>
          <t>Historical equity: Founders Club investors subscribed minimum EUR 25,000 in the first primary share issuance on NPEX (2014-2015) or EUR 50,000 on Nxchange (April-May 2016).</t>
        </is>
      </c>
      <c r="I571" s="2" t="inlineStr">
        <is>
          <t>S2</t>
        </is>
      </c>
      <c r="J571" s="2" t="n">
        <v>124</v>
      </c>
      <c r="K571" s="3" t="inlineStr">
        <is>
          <t>In May 2015, Fastned launched the Fastned Founders Club. This is a special group</t>
        </is>
      </c>
      <c r="L571" s="2" t="inlineStr">
        <is>
          <t>pend</t>
        </is>
      </c>
      <c r="M571" s="2" t="n"/>
      <c r="N571" s="2" t="n"/>
      <c r="O571" s="3" t="inlineStr">
        <is>
          <t>https://vanillabonds.com/dossier-data/pdf/fastned/fastned-2024-annual-report.pdf#page=124</t>
        </is>
      </c>
    </row>
    <row r="572">
      <c r="A572" s="2" t="inlineStr">
        <is>
          <t>F571</t>
        </is>
      </c>
      <c r="B572" s="2" t="inlineStr">
        <is>
          <t>business</t>
        </is>
      </c>
      <c r="C572" s="2" t="inlineStr">
        <is>
          <t>key_event</t>
        </is>
      </c>
      <c r="D572" s="2" t="inlineStr">
        <is>
          <t>Key event (M&amp;A, financing, strategy)</t>
        </is>
      </c>
      <c r="E572" s="2" t="n"/>
      <c r="F572" s="2" t="n"/>
      <c r="G572" s="2" t="n"/>
      <c r="H572" s="3" t="inlineStr">
        <is>
          <t>Fastned Austria GmbH established 16 February 2024.</t>
        </is>
      </c>
      <c r="I572" s="2" t="inlineStr">
        <is>
          <t>S2</t>
        </is>
      </c>
      <c r="J572" s="2" t="n">
        <v>127</v>
      </c>
      <c r="K572" s="3" t="inlineStr">
        <is>
          <t>In 2024, the Group established a new subsidiary in Austria. Fastned Austria GmbH</t>
        </is>
      </c>
      <c r="L572" s="2" t="inlineStr">
        <is>
          <t>pend</t>
        </is>
      </c>
      <c r="M572" s="2" t="n"/>
      <c r="N572" s="2" t="n"/>
      <c r="O572" s="3" t="inlineStr">
        <is>
          <t>https://vanillabonds.com/dossier-data/pdf/fastned/fastned-2024-annual-report.pdf#page=127</t>
        </is>
      </c>
    </row>
    <row r="573">
      <c r="A573" s="2" t="inlineStr">
        <is>
          <t>F572</t>
        </is>
      </c>
      <c r="B573" s="2" t="inlineStr">
        <is>
          <t>business</t>
        </is>
      </c>
      <c r="C573" s="2" t="inlineStr">
        <is>
          <t>key_event</t>
        </is>
      </c>
      <c r="D573" s="2" t="inlineStr">
        <is>
          <t>Key event (M&amp;A, financing, strategy)</t>
        </is>
      </c>
      <c r="E573" s="2" t="n"/>
      <c r="F573" s="2" t="n"/>
      <c r="G573" s="2" t="n"/>
      <c r="H573" s="3" t="inlineStr">
        <is>
          <t>2023: German Federal Government tender awarded to construct and operate 34 high-power charging sites on German highways; government owns the infrastructure; accounted under IFRIC 12 with guaranteed installation and operator fees.</t>
        </is>
      </c>
      <c r="I573" s="2" t="inlineStr">
        <is>
          <t>S2</t>
        </is>
      </c>
      <c r="J573" s="2" t="n">
        <v>130</v>
      </c>
      <c r="K573" s="3" t="inlineStr">
        <is>
          <t>During 2023, Fastned was awarded a tender by the German Federal Government</t>
        </is>
      </c>
      <c r="L573" s="2" t="inlineStr">
        <is>
          <t>pend</t>
        </is>
      </c>
      <c r="M573" s="2" t="n"/>
      <c r="N573" s="2" t="n"/>
      <c r="O573" s="3" t="inlineStr">
        <is>
          <t>https://vanillabonds.com/dossier-data/pdf/fastned/fastned-2024-annual-report.pdf#page=130</t>
        </is>
      </c>
    </row>
    <row r="574">
      <c r="A574" s="2" t="inlineStr">
        <is>
          <t>F573</t>
        </is>
      </c>
      <c r="B574" s="2" t="inlineStr">
        <is>
          <t>business</t>
        </is>
      </c>
      <c r="C574" s="2" t="inlineStr">
        <is>
          <t>key_event</t>
        </is>
      </c>
      <c r="D574" s="2" t="inlineStr">
        <is>
          <t>Key event (M&amp;A, financing, strategy)</t>
        </is>
      </c>
      <c r="E574" s="2" t="n"/>
      <c r="F574" s="2" t="n"/>
      <c r="G574" s="2" t="n"/>
      <c r="H574" s="3" t="inlineStr">
        <is>
          <t>February 2024: EUR 24.4m corporate bonds issued plus EUR 3.4m extensions from earlier bonds; coupon stated as 5.5% quarterly in arrears.</t>
        </is>
      </c>
      <c r="I574" s="2" t="inlineStr">
        <is>
          <t>S2</t>
        </is>
      </c>
      <c r="J574" s="2" t="n">
        <v>147</v>
      </c>
      <c r="K574" s="3" t="inlineStr">
        <is>
          <t>In February 2024, Fastned raised €24.4 million through issue of corporate bonds,</t>
        </is>
      </c>
      <c r="L574" s="2" t="inlineStr">
        <is>
          <t>pend</t>
        </is>
      </c>
      <c r="M574" s="2" t="n"/>
      <c r="N574" s="2" t="n"/>
      <c r="O574" s="3" t="inlineStr">
        <is>
          <t>https://vanillabonds.com/dossier-data/pdf/fastned/fastned-2024-annual-report.pdf#page=147</t>
        </is>
      </c>
    </row>
    <row r="575">
      <c r="A575" s="2" t="inlineStr">
        <is>
          <t>F574</t>
        </is>
      </c>
      <c r="B575" s="2" t="inlineStr">
        <is>
          <t>business</t>
        </is>
      </c>
      <c r="C575" s="2" t="inlineStr">
        <is>
          <t>key_event</t>
        </is>
      </c>
      <c r="D575" s="2" t="inlineStr">
        <is>
          <t>Key event (M&amp;A, financing, strategy)</t>
        </is>
      </c>
      <c r="E575" s="2" t="n"/>
      <c r="F575" s="2" t="n"/>
      <c r="G575" s="2" t="n"/>
      <c r="H575" s="3" t="inlineStr">
        <is>
          <t>June 2024: EUR 20.7m corporate bonds issued plus EUR 12.3m extensions from earlier bonds; 6.0% quarterly in arrears.</t>
        </is>
      </c>
      <c r="I575" s="2" t="inlineStr">
        <is>
          <t>S2</t>
        </is>
      </c>
      <c r="J575" s="2" t="n">
        <v>147</v>
      </c>
      <c r="K575" s="3" t="inlineStr">
        <is>
          <t>2024, Fastned raised an additional €20.7 million of corporate bonds and €12.3</t>
        </is>
      </c>
      <c r="L575" s="2" t="inlineStr">
        <is>
          <t>pend</t>
        </is>
      </c>
      <c r="M575" s="2" t="n"/>
      <c r="N575" s="2" t="n"/>
      <c r="O575" s="3" t="inlineStr">
        <is>
          <t>https://vanillabonds.com/dossier-data/pdf/fastned/fastned-2024-annual-report.pdf#page=147</t>
        </is>
      </c>
    </row>
    <row r="576">
      <c r="A576" s="2" t="inlineStr">
        <is>
          <t>F575</t>
        </is>
      </c>
      <c r="B576" s="2" t="inlineStr">
        <is>
          <t>business</t>
        </is>
      </c>
      <c r="C576" s="2" t="inlineStr">
        <is>
          <t>key_event</t>
        </is>
      </c>
      <c r="D576" s="2" t="inlineStr">
        <is>
          <t>Key event (M&amp;A, financing, strategy)</t>
        </is>
      </c>
      <c r="E576" s="2" t="n"/>
      <c r="F576" s="2" t="n"/>
      <c r="G576" s="2" t="n"/>
      <c r="H576" s="3" t="inlineStr">
        <is>
          <t>October 2024: EUR 17.1m corporate bonds issued plus EUR 4.9m extensions; 6.0% quarterly in arrears.</t>
        </is>
      </c>
      <c r="I576" s="2" t="inlineStr">
        <is>
          <t>S2</t>
        </is>
      </c>
      <c r="J576" s="2" t="n">
        <v>147</v>
      </c>
      <c r="K576" s="3" t="inlineStr">
        <is>
          <t>In October 2024, Fastned raised an additional €17.1 million of corporate bonds and €4.9 million of extensions from earlier bonds issues.</t>
        </is>
      </c>
      <c r="L576" s="2" t="inlineStr">
        <is>
          <t>pend</t>
        </is>
      </c>
      <c r="M576" s="2" t="n"/>
      <c r="N576" s="2" t="n"/>
      <c r="O576" s="3" t="inlineStr">
        <is>
          <t>https://vanillabonds.com/dossier-data/pdf/fastned/fastned-2024-annual-report.pdf#page=147</t>
        </is>
      </c>
    </row>
    <row r="577">
      <c r="A577" s="2" t="inlineStr">
        <is>
          <t>F576</t>
        </is>
      </c>
      <c r="B577" s="2" t="inlineStr">
        <is>
          <t>business</t>
        </is>
      </c>
      <c r="C577" s="2" t="inlineStr">
        <is>
          <t>key_event</t>
        </is>
      </c>
      <c r="D577" s="2" t="inlineStr">
        <is>
          <t>Key event (M&amp;A, financing, strategy)</t>
        </is>
      </c>
      <c r="E577" s="2" t="n"/>
      <c r="F577" s="2" t="n"/>
      <c r="G577" s="2" t="n"/>
      <c r="H577" s="3" t="inlineStr">
        <is>
          <t>2024: EUR 9.8m received under the Caisse des Depots secured loan; EUR 0.45m interest capitalised.</t>
        </is>
      </c>
      <c r="I577" s="2" t="inlineStr">
        <is>
          <t>S2</t>
        </is>
      </c>
      <c r="J577" s="2" t="n">
        <v>147</v>
      </c>
      <c r="K577" s="3" t="inlineStr">
        <is>
          <t>Fastned secured a new loan with Caisse des Dépôts during 2022 - 2024. In 2024,</t>
        </is>
      </c>
      <c r="L577" s="2" t="inlineStr">
        <is>
          <t>pend</t>
        </is>
      </c>
      <c r="M577" s="2" t="n"/>
      <c r="N577" s="2" t="n"/>
      <c r="O577" s="3" t="inlineStr">
        <is>
          <t>https://vanillabonds.com/dossier-data/pdf/fastned/fastned-2024-annual-report.pdf#page=147</t>
        </is>
      </c>
    </row>
    <row r="578">
      <c r="A578" s="2" t="inlineStr">
        <is>
          <t>F577</t>
        </is>
      </c>
      <c r="B578" s="2" t="inlineStr">
        <is>
          <t>business</t>
        </is>
      </c>
      <c r="C578" s="2" t="inlineStr">
        <is>
          <t>key_event</t>
        </is>
      </c>
      <c r="D578" s="2" t="inlineStr">
        <is>
          <t>Key event (M&amp;A, financing, strategy)</t>
        </is>
      </c>
      <c r="E578" s="2" t="n"/>
      <c r="F578" s="2" t="n"/>
      <c r="G578" s="2" t="n"/>
      <c r="H578" s="3" t="inlineStr">
        <is>
          <t>2024: 189,466 DRs issued to employees and former employees exercising options (share premium +EUR 1.9m); 347,163 employee options outstanding at YE2024.</t>
        </is>
      </c>
      <c r="I578" s="2" t="inlineStr">
        <is>
          <t>S2</t>
        </is>
      </c>
      <c r="J578" s="2" t="n">
        <v>157</v>
      </c>
      <c r="K578" s="3" t="inlineStr">
        <is>
          <t>During 2024 189,466 DRs were issued to employees and former employees</t>
        </is>
      </c>
      <c r="L578" s="2" t="inlineStr">
        <is>
          <t>pend</t>
        </is>
      </c>
      <c r="M578" s="2" t="n"/>
      <c r="N578" s="2" t="n"/>
      <c r="O578" s="3" t="inlineStr">
        <is>
          <t>https://vanillabonds.com/dossier-data/pdf/fastned/fastned-2024-annual-report.pdf#page=157</t>
        </is>
      </c>
    </row>
    <row r="579">
      <c r="A579" s="2" t="inlineStr">
        <is>
          <t>F578</t>
        </is>
      </c>
      <c r="B579" s="2" t="inlineStr">
        <is>
          <t>business</t>
        </is>
      </c>
      <c r="C579" s="2" t="inlineStr">
        <is>
          <t>key_event</t>
        </is>
      </c>
      <c r="D579" s="2" t="inlineStr">
        <is>
          <t>Key event (M&amp;A, financing, strategy)</t>
        </is>
      </c>
      <c r="E579" s="2" t="n"/>
      <c r="F579" s="2" t="n"/>
      <c r="G579" s="2" t="n"/>
      <c r="H579" s="3" t="inlineStr">
        <is>
          <t>Post balance sheet, February 2025: EUR 20.4m corporate bonds issued plus EUR 16.2m extensions from earlier bonds; 6% quarterly in arrears.</t>
        </is>
      </c>
      <c r="I579" s="2" t="inlineStr">
        <is>
          <t>S2</t>
        </is>
      </c>
      <c r="J579" s="2" t="n">
        <v>167</v>
      </c>
      <c r="K579" s="3" t="inlineStr">
        <is>
          <t>In February 2025, Fastned raised € 20.4 million through issue of corporate</t>
        </is>
      </c>
      <c r="L579" s="2" t="inlineStr">
        <is>
          <t>pend</t>
        </is>
      </c>
      <c r="M579" s="2" t="n"/>
      <c r="N579" s="2" t="n"/>
      <c r="O579" s="3" t="inlineStr">
        <is>
          <t>https://vanillabonds.com/dossier-data/pdf/fastned/fastned-2024-annual-report.pdf#page=167</t>
        </is>
      </c>
    </row>
    <row r="580">
      <c r="A580" s="2" t="inlineStr">
        <is>
          <t>F579</t>
        </is>
      </c>
      <c r="B580" s="2" t="inlineStr">
        <is>
          <t>business</t>
        </is>
      </c>
      <c r="C580" s="2" t="inlineStr">
        <is>
          <t>key_event</t>
        </is>
      </c>
      <c r="D580" s="2" t="inlineStr">
        <is>
          <t>Key event (M&amp;A, financing, strategy)</t>
        </is>
      </c>
      <c r="E580" s="2" t="n"/>
      <c r="F580" s="2" t="n"/>
      <c r="G580" s="2" t="n"/>
      <c r="H580" s="3" t="inlineStr">
        <is>
          <t>Fast Places Limited: first capital injection approved January 2025 and paid February 2025; Fastned UK share EUR 1.07m (51%), partner 49%.</t>
        </is>
      </c>
      <c r="I580" s="2" t="inlineStr">
        <is>
          <t>S2</t>
        </is>
      </c>
      <c r="J580" s="2" t="n">
        <v>167</v>
      </c>
      <c r="K580" s="3" t="inlineStr">
        <is>
          <t>amounted to €1.07 million. This injection represents Fastned's 51% stake in the</t>
        </is>
      </c>
      <c r="L580" s="2" t="inlineStr">
        <is>
          <t>pend</t>
        </is>
      </c>
      <c r="M580" s="2" t="n"/>
      <c r="N580" s="2" t="n"/>
      <c r="O580" s="3" t="inlineStr">
        <is>
          <t>https://vanillabonds.com/dossier-data/pdf/fastned/fastned-2024-annual-report.pdf#page=167</t>
        </is>
      </c>
    </row>
    <row r="581">
      <c r="A581" s="2" t="inlineStr">
        <is>
          <t>F580</t>
        </is>
      </c>
      <c r="B581" s="2" t="inlineStr">
        <is>
          <t>financials</t>
        </is>
      </c>
      <c r="C581" s="2" t="inlineStr">
        <is>
          <t>revenue</t>
        </is>
      </c>
      <c r="D581" s="2" t="inlineStr">
        <is>
          <t>Revenue</t>
        </is>
      </c>
      <c r="E581" s="2" t="inlineStr">
        <is>
          <t>FY2020</t>
        </is>
      </c>
      <c r="F581" s="2" t="n">
        <v>6.3</v>
      </c>
      <c r="G581" s="2" t="inlineStr">
        <is>
          <t>EUR m</t>
        </is>
      </c>
      <c r="H581" s="2" t="inlineStr">
        <is>
          <t>Revenue €6,253k (five-year table)</t>
        </is>
      </c>
      <c r="I581" s="2" t="inlineStr">
        <is>
          <t>S2</t>
        </is>
      </c>
      <c r="J581" s="2" t="n">
        <v>81</v>
      </c>
      <c r="K581" s="3" t="inlineStr">
        <is>
          <t>Revenue (€ ‘000) 86,736 43 % 60,514 68 % 35,963 191 % 12,352 98 % 6,253</t>
        </is>
      </c>
      <c r="L581" s="2" t="inlineStr">
        <is>
          <t>pend</t>
        </is>
      </c>
      <c r="M581" s="2" t="n"/>
      <c r="N581" s="2" t="n"/>
      <c r="O581" s="3" t="inlineStr">
        <is>
          <t>https://vanillabonds.com/dossier-data/pdf/fastned/fastned-2024-annual-report.pdf#page=81</t>
        </is>
      </c>
    </row>
    <row r="582">
      <c r="A582" s="2" t="inlineStr">
        <is>
          <t>F581</t>
        </is>
      </c>
      <c r="B582" s="2" t="inlineStr">
        <is>
          <t>financials</t>
        </is>
      </c>
      <c r="C582" s="2" t="inlineStr">
        <is>
          <t>revenue</t>
        </is>
      </c>
      <c r="D582" s="2" t="inlineStr">
        <is>
          <t>Revenue</t>
        </is>
      </c>
      <c r="E582" s="2" t="inlineStr">
        <is>
          <t>FY2021</t>
        </is>
      </c>
      <c r="F582" s="2" t="n">
        <v>12.4</v>
      </c>
      <c r="G582" s="2" t="inlineStr">
        <is>
          <t>EUR m</t>
        </is>
      </c>
      <c r="H582" s="2" t="inlineStr">
        <is>
          <t>Revenue €12,352k (five-year table)</t>
        </is>
      </c>
      <c r="I582" s="2" t="inlineStr">
        <is>
          <t>S2</t>
        </is>
      </c>
      <c r="J582" s="2" t="n">
        <v>81</v>
      </c>
      <c r="K582" s="3" t="inlineStr">
        <is>
          <t>Revenue (€ ‘000) 86,736 43 % 60,514 68 % 35,963 191 % 12,352 98 % 6,253</t>
        </is>
      </c>
      <c r="L582" s="2" t="inlineStr">
        <is>
          <t>pend</t>
        </is>
      </c>
      <c r="M582" s="2" t="n"/>
      <c r="N582" s="2" t="n"/>
      <c r="O582" s="3" t="inlineStr">
        <is>
          <t>https://vanillabonds.com/dossier-data/pdf/fastned/fastned-2024-annual-report.pdf#page=81</t>
        </is>
      </c>
    </row>
    <row r="583">
      <c r="A583" s="2" t="inlineStr">
        <is>
          <t>F582</t>
        </is>
      </c>
      <c r="B583" s="2" t="inlineStr">
        <is>
          <t>financials</t>
        </is>
      </c>
      <c r="C583" s="2" t="inlineStr">
        <is>
          <t>revenue</t>
        </is>
      </c>
      <c r="D583" s="2" t="inlineStr">
        <is>
          <t>Revenue</t>
        </is>
      </c>
      <c r="E583" s="2" t="inlineStr">
        <is>
          <t>FY2022</t>
        </is>
      </c>
      <c r="F583" s="2" t="n">
        <v>36</v>
      </c>
      <c r="G583" s="2" t="inlineStr">
        <is>
          <t>EUR m</t>
        </is>
      </c>
      <c r="H583" s="2" t="inlineStr">
        <is>
          <t>Revenue €35,963k (five-year table)</t>
        </is>
      </c>
      <c r="I583" s="2" t="inlineStr">
        <is>
          <t>S2</t>
        </is>
      </c>
      <c r="J583" s="2" t="n">
        <v>81</v>
      </c>
      <c r="K583" s="3" t="inlineStr">
        <is>
          <t>Revenue (€ ‘000) 86,736 43 % 60,514 68 % 35,963 191 % 12,352 98 % 6,253</t>
        </is>
      </c>
      <c r="L583" s="2" t="inlineStr">
        <is>
          <t>pend</t>
        </is>
      </c>
      <c r="M583" s="2" t="n"/>
      <c r="N583" s="2" t="n"/>
      <c r="O583" s="3" t="inlineStr">
        <is>
          <t>https://vanillabonds.com/dossier-data/pdf/fastned/fastned-2024-annual-report.pdf#page=81</t>
        </is>
      </c>
    </row>
    <row r="584">
      <c r="A584" s="2" t="inlineStr">
        <is>
          <t>F583</t>
        </is>
      </c>
      <c r="B584" s="2" t="inlineStr">
        <is>
          <t>financials</t>
        </is>
      </c>
      <c r="C584" s="2" t="inlineStr">
        <is>
          <t>revenue</t>
        </is>
      </c>
      <c r="D584" s="2" t="inlineStr">
        <is>
          <t>Revenue</t>
        </is>
      </c>
      <c r="E584" s="2" t="inlineStr">
        <is>
          <t>FY2023</t>
        </is>
      </c>
      <c r="F584" s="2" t="n">
        <v>60.5</v>
      </c>
      <c r="G584" s="2" t="inlineStr">
        <is>
          <t>EUR m</t>
        </is>
      </c>
      <c r="H584" s="2" t="inlineStr">
        <is>
          <t>Total revenue 2023 EUR 60,514k.</t>
        </is>
      </c>
      <c r="I584" s="2" t="inlineStr">
        <is>
          <t>S2</t>
        </is>
      </c>
      <c r="J584" s="2" t="n">
        <v>129</v>
      </c>
      <c r="K584" s="2" t="inlineStr">
        <is>
          <t>Total revenue 86,736 60,514</t>
        </is>
      </c>
      <c r="L584" s="2" t="inlineStr">
        <is>
          <t>pend</t>
        </is>
      </c>
      <c r="M584" s="2" t="n"/>
      <c r="N584" s="2" t="n"/>
      <c r="O584" s="3" t="inlineStr">
        <is>
          <t>https://vanillabonds.com/dossier-data/pdf/fastned/fastned-2024-annual-report.pdf#page=129</t>
        </is>
      </c>
    </row>
    <row r="585">
      <c r="A585" s="2" t="inlineStr">
        <is>
          <t>F584</t>
        </is>
      </c>
      <c r="B585" s="2" t="inlineStr">
        <is>
          <t>financials</t>
        </is>
      </c>
      <c r="C585" s="2" t="inlineStr">
        <is>
          <t>revenue</t>
        </is>
      </c>
      <c r="D585" s="2" t="inlineStr">
        <is>
          <t>Revenue</t>
        </is>
      </c>
      <c r="E585" s="2" t="inlineStr">
        <is>
          <t>FY2024</t>
        </is>
      </c>
      <c r="F585" s="2" t="n">
        <v>86.7</v>
      </c>
      <c r="G585" s="2" t="inlineStr">
        <is>
          <t>EUR m</t>
        </is>
      </c>
      <c r="H585" s="3" t="inlineStr">
        <is>
          <t>Total revenue 2024 EUR 86,736k (charging revenues EUR 86,313k plus construction under service concessions EUR 423k).</t>
        </is>
      </c>
      <c r="I585" s="2" t="inlineStr">
        <is>
          <t>S2</t>
        </is>
      </c>
      <c r="J585" s="2" t="n">
        <v>129</v>
      </c>
      <c r="K585" s="2" t="inlineStr">
        <is>
          <t>Total revenue 86,736 60,514</t>
        </is>
      </c>
      <c r="L585" s="2" t="inlineStr">
        <is>
          <t>pend</t>
        </is>
      </c>
      <c r="M585" s="2" t="n"/>
      <c r="N585" s="2" t="inlineStr">
        <is>
          <t>conflict: S2·p129 86.7 vs S3·p116 83.8</t>
        </is>
      </c>
      <c r="O585" s="3" t="inlineStr">
        <is>
          <t>https://vanillabonds.com/dossier-data/pdf/fastned/fastned-2024-annual-report.pdf#page=129</t>
        </is>
      </c>
    </row>
    <row r="586">
      <c r="A586" s="2" t="inlineStr">
        <is>
          <t>F585</t>
        </is>
      </c>
      <c r="B586" s="2" t="inlineStr">
        <is>
          <t>financials</t>
        </is>
      </c>
      <c r="C586" s="2" t="inlineStr">
        <is>
          <t>ebitda</t>
        </is>
      </c>
      <c r="D586" s="2" t="inlineStr">
        <is>
          <t>EBITDA (as reported)</t>
        </is>
      </c>
      <c r="E586" s="2" t="inlineStr">
        <is>
          <t>FY2022</t>
        </is>
      </c>
      <c r="F586" s="2" t="n">
        <v>-4.6</v>
      </c>
      <c r="G586" s="2" t="inlineStr">
        <is>
          <t>EUR m</t>
        </is>
      </c>
      <c r="H586" s="3" t="inlineStr">
        <is>
          <t>EBITDA €(4.6)m, financial review key figures</t>
        </is>
      </c>
      <c r="I586" s="2" t="inlineStr">
        <is>
          <t>S2</t>
        </is>
      </c>
      <c r="J586" s="2" t="n">
        <v>39</v>
      </c>
      <c r="K586" s="2" t="inlineStr">
        <is>
          <t>EBITDA 7.4 4.6 (4.6)</t>
        </is>
      </c>
      <c r="L586" s="2" t="inlineStr">
        <is>
          <t>pend</t>
        </is>
      </c>
      <c r="M586" s="2" t="n"/>
      <c r="N586" s="2" t="n"/>
      <c r="O586" s="3" t="inlineStr">
        <is>
          <t>https://vanillabonds.com/dossier-data/pdf/fastned/fastned-2024-annual-report.pdf#page=39</t>
        </is>
      </c>
    </row>
    <row r="587">
      <c r="A587" s="2" t="inlineStr">
        <is>
          <t>F586</t>
        </is>
      </c>
      <c r="B587" s="2" t="inlineStr">
        <is>
          <t>financials</t>
        </is>
      </c>
      <c r="C587" s="2" t="inlineStr">
        <is>
          <t>ebitda</t>
        </is>
      </c>
      <c r="D587" s="2" t="inlineStr">
        <is>
          <t>EBITDA (as reported)</t>
        </is>
      </c>
      <c r="E587" s="2" t="inlineStr">
        <is>
          <t>FY2023</t>
        </is>
      </c>
      <c r="F587" s="2" t="n">
        <v>4.6</v>
      </c>
      <c r="G587" s="2" t="inlineStr">
        <is>
          <t>EUR m</t>
        </is>
      </c>
      <c r="H587" s="3" t="inlineStr">
        <is>
          <t>EBITDA 2023 EUR 4,579k as labelled in the segment note.</t>
        </is>
      </c>
      <c r="I587" s="2" t="inlineStr">
        <is>
          <t>S2</t>
        </is>
      </c>
      <c r="J587" s="2" t="n">
        <v>132</v>
      </c>
      <c r="K587" s="3" t="inlineStr">
        <is>
          <t>EBITDA 6,890 525 (809) 763 (2,246) (544) 4,579</t>
        </is>
      </c>
      <c r="L587" s="2" t="inlineStr">
        <is>
          <t>pend</t>
        </is>
      </c>
      <c r="M587" s="2" t="n"/>
      <c r="N587" s="2" t="n"/>
      <c r="O587" s="3" t="inlineStr">
        <is>
          <t>https://vanillabonds.com/dossier-data/pdf/fastned/fastned-2024-annual-report.pdf#page=132</t>
        </is>
      </c>
    </row>
    <row r="588">
      <c r="A588" s="2" t="inlineStr">
        <is>
          <t>F587</t>
        </is>
      </c>
      <c r="B588" s="2" t="inlineStr">
        <is>
          <t>financials</t>
        </is>
      </c>
      <c r="C588" s="2" t="inlineStr">
        <is>
          <t>ebitda</t>
        </is>
      </c>
      <c r="D588" s="2" t="inlineStr">
        <is>
          <t>EBITDA (as reported)</t>
        </is>
      </c>
      <c r="E588" s="2" t="inlineStr">
        <is>
          <t>FY2024</t>
        </is>
      </c>
      <c r="F588" s="2" t="n">
        <v>7.4</v>
      </c>
      <c r="G588" s="2" t="inlineStr">
        <is>
          <t>EUR m</t>
        </is>
      </c>
      <c r="H588" s="3" t="inlineStr">
        <is>
          <t>EBITDA 2024 EUR 7,366k as labelled in the segment note (non-IFRS measure used by the CODM).</t>
        </is>
      </c>
      <c r="I588" s="2" t="inlineStr">
        <is>
          <t>S2</t>
        </is>
      </c>
      <c r="J588" s="2" t="n">
        <v>131</v>
      </c>
      <c r="K588" s="3" t="inlineStr">
        <is>
          <t>EBITDA 12,284 (1,121) (2,804) 1,630 (111) (2,512) 7,366</t>
        </is>
      </c>
      <c r="L588" s="2" t="inlineStr">
        <is>
          <t>pend</t>
        </is>
      </c>
      <c r="M588" s="2" t="n"/>
      <c r="N588" s="2" t="n"/>
      <c r="O588" s="3" t="inlineStr">
        <is>
          <t>https://vanillabonds.com/dossier-data/pdf/fastned/fastned-2024-annual-report.pdf#page=131</t>
        </is>
      </c>
    </row>
    <row r="589">
      <c r="A589" s="2" t="inlineStr">
        <is>
          <t>F588</t>
        </is>
      </c>
      <c r="B589" s="2" t="inlineStr">
        <is>
          <t>financials</t>
        </is>
      </c>
      <c r="C589" s="2" t="inlineStr">
        <is>
          <t>ebitda_adj</t>
        </is>
      </c>
      <c r="D589" s="3" t="inlineStr">
        <is>
          <t>EBITDA adjusted / underlying (as reported)</t>
        </is>
      </c>
      <c r="E589" s="2" t="inlineStr">
        <is>
          <t>FY2022</t>
        </is>
      </c>
      <c r="F589" s="2" t="n">
        <v>-4</v>
      </c>
      <c r="G589" s="2" t="inlineStr">
        <is>
          <t>EUR m</t>
        </is>
      </c>
      <c r="H589" s="2" t="inlineStr">
        <is>
          <t>Underlying company EBITDA</t>
        </is>
      </c>
      <c r="I589" s="2" t="inlineStr">
        <is>
          <t>S2</t>
        </is>
      </c>
      <c r="J589" s="2" t="n">
        <v>39</v>
      </c>
      <c r="K589" s="3" t="inlineStr">
        <is>
          <t>Underlying company EBITDA 8.7 7.8 (4.0) 11 %</t>
        </is>
      </c>
      <c r="L589" s="2" t="inlineStr">
        <is>
          <t>pend</t>
        </is>
      </c>
      <c r="M589" s="2" t="n"/>
      <c r="N589" s="2" t="n"/>
      <c r="O589" s="3" t="inlineStr">
        <is>
          <t>https://vanillabonds.com/dossier-data/pdf/fastned/fastned-2024-annual-report.pdf#page=39</t>
        </is>
      </c>
    </row>
    <row r="590">
      <c r="A590" s="2" t="inlineStr">
        <is>
          <t>F589</t>
        </is>
      </c>
      <c r="B590" s="2" t="inlineStr">
        <is>
          <t>financials</t>
        </is>
      </c>
      <c r="C590" s="2" t="inlineStr">
        <is>
          <t>ebitda_adj</t>
        </is>
      </c>
      <c r="D590" s="3" t="inlineStr">
        <is>
          <t>EBITDA adjusted / underlying (as reported)</t>
        </is>
      </c>
      <c r="E590" s="2" t="inlineStr">
        <is>
          <t>FY2023</t>
        </is>
      </c>
      <c r="F590" s="2" t="n">
        <v>7.8</v>
      </c>
      <c r="G590" s="2" t="inlineStr">
        <is>
          <t>EUR m</t>
        </is>
      </c>
      <c r="H590" s="2" t="inlineStr">
        <is>
          <t>Underlying company EBITDA</t>
        </is>
      </c>
      <c r="I590" s="2" t="inlineStr">
        <is>
          <t>S2</t>
        </is>
      </c>
      <c r="J590" s="2" t="n">
        <v>39</v>
      </c>
      <c r="K590" s="3" t="inlineStr">
        <is>
          <t>Underlying company EBITDA 8.7 7.8 (4.0) 11 %</t>
        </is>
      </c>
      <c r="L590" s="2" t="inlineStr">
        <is>
          <t>pend</t>
        </is>
      </c>
      <c r="M590" s="2" t="n"/>
      <c r="N590" s="2" t="n"/>
      <c r="O590" s="3" t="inlineStr">
        <is>
          <t>https://vanillabonds.com/dossier-data/pdf/fastned/fastned-2024-annual-report.pdf#page=39</t>
        </is>
      </c>
    </row>
    <row r="591">
      <c r="A591" s="2" t="inlineStr">
        <is>
          <t>F590</t>
        </is>
      </c>
      <c r="B591" s="2" t="inlineStr">
        <is>
          <t>financials</t>
        </is>
      </c>
      <c r="C591" s="2" t="inlineStr">
        <is>
          <t>ebitda_adj</t>
        </is>
      </c>
      <c r="D591" s="3" t="inlineStr">
        <is>
          <t>EBITDA adjusted / underlying (as reported)</t>
        </is>
      </c>
      <c r="E591" s="2" t="inlineStr">
        <is>
          <t>FY2024</t>
        </is>
      </c>
      <c r="F591" s="2" t="n">
        <v>8.699999999999999</v>
      </c>
      <c r="G591" s="2" t="inlineStr">
        <is>
          <t>EUR m</t>
        </is>
      </c>
      <c r="H591" s="3" t="inlineStr">
        <is>
          <t>Underlying company EBITDA (before exceptional items and station-construction gross profit)</t>
        </is>
      </c>
      <c r="I591" s="2" t="inlineStr">
        <is>
          <t>S2</t>
        </is>
      </c>
      <c r="J591" s="2" t="n">
        <v>39</v>
      </c>
      <c r="K591" s="3" t="inlineStr">
        <is>
          <t>Underlying company EBITDA 8.7 7.8 (4.0) 11 %</t>
        </is>
      </c>
      <c r="L591" s="2" t="inlineStr">
        <is>
          <t>pend</t>
        </is>
      </c>
      <c r="M591" s="2" t="n"/>
      <c r="N591" s="3" t="inlineStr">
        <is>
          <t>conflict: S2·p39 8.7 vs S3·p46 8.7 vs S3·p114 32.6</t>
        </is>
      </c>
      <c r="O591" s="3" t="inlineStr">
        <is>
          <t>https://vanillabonds.com/dossier-data/pdf/fastned/fastned-2024-annual-report.pdf#page=39</t>
        </is>
      </c>
    </row>
    <row r="592">
      <c r="A592" s="2" t="inlineStr">
        <is>
          <t>F591</t>
        </is>
      </c>
      <c r="B592" s="2" t="inlineStr">
        <is>
          <t>financials</t>
        </is>
      </c>
      <c r="C592" s="2" t="inlineStr">
        <is>
          <t>ebit</t>
        </is>
      </c>
      <c r="D592" s="2" t="inlineStr">
        <is>
          <t>EBIT / operating result</t>
        </is>
      </c>
      <c r="E592" s="2" t="inlineStr">
        <is>
          <t>FY2023</t>
        </is>
      </c>
      <c r="F592" s="2" t="n">
        <v>-12.1</v>
      </c>
      <c r="G592" s="2" t="inlineStr">
        <is>
          <t>EUR m</t>
        </is>
      </c>
      <c r="H592" s="2" t="inlineStr">
        <is>
          <t>Operating loss €(12,108)k</t>
        </is>
      </c>
      <c r="I592" s="2" t="inlineStr">
        <is>
          <t>S2</t>
        </is>
      </c>
      <c r="J592" s="2" t="n">
        <v>100</v>
      </c>
      <c r="K592" s="2" t="inlineStr">
        <is>
          <t>Operating loss (16,065) (12,108)</t>
        </is>
      </c>
      <c r="L592" s="2" t="inlineStr">
        <is>
          <t>pend</t>
        </is>
      </c>
      <c r="M592" s="2" t="n"/>
      <c r="N592" s="2" t="n"/>
      <c r="O592" s="3" t="inlineStr">
        <is>
          <t>https://vanillabonds.com/dossier-data/pdf/fastned/fastned-2024-annual-report.pdf#page=100</t>
        </is>
      </c>
    </row>
    <row r="593">
      <c r="A593" s="2" t="inlineStr">
        <is>
          <t>F592</t>
        </is>
      </c>
      <c r="B593" s="2" t="inlineStr">
        <is>
          <t>financials</t>
        </is>
      </c>
      <c r="C593" s="2" t="inlineStr">
        <is>
          <t>ebit</t>
        </is>
      </c>
      <c r="D593" s="2" t="inlineStr">
        <is>
          <t>EBIT / operating result</t>
        </is>
      </c>
      <c r="E593" s="2" t="inlineStr">
        <is>
          <t>FY2024</t>
        </is>
      </c>
      <c r="F593" s="2" t="n">
        <v>-16.1</v>
      </c>
      <c r="G593" s="2" t="inlineStr">
        <is>
          <t>EUR m</t>
        </is>
      </c>
      <c r="H593" s="2" t="inlineStr">
        <is>
          <t>Operating loss €(16,065)k</t>
        </is>
      </c>
      <c r="I593" s="2" t="inlineStr">
        <is>
          <t>S2</t>
        </is>
      </c>
      <c r="J593" s="2" t="n">
        <v>100</v>
      </c>
      <c r="K593" s="2" t="inlineStr">
        <is>
          <t>Operating loss (16,065) (12,108)</t>
        </is>
      </c>
      <c r="L593" s="2" t="inlineStr">
        <is>
          <t>pend</t>
        </is>
      </c>
      <c r="M593" s="2" t="n"/>
      <c r="N593" s="2" t="n"/>
      <c r="O593" s="3" t="inlineStr">
        <is>
          <t>https://vanillabonds.com/dossier-data/pdf/fastned/fastned-2024-annual-report.pdf#page=100</t>
        </is>
      </c>
    </row>
    <row r="594">
      <c r="A594" s="2" t="inlineStr">
        <is>
          <t>F593</t>
        </is>
      </c>
      <c r="B594" s="2" t="inlineStr">
        <is>
          <t>financials</t>
        </is>
      </c>
      <c r="C594" s="2" t="inlineStr">
        <is>
          <t>net_income</t>
        </is>
      </c>
      <c r="D594" s="2" t="inlineStr">
        <is>
          <t>Net result</t>
        </is>
      </c>
      <c r="E594" s="2" t="inlineStr">
        <is>
          <t>FY2022</t>
        </is>
      </c>
      <c r="F594" s="2" t="n">
        <v>-22.2</v>
      </c>
      <c r="G594" s="2" t="inlineStr">
        <is>
          <t>EUR m</t>
        </is>
      </c>
      <c r="H594" s="3" t="inlineStr">
        <is>
          <t>Net profit €(22.2)m, financial review key figures</t>
        </is>
      </c>
      <c r="I594" s="2" t="inlineStr">
        <is>
          <t>S2</t>
        </is>
      </c>
      <c r="J594" s="2" t="n">
        <v>39</v>
      </c>
      <c r="K594" s="2" t="inlineStr">
        <is>
          <t>Net profit (26.6) (19.3) (22.2)</t>
        </is>
      </c>
      <c r="L594" s="2" t="inlineStr">
        <is>
          <t>pend</t>
        </is>
      </c>
      <c r="M594" s="2" t="n"/>
      <c r="N594" s="2" t="n"/>
      <c r="O594" s="3" t="inlineStr">
        <is>
          <t>https://vanillabonds.com/dossier-data/pdf/fastned/fastned-2024-annual-report.pdf#page=39</t>
        </is>
      </c>
    </row>
    <row r="595">
      <c r="A595" s="2" t="inlineStr">
        <is>
          <t>F594</t>
        </is>
      </c>
      <c r="B595" s="2" t="inlineStr">
        <is>
          <t>financials</t>
        </is>
      </c>
      <c r="C595" s="2" t="inlineStr">
        <is>
          <t>net_income</t>
        </is>
      </c>
      <c r="D595" s="2" t="inlineStr">
        <is>
          <t>Net result</t>
        </is>
      </c>
      <c r="E595" s="2" t="inlineStr">
        <is>
          <t>FY2023</t>
        </is>
      </c>
      <c r="F595" s="2" t="n">
        <v>-19.3</v>
      </c>
      <c r="G595" s="2" t="inlineStr">
        <is>
          <t>EUR m</t>
        </is>
      </c>
      <c r="H595" s="2" t="inlineStr">
        <is>
          <t>Net loss 2023 EUR 19,250k.</t>
        </is>
      </c>
      <c r="I595" s="2" t="inlineStr">
        <is>
          <t>S2</t>
        </is>
      </c>
      <c r="J595" s="2" t="n">
        <v>139</v>
      </c>
      <c r="K595" s="2" t="inlineStr">
        <is>
          <t>Net profit (26,641) (19,250)</t>
        </is>
      </c>
      <c r="L595" s="2" t="inlineStr">
        <is>
          <t>pend</t>
        </is>
      </c>
      <c r="M595" s="2" t="n"/>
      <c r="N595" s="2" t="n"/>
      <c r="O595" s="3" t="inlineStr">
        <is>
          <t>https://vanillabonds.com/dossier-data/pdf/fastned/fastned-2024-annual-report.pdf#page=139</t>
        </is>
      </c>
    </row>
    <row r="596">
      <c r="A596" s="2" t="inlineStr">
        <is>
          <t>F595</t>
        </is>
      </c>
      <c r="B596" s="2" t="inlineStr">
        <is>
          <t>financials</t>
        </is>
      </c>
      <c r="C596" s="2" t="inlineStr">
        <is>
          <t>net_income</t>
        </is>
      </c>
      <c r="D596" s="2" t="inlineStr">
        <is>
          <t>Net result</t>
        </is>
      </c>
      <c r="E596" s="2" t="inlineStr">
        <is>
          <t>FY2024</t>
        </is>
      </c>
      <c r="F596" s="2" t="n">
        <v>-26.6</v>
      </c>
      <c r="G596" s="2" t="inlineStr">
        <is>
          <t>EUR m</t>
        </is>
      </c>
      <c r="H596" s="3" t="inlineStr">
        <is>
          <t>Net loss 2024 EUR 26,641k, fully attributable to shareholders.</t>
        </is>
      </c>
      <c r="I596" s="2" t="inlineStr">
        <is>
          <t>S2</t>
        </is>
      </c>
      <c r="J596" s="2" t="n">
        <v>139</v>
      </c>
      <c r="K596" s="2" t="inlineStr">
        <is>
          <t>Net profit (26,641) (19,250)</t>
        </is>
      </c>
      <c r="L596" s="2" t="inlineStr">
        <is>
          <t>pend</t>
        </is>
      </c>
      <c r="M596" s="2" t="n"/>
      <c r="N596" s="2" t="n"/>
      <c r="O596" s="3" t="inlineStr">
        <is>
          <t>https://vanillabonds.com/dossier-data/pdf/fastned/fastned-2024-annual-report.pdf#page=139</t>
        </is>
      </c>
    </row>
    <row r="597">
      <c r="A597" s="2" t="inlineStr">
        <is>
          <t>F596</t>
        </is>
      </c>
      <c r="B597" s="2" t="inlineStr">
        <is>
          <t>financials</t>
        </is>
      </c>
      <c r="C597" s="2" t="inlineStr">
        <is>
          <t>da</t>
        </is>
      </c>
      <c r="D597" s="2" t="inlineStr">
        <is>
          <t>Depreciation &amp; amortisation</t>
        </is>
      </c>
      <c r="E597" s="2" t="inlineStr">
        <is>
          <t>FY2022</t>
        </is>
      </c>
      <c r="F597" s="2" t="n">
        <v>10.3</v>
      </c>
      <c r="G597" s="2" t="inlineStr">
        <is>
          <t>EUR m</t>
        </is>
      </c>
      <c r="H597" s="2" t="inlineStr">
        <is>
          <t>Depreciation &amp; amortisation €10.3m</t>
        </is>
      </c>
      <c r="I597" s="2" t="inlineStr">
        <is>
          <t>S2</t>
        </is>
      </c>
      <c r="J597" s="2" t="n">
        <v>39</v>
      </c>
      <c r="K597" s="3" t="inlineStr">
        <is>
          <t>Depreciation &amp; amortisation (23.4) (16.7) (10.3)</t>
        </is>
      </c>
      <c r="L597" s="2" t="inlineStr">
        <is>
          <t>pend</t>
        </is>
      </c>
      <c r="M597" s="2" t="n"/>
      <c r="N597" s="2" t="n"/>
      <c r="O597" s="3" t="inlineStr">
        <is>
          <t>https://vanillabonds.com/dossier-data/pdf/fastned/fastned-2024-annual-report.pdf#page=39</t>
        </is>
      </c>
    </row>
    <row r="598">
      <c r="A598" s="2" t="inlineStr">
        <is>
          <t>F597</t>
        </is>
      </c>
      <c r="B598" s="2" t="inlineStr">
        <is>
          <t>financials</t>
        </is>
      </c>
      <c r="C598" s="2" t="inlineStr">
        <is>
          <t>da</t>
        </is>
      </c>
      <c r="D598" s="2" t="inlineStr">
        <is>
          <t>Depreciation &amp; amortisation</t>
        </is>
      </c>
      <c r="E598" s="2" t="inlineStr">
        <is>
          <t>FY2023</t>
        </is>
      </c>
      <c r="F598" s="2" t="n">
        <v>16.7</v>
      </c>
      <c r="G598" s="2" t="inlineStr">
        <is>
          <t>EUR m</t>
        </is>
      </c>
      <c r="H598" s="3" t="inlineStr">
        <is>
          <t>Depreciation and amortisation 2023 EUR 16,662k.</t>
        </is>
      </c>
      <c r="I598" s="2" t="inlineStr">
        <is>
          <t>S2</t>
        </is>
      </c>
      <c r="J598" s="2" t="n">
        <v>132</v>
      </c>
      <c r="K598" s="3" t="inlineStr">
        <is>
          <t>Depreciation and amortization (9,494) (1,915) (793) (1,189) (3,031) (240) (16,662)</t>
        </is>
      </c>
      <c r="L598" s="2" t="inlineStr">
        <is>
          <t>pend</t>
        </is>
      </c>
      <c r="M598" s="2" t="n"/>
      <c r="N598" s="2" t="n"/>
      <c r="O598" s="3" t="inlineStr">
        <is>
          <t>https://vanillabonds.com/dossier-data/pdf/fastned/fastned-2024-annual-report.pdf#page=132</t>
        </is>
      </c>
    </row>
    <row r="599">
      <c r="A599" s="2" t="inlineStr">
        <is>
          <t>F598</t>
        </is>
      </c>
      <c r="B599" s="2" t="inlineStr">
        <is>
          <t>financials</t>
        </is>
      </c>
      <c r="C599" s="2" t="inlineStr">
        <is>
          <t>da</t>
        </is>
      </c>
      <c r="D599" s="2" t="inlineStr">
        <is>
          <t>Depreciation &amp; amortisation</t>
        </is>
      </c>
      <c r="E599" s="2" t="inlineStr">
        <is>
          <t>FY2024</t>
        </is>
      </c>
      <c r="F599" s="2" t="n">
        <v>23.4</v>
      </c>
      <c r="G599" s="2" t="inlineStr">
        <is>
          <t>EUR m</t>
        </is>
      </c>
      <c r="H599" s="3" t="inlineStr">
        <is>
          <t>Depreciation and amortisation 2024 EUR 23,429k (PP&amp;E 19,416k, right-of-use 3,736k, intangibles 277k).</t>
        </is>
      </c>
      <c r="I599" s="2" t="inlineStr">
        <is>
          <t>S2</t>
        </is>
      </c>
      <c r="J599" s="2" t="n">
        <v>131</v>
      </c>
      <c r="K599" s="3" t="inlineStr">
        <is>
          <t>Depreciation and amortization (13,270) (2,483) (1,480) (2,073) (3,224) (899) (23,429)</t>
        </is>
      </c>
      <c r="L599" s="2" t="inlineStr">
        <is>
          <t>pend</t>
        </is>
      </c>
      <c r="M599" s="2" t="n"/>
      <c r="N599" s="2" t="n"/>
      <c r="O599" s="3" t="inlineStr">
        <is>
          <t>https://vanillabonds.com/dossier-data/pdf/fastned/fastned-2024-annual-report.pdf#page=131</t>
        </is>
      </c>
    </row>
    <row r="600">
      <c r="A600" s="2" t="inlineStr">
        <is>
          <t>F599</t>
        </is>
      </c>
      <c r="B600" s="2" t="inlineStr">
        <is>
          <t>financials</t>
        </is>
      </c>
      <c r="C600" s="2" t="inlineStr">
        <is>
          <t>net_interest</t>
        </is>
      </c>
      <c r="D600" s="2" t="inlineStr">
        <is>
          <t>Net finance cost</t>
        </is>
      </c>
      <c r="E600" s="2" t="inlineStr">
        <is>
          <t>FY2022</t>
        </is>
      </c>
      <c r="F600" s="2" t="n">
        <v>7.4</v>
      </c>
      <c r="G600" s="2" t="inlineStr">
        <is>
          <t>EUR m</t>
        </is>
      </c>
      <c r="H600" s="2" t="inlineStr">
        <is>
          <t>Net finance cost €7.4m</t>
        </is>
      </c>
      <c r="I600" s="2" t="inlineStr">
        <is>
          <t>S2</t>
        </is>
      </c>
      <c r="J600" s="2" t="n">
        <v>39</v>
      </c>
      <c r="K600" s="2" t="inlineStr">
        <is>
          <t>Finance income/(cost) (10.9) (6.8) (7.4)</t>
        </is>
      </c>
      <c r="L600" s="2" t="inlineStr">
        <is>
          <t>pend</t>
        </is>
      </c>
      <c r="M600" s="2" t="n"/>
      <c r="N600" s="3" t="inlineStr">
        <is>
          <t>conflict: S1·p36 7.4 vs S1·p125 7.6 vs S2·p39 7.4</t>
        </is>
      </c>
      <c r="O600" s="3" t="inlineStr">
        <is>
          <t>https://vanillabonds.com/dossier-data/pdf/fastned/fastned-2024-annual-report.pdf#page=39</t>
        </is>
      </c>
    </row>
    <row r="601">
      <c r="A601" s="2" t="inlineStr">
        <is>
          <t>F600</t>
        </is>
      </c>
      <c r="B601" s="2" t="inlineStr">
        <is>
          <t>financials</t>
        </is>
      </c>
      <c r="C601" s="2" t="inlineStr">
        <is>
          <t>net_interest</t>
        </is>
      </c>
      <c r="D601" s="2" t="inlineStr">
        <is>
          <t>Net finance cost</t>
        </is>
      </c>
      <c r="E601" s="2" t="inlineStr">
        <is>
          <t>FY2023</t>
        </is>
      </c>
      <c r="F601" s="2" t="n">
        <v>6.8</v>
      </c>
      <c r="G601" s="2" t="inlineStr">
        <is>
          <t>EUR m</t>
        </is>
      </c>
      <c r="H601" s="3" t="inlineStr">
        <is>
          <t>Net finance cost €6.8m (finance costs €9,624k less finance income €2,821k)</t>
        </is>
      </c>
      <c r="I601" s="2" t="inlineStr">
        <is>
          <t>S2</t>
        </is>
      </c>
      <c r="J601" s="2" t="n">
        <v>39</v>
      </c>
      <c r="K601" s="2" t="inlineStr">
        <is>
          <t>Finance income/(cost) (10.9) (6.8) (7.4)</t>
        </is>
      </c>
      <c r="L601" s="2" t="inlineStr">
        <is>
          <t>pend</t>
        </is>
      </c>
      <c r="M601" s="2" t="n"/>
      <c r="N601" s="3" t="inlineStr">
        <is>
          <t>conflict: S1·p36 6.8 vs S1·p125 9.6 vs S2·p39 6.8 vs S3·p45 6.8</t>
        </is>
      </c>
      <c r="O601" s="3" t="inlineStr">
        <is>
          <t>https://vanillabonds.com/dossier-data/pdf/fastned/fastned-2024-annual-report.pdf#page=39</t>
        </is>
      </c>
    </row>
    <row r="602">
      <c r="A602" s="2" t="inlineStr">
        <is>
          <t>F601</t>
        </is>
      </c>
      <c r="B602" s="2" t="inlineStr">
        <is>
          <t>financials</t>
        </is>
      </c>
      <c r="C602" s="2" t="inlineStr">
        <is>
          <t>net_interest</t>
        </is>
      </c>
      <c r="D602" s="2" t="inlineStr">
        <is>
          <t>Net finance cost</t>
        </is>
      </c>
      <c r="E602" s="2" t="inlineStr">
        <is>
          <t>FY2024</t>
        </is>
      </c>
      <c r="F602" s="2" t="n">
        <v>10.9</v>
      </c>
      <c r="G602" s="2" t="inlineStr">
        <is>
          <t>EUR m</t>
        </is>
      </c>
      <c r="H602" s="3" t="inlineStr">
        <is>
          <t>Net finance cost €10.9m (finance costs €15,042k less finance income €4,107k); interest paid €14,387k</t>
        </is>
      </c>
      <c r="I602" s="2" t="inlineStr">
        <is>
          <t>S2</t>
        </is>
      </c>
      <c r="J602" s="2" t="n">
        <v>39</v>
      </c>
      <c r="K602" s="2" t="inlineStr">
        <is>
          <t>Finance income/(cost) (10.9) (6.8) (7.4)</t>
        </is>
      </c>
      <c r="L602" s="2" t="inlineStr">
        <is>
          <t>pend</t>
        </is>
      </c>
      <c r="M602" s="2" t="n"/>
      <c r="N602" s="3" t="inlineStr">
        <is>
          <t>conflict: S2·p39 10.9 vs S3·p45 10.9 vs S3·p116 15.0</t>
        </is>
      </c>
      <c r="O602" s="3" t="inlineStr">
        <is>
          <t>https://vanillabonds.com/dossier-data/pdf/fastned/fastned-2024-annual-report.pdf#page=39</t>
        </is>
      </c>
    </row>
    <row r="603">
      <c r="A603" s="2" t="inlineStr">
        <is>
          <t>F602</t>
        </is>
      </c>
      <c r="B603" s="2" t="inlineStr">
        <is>
          <t>financials</t>
        </is>
      </c>
      <c r="C603" s="2" t="inlineStr">
        <is>
          <t>cfo</t>
        </is>
      </c>
      <c r="D603" s="2" t="inlineStr">
        <is>
          <t>Cash flow from operating activities</t>
        </is>
      </c>
      <c r="E603" s="2" t="inlineStr">
        <is>
          <t>FY2022</t>
        </is>
      </c>
      <c r="F603" s="2" t="n">
        <v>-10.8</v>
      </c>
      <c r="G603" s="2" t="inlineStr">
        <is>
          <t>EUR m</t>
        </is>
      </c>
      <c r="H603" s="3" t="inlineStr">
        <is>
          <t>Net cash flow from operating activities €(10,790)k</t>
        </is>
      </c>
      <c r="I603" s="2" t="inlineStr">
        <is>
          <t>S2</t>
        </is>
      </c>
      <c r="J603" s="2" t="n">
        <v>41</v>
      </c>
      <c r="K603" s="3" t="inlineStr">
        <is>
          <t>Net cash flow from operating activities (7,609) (3,141) (10,790)</t>
        </is>
      </c>
      <c r="L603" s="2" t="inlineStr">
        <is>
          <t>pend</t>
        </is>
      </c>
      <c r="M603" s="2" t="n"/>
      <c r="N603" s="2" t="n"/>
      <c r="O603" s="3" t="inlineStr">
        <is>
          <t>https://vanillabonds.com/dossier-data/pdf/fastned/fastned-2024-annual-report.pdf#page=41</t>
        </is>
      </c>
    </row>
    <row r="604">
      <c r="A604" s="2" t="inlineStr">
        <is>
          <t>F603</t>
        </is>
      </c>
      <c r="B604" s="2" t="inlineStr">
        <is>
          <t>financials</t>
        </is>
      </c>
      <c r="C604" s="2" t="inlineStr">
        <is>
          <t>cfo</t>
        </is>
      </c>
      <c r="D604" s="2" t="inlineStr">
        <is>
          <t>Cash flow from operating activities</t>
        </is>
      </c>
      <c r="E604" s="2" t="inlineStr">
        <is>
          <t>FY2023</t>
        </is>
      </c>
      <c r="F604" s="2" t="n">
        <v>-3.1</v>
      </c>
      <c r="G604" s="2" t="inlineStr">
        <is>
          <t>EUR m</t>
        </is>
      </c>
      <c r="H604" s="3" t="inlineStr">
        <is>
          <t>Net cash flows from operating activities €(3,141)k</t>
        </is>
      </c>
      <c r="I604" s="2" t="inlineStr">
        <is>
          <t>S2</t>
        </is>
      </c>
      <c r="J604" s="2" t="n">
        <v>104</v>
      </c>
      <c r="K604" s="3" t="inlineStr">
        <is>
          <t>Net cash flows from operating activities (7,609) (3,141)</t>
        </is>
      </c>
      <c r="L604" s="2" t="inlineStr">
        <is>
          <t>pend</t>
        </is>
      </c>
      <c r="M604" s="2" t="n"/>
      <c r="N604" s="2" t="n"/>
      <c r="O604" s="3" t="inlineStr">
        <is>
          <t>https://vanillabonds.com/dossier-data/pdf/fastned/fastned-2024-annual-report.pdf#page=104</t>
        </is>
      </c>
    </row>
    <row r="605">
      <c r="A605" s="2" t="inlineStr">
        <is>
          <t>F604</t>
        </is>
      </c>
      <c r="B605" s="2" t="inlineStr">
        <is>
          <t>financials</t>
        </is>
      </c>
      <c r="C605" s="2" t="inlineStr">
        <is>
          <t>cfo</t>
        </is>
      </c>
      <c r="D605" s="2" t="inlineStr">
        <is>
          <t>Cash flow from operating activities</t>
        </is>
      </c>
      <c r="E605" s="2" t="inlineStr">
        <is>
          <t>FY2024</t>
        </is>
      </c>
      <c r="F605" s="2" t="n">
        <v>-7.6</v>
      </c>
      <c r="G605" s="2" t="inlineStr">
        <is>
          <t>EUR m</t>
        </is>
      </c>
      <c r="H605" s="3" t="inlineStr">
        <is>
          <t>Net cash flows from operating activities €(7,609)k</t>
        </is>
      </c>
      <c r="I605" s="2" t="inlineStr">
        <is>
          <t>S2</t>
        </is>
      </c>
      <c r="J605" s="2" t="n">
        <v>104</v>
      </c>
      <c r="K605" s="3" t="inlineStr">
        <is>
          <t>Net cash flows from operating activities (7,609) (3,141)</t>
        </is>
      </c>
      <c r="L605" s="2" t="inlineStr">
        <is>
          <t>pend</t>
        </is>
      </c>
      <c r="M605" s="2" t="n"/>
      <c r="N605" s="2" t="n"/>
      <c r="O605" s="3" t="inlineStr">
        <is>
          <t>https://vanillabonds.com/dossier-data/pdf/fastned/fastned-2024-annual-report.pdf#page=104</t>
        </is>
      </c>
    </row>
    <row r="606">
      <c r="A606" s="2" t="inlineStr">
        <is>
          <t>F605</t>
        </is>
      </c>
      <c r="B606" s="2" t="inlineStr">
        <is>
          <t>financials</t>
        </is>
      </c>
      <c r="C606" s="2" t="inlineStr">
        <is>
          <t>capex</t>
        </is>
      </c>
      <c r="D606" s="2" t="inlineStr">
        <is>
          <t>Capex (PP&amp;E + intangibles)</t>
        </is>
      </c>
      <c r="E606" s="2" t="inlineStr">
        <is>
          <t>FY2023</t>
        </is>
      </c>
      <c r="F606" s="2" t="n">
        <v>66.8</v>
      </c>
      <c r="G606" s="2" t="inlineStr">
        <is>
          <t>EUR m</t>
        </is>
      </c>
      <c r="H606" s="3" t="inlineStr">
        <is>
          <t>Payments for PP&amp;E and other intangible assets €66,838k</t>
        </is>
      </c>
      <c r="I606" s="2" t="inlineStr">
        <is>
          <t>S2</t>
        </is>
      </c>
      <c r="J606" s="2" t="n">
        <v>104</v>
      </c>
      <c r="K606" s="3" t="inlineStr">
        <is>
          <t>Payments for property, plant and equipment and other intangible assets 11, 12 (68,042) (66,838)</t>
        </is>
      </c>
      <c r="L606" s="2" t="inlineStr">
        <is>
          <t>pend</t>
        </is>
      </c>
      <c r="M606" s="2" t="n"/>
      <c r="N606" s="3" t="inlineStr">
        <is>
          <t>conflict: S1·p95 66.8 vs S1·p130 63.1 vs S2·p104 66.8 vs S2·p141 63.1</t>
        </is>
      </c>
      <c r="O606" s="3" t="inlineStr">
        <is>
          <t>https://vanillabonds.com/dossier-data/pdf/fastned/fastned-2024-annual-report.pdf#page=104</t>
        </is>
      </c>
    </row>
    <row r="607">
      <c r="A607" s="2" t="inlineStr">
        <is>
          <t>F606</t>
        </is>
      </c>
      <c r="B607" s="2" t="inlineStr">
        <is>
          <t>financials</t>
        </is>
      </c>
      <c r="C607" s="2" t="inlineStr">
        <is>
          <t>capex</t>
        </is>
      </c>
      <c r="D607" s="2" t="inlineStr">
        <is>
          <t>Capex (PP&amp;E + intangibles)</t>
        </is>
      </c>
      <c r="E607" s="2" t="inlineStr">
        <is>
          <t>FY2023</t>
        </is>
      </c>
      <c r="F607" s="2" t="n">
        <v>63.1</v>
      </c>
      <c r="G607" s="2" t="inlineStr">
        <is>
          <t>EUR m</t>
        </is>
      </c>
      <c r="H607" s="3" t="inlineStr">
        <is>
          <t>Additions to PP&amp;E 2023 EUR 63,066k per fixed-asset note; intangible additions EUR 304k separately.</t>
        </is>
      </c>
      <c r="I607" s="2" t="inlineStr">
        <is>
          <t>S2</t>
        </is>
      </c>
      <c r="J607" s="2" t="n">
        <v>141</v>
      </c>
      <c r="K607" s="2" t="inlineStr">
        <is>
          <t>Additions 14 59,205 2,908 939 63,066</t>
        </is>
      </c>
      <c r="L607" s="2" t="inlineStr">
        <is>
          <t>pend</t>
        </is>
      </c>
      <c r="M607" s="2" t="n"/>
      <c r="N607" s="3" t="inlineStr">
        <is>
          <t>conflict: S1·p95 66.8 vs S1·p130 63.1 vs S2·p104 66.8 vs S2·p141 63.1</t>
        </is>
      </c>
      <c r="O607" s="3" t="inlineStr">
        <is>
          <t>https://vanillabonds.com/dossier-data/pdf/fastned/fastned-2024-annual-report.pdf#page=141</t>
        </is>
      </c>
    </row>
    <row r="608">
      <c r="A608" s="2" t="inlineStr">
        <is>
          <t>F607</t>
        </is>
      </c>
      <c r="B608" s="2" t="inlineStr">
        <is>
          <t>financials</t>
        </is>
      </c>
      <c r="C608" s="2" t="inlineStr">
        <is>
          <t>capex</t>
        </is>
      </c>
      <c r="D608" s="2" t="inlineStr">
        <is>
          <t>Capex (PP&amp;E + intangibles)</t>
        </is>
      </c>
      <c r="E608" s="2" t="inlineStr">
        <is>
          <t>FY2024</t>
        </is>
      </c>
      <c r="F608" s="2" t="n">
        <v>68</v>
      </c>
      <c r="G608" s="2" t="inlineStr">
        <is>
          <t>EUR m</t>
        </is>
      </c>
      <c r="H608" s="3" t="inlineStr">
        <is>
          <t>Payments for PP&amp;E and other intangible assets €68,042k</t>
        </is>
      </c>
      <c r="I608" s="2" t="inlineStr">
        <is>
          <t>S2</t>
        </is>
      </c>
      <c r="J608" s="2" t="n">
        <v>104</v>
      </c>
      <c r="K608" s="3" t="inlineStr">
        <is>
          <t>Payments for property, plant and equipment and other intangible assets 11, 12 (68,042) (66,838)</t>
        </is>
      </c>
      <c r="L608" s="2" t="inlineStr">
        <is>
          <t>pend</t>
        </is>
      </c>
      <c r="M608" s="2" t="n"/>
      <c r="N608" s="3" t="inlineStr">
        <is>
          <t>conflict: S2·p104 68.0 vs S2·p141 72.3 vs S3·p120 68.0</t>
        </is>
      </c>
      <c r="O608" s="3" t="inlineStr">
        <is>
          <t>https://vanillabonds.com/dossier-data/pdf/fastned/fastned-2024-annual-report.pdf#page=104</t>
        </is>
      </c>
    </row>
    <row r="609">
      <c r="A609" s="2" t="inlineStr">
        <is>
          <t>F608</t>
        </is>
      </c>
      <c r="B609" s="2" t="inlineStr">
        <is>
          <t>financials</t>
        </is>
      </c>
      <c r="C609" s="2" t="inlineStr">
        <is>
          <t>capex</t>
        </is>
      </c>
      <c r="D609" s="2" t="inlineStr">
        <is>
          <t>Capex (PP&amp;E + intangibles)</t>
        </is>
      </c>
      <c r="E609" s="2" t="inlineStr">
        <is>
          <t>FY2024</t>
        </is>
      </c>
      <c r="F609" s="2" t="n">
        <v>72.3</v>
      </c>
      <c r="G609" s="2" t="inlineStr">
        <is>
          <t>EUR m</t>
        </is>
      </c>
      <c r="H609" s="3" t="inlineStr">
        <is>
          <t>Additions to PP&amp;E 2024 EUR 72,316k per fixed-asset note (incl. EUR 3.5m capitalised staff costs); intangible additions EUR 453k shown separately in note 11; cash capex not in these pages.</t>
        </is>
      </c>
      <c r="I609" s="2" t="inlineStr">
        <is>
          <t>S2</t>
        </is>
      </c>
      <c r="J609" s="2" t="n">
        <v>141</v>
      </c>
      <c r="K609" s="2" t="inlineStr">
        <is>
          <t>Additions 493 66,336 3,614 1,873 72,316</t>
        </is>
      </c>
      <c r="L609" s="2" t="inlineStr">
        <is>
          <t>pend</t>
        </is>
      </c>
      <c r="M609" s="2" t="n"/>
      <c r="N609" s="3" t="inlineStr">
        <is>
          <t>conflict: S2·p104 68.0 vs S2·p141 72.3 vs S3·p120 68.0</t>
        </is>
      </c>
      <c r="O609" s="3" t="inlineStr">
        <is>
          <t>https://vanillabonds.com/dossier-data/pdf/fastned/fastned-2024-annual-report.pdf#page=141</t>
        </is>
      </c>
    </row>
    <row r="610">
      <c r="A610" s="2" t="inlineStr">
        <is>
          <t>F609</t>
        </is>
      </c>
      <c r="B610" s="2" t="inlineStr">
        <is>
          <t>financials</t>
        </is>
      </c>
      <c r="C610" s="2" t="inlineStr">
        <is>
          <t>cash</t>
        </is>
      </c>
      <c r="D610" s="2" t="inlineStr">
        <is>
          <t>Cash &amp; equivalents</t>
        </is>
      </c>
      <c r="E610" s="2" t="inlineStr">
        <is>
          <t>FY2022</t>
        </is>
      </c>
      <c r="F610" s="2" t="n">
        <v>149.5</v>
      </c>
      <c r="G610" s="2" t="inlineStr">
        <is>
          <t>EUR m</t>
        </is>
      </c>
      <c r="H610" s="2" t="inlineStr">
        <is>
          <t>Cash and cash equivalents €149,538k</t>
        </is>
      </c>
      <c r="I610" s="2" t="inlineStr">
        <is>
          <t>S2</t>
        </is>
      </c>
      <c r="J610" s="2" t="n">
        <v>41</v>
      </c>
      <c r="K610" s="3" t="inlineStr">
        <is>
          <t>Cash and cash equivalents at 31 December 117,416 126,604 149,538</t>
        </is>
      </c>
      <c r="L610" s="2" t="inlineStr">
        <is>
          <t>pend</t>
        </is>
      </c>
      <c r="M610" s="2" t="n"/>
      <c r="N610" s="2" t="n"/>
      <c r="O610" s="3" t="inlineStr">
        <is>
          <t>https://vanillabonds.com/dossier-data/pdf/fastned/fastned-2024-annual-report.pdf#page=41</t>
        </is>
      </c>
    </row>
    <row r="611">
      <c r="A611" s="2" t="inlineStr">
        <is>
          <t>F610</t>
        </is>
      </c>
      <c r="B611" s="2" t="inlineStr">
        <is>
          <t>financials</t>
        </is>
      </c>
      <c r="C611" s="2" t="inlineStr">
        <is>
          <t>cash</t>
        </is>
      </c>
      <c r="D611" s="2" t="inlineStr">
        <is>
          <t>Cash &amp; equivalents</t>
        </is>
      </c>
      <c r="E611" s="2" t="inlineStr">
        <is>
          <t>FY2023</t>
        </is>
      </c>
      <c r="F611" s="2" t="n">
        <v>126.6</v>
      </c>
      <c r="G611" s="2" t="inlineStr">
        <is>
          <t>EUR m</t>
        </is>
      </c>
      <c r="H611" s="3" t="inlineStr">
        <is>
          <t>Cash and cash equivalents 31 Dec 2023 EUR 126,604k.</t>
        </is>
      </c>
      <c r="I611" s="2" t="inlineStr">
        <is>
          <t>S2</t>
        </is>
      </c>
      <c r="J611" s="2" t="n">
        <v>156</v>
      </c>
      <c r="K611" s="3" t="inlineStr">
        <is>
          <t>Total cash and cash equivalents 117,416 126,604</t>
        </is>
      </c>
      <c r="L611" s="2" t="inlineStr">
        <is>
          <t>pend</t>
        </is>
      </c>
      <c r="M611" s="2" t="n"/>
      <c r="N611" s="2" t="n"/>
      <c r="O611" s="3" t="inlineStr">
        <is>
          <t>https://vanillabonds.com/dossier-data/pdf/fastned/fastned-2024-annual-report.pdf#page=156</t>
        </is>
      </c>
    </row>
    <row r="612">
      <c r="A612" s="2" t="inlineStr">
        <is>
          <t>F611</t>
        </is>
      </c>
      <c r="B612" s="2" t="inlineStr">
        <is>
          <t>financials</t>
        </is>
      </c>
      <c r="C612" s="2" t="inlineStr">
        <is>
          <t>cash</t>
        </is>
      </c>
      <c r="D612" s="2" t="inlineStr">
        <is>
          <t>Cash &amp; equivalents</t>
        </is>
      </c>
      <c r="E612" s="2" t="inlineStr">
        <is>
          <t>FY2024</t>
        </is>
      </c>
      <c r="F612" s="2" t="n">
        <v>117.4</v>
      </c>
      <c r="G612" s="2" t="inlineStr">
        <is>
          <t>EUR m</t>
        </is>
      </c>
      <c r="H612" s="3" t="inlineStr">
        <is>
          <t>Cash and cash equivalents 31 Dec 2024 EUR 117,416k; demand deposits nil (2023: EUR 105.0m).</t>
        </is>
      </c>
      <c r="I612" s="2" t="inlineStr">
        <is>
          <t>S2</t>
        </is>
      </c>
      <c r="J612" s="2" t="n">
        <v>156</v>
      </c>
      <c r="K612" s="3" t="inlineStr">
        <is>
          <t>Total cash and cash equivalents 117,416 126,604</t>
        </is>
      </c>
      <c r="L612" s="2" t="inlineStr">
        <is>
          <t>pend</t>
        </is>
      </c>
      <c r="M612" s="2" t="n"/>
      <c r="N612" s="2" t="n"/>
      <c r="O612" s="3" t="inlineStr">
        <is>
          <t>https://vanillabonds.com/dossier-data/pdf/fastned/fastned-2024-annual-report.pdf#page=156</t>
        </is>
      </c>
    </row>
    <row r="613">
      <c r="A613" s="2" t="inlineStr">
        <is>
          <t>F612</t>
        </is>
      </c>
      <c r="B613" s="2" t="inlineStr">
        <is>
          <t>financials</t>
        </is>
      </c>
      <c r="C613" s="2" t="inlineStr">
        <is>
          <t>gross_debt</t>
        </is>
      </c>
      <c r="D613" s="3" t="inlineStr">
        <is>
          <t>Gross financial debt (bonds + loans, excl. leases)</t>
        </is>
      </c>
      <c r="E613" s="2" t="inlineStr">
        <is>
          <t>FY2023</t>
        </is>
      </c>
      <c r="F613" s="2" t="n">
        <v>161</v>
      </c>
      <c r="G613" s="2" t="inlineStr">
        <is>
          <t>EUR m</t>
        </is>
      </c>
      <c r="H613" s="3" t="inlineStr">
        <is>
          <t>Interest-bearing loans and borrowings 31 Dec 2023 EUR 160,999k; excludes leases.</t>
        </is>
      </c>
      <c r="I613" s="2" t="inlineStr">
        <is>
          <t>S2</t>
        </is>
      </c>
      <c r="J613" s="2" t="n">
        <v>146</v>
      </c>
      <c r="K613" s="3" t="inlineStr">
        <is>
          <t>Total interest- bearing loans and borrowings 226,460 160,999</t>
        </is>
      </c>
      <c r="L613" s="2" t="inlineStr">
        <is>
          <t>pend</t>
        </is>
      </c>
      <c r="M613" s="2" t="n"/>
      <c r="N613" s="2" t="n"/>
      <c r="O613" s="3" t="inlineStr">
        <is>
          <t>https://vanillabonds.com/dossier-data/pdf/fastned/fastned-2024-annual-report.pdf#page=146</t>
        </is>
      </c>
    </row>
    <row r="614">
      <c r="A614" s="2" t="inlineStr">
        <is>
          <t>F613</t>
        </is>
      </c>
      <c r="B614" s="2" t="inlineStr">
        <is>
          <t>financials</t>
        </is>
      </c>
      <c r="C614" s="2" t="inlineStr">
        <is>
          <t>gross_debt</t>
        </is>
      </c>
      <c r="D614" s="3" t="inlineStr">
        <is>
          <t>Gross financial debt (bonds + loans, excl. leases)</t>
        </is>
      </c>
      <c r="E614" s="2" t="inlineStr">
        <is>
          <t>FY2024</t>
        </is>
      </c>
      <c r="F614" s="2" t="n">
        <v>226.5</v>
      </c>
      <c r="G614" s="2" t="inlineStr">
        <is>
          <t>EUR m</t>
        </is>
      </c>
      <c r="H614" s="3" t="inlineStr">
        <is>
          <t>Interest-bearing loans and borrowings 31 Dec 2024 EUR 226,460k: nine unsecured bonds, two Caisse des Depots secured loan tranches, German forgivable loan; excludes leases.</t>
        </is>
      </c>
      <c r="I614" s="2" t="inlineStr">
        <is>
          <t>S2</t>
        </is>
      </c>
      <c r="J614" s="2" t="n">
        <v>146</v>
      </c>
      <c r="K614" s="3" t="inlineStr">
        <is>
          <t>Total interest- bearing loans and borrowings 226,460 160,999</t>
        </is>
      </c>
      <c r="L614" s="2" t="inlineStr">
        <is>
          <t>pend</t>
        </is>
      </c>
      <c r="M614" s="2" t="n"/>
      <c r="N614" s="2" t="n"/>
      <c r="O614" s="3" t="inlineStr">
        <is>
          <t>https://vanillabonds.com/dossier-data/pdf/fastned/fastned-2024-annual-report.pdf#page=146</t>
        </is>
      </c>
    </row>
    <row r="615">
      <c r="A615" s="2" t="inlineStr">
        <is>
          <t>F614</t>
        </is>
      </c>
      <c r="B615" s="2" t="inlineStr">
        <is>
          <t>financials</t>
        </is>
      </c>
      <c r="C615" s="2" t="inlineStr">
        <is>
          <t>lease_liabilities</t>
        </is>
      </c>
      <c r="D615" s="2" t="inlineStr">
        <is>
          <t>Lease liabilities</t>
        </is>
      </c>
      <c r="E615" s="2" t="inlineStr">
        <is>
          <t>FY2023</t>
        </is>
      </c>
      <c r="F615" s="2" t="n">
        <v>21.2</v>
      </c>
      <c r="G615" s="2" t="inlineStr">
        <is>
          <t>EUR m</t>
        </is>
      </c>
      <c r="H615" s="3" t="inlineStr">
        <is>
          <t>Lease liabilities 31 Dec 2023 EUR 21,244k.</t>
        </is>
      </c>
      <c r="I615" s="2" t="inlineStr">
        <is>
          <t>S2</t>
        </is>
      </c>
      <c r="J615" s="2" t="n">
        <v>158</v>
      </c>
      <c r="K615" s="2" t="inlineStr">
        <is>
          <t>Total lease liabilities 37,719 21,244</t>
        </is>
      </c>
      <c r="L615" s="2" t="inlineStr">
        <is>
          <t>pend</t>
        </is>
      </c>
      <c r="M615" s="2" t="n"/>
      <c r="N615" s="2" t="n"/>
      <c r="O615" s="3" t="inlineStr">
        <is>
          <t>https://vanillabonds.com/dossier-data/pdf/fastned/fastned-2024-annual-report.pdf#page=158</t>
        </is>
      </c>
    </row>
    <row r="616">
      <c r="A616" s="2" t="inlineStr">
        <is>
          <t>F615</t>
        </is>
      </c>
      <c r="B616" s="2" t="inlineStr">
        <is>
          <t>financials</t>
        </is>
      </c>
      <c r="C616" s="2" t="inlineStr">
        <is>
          <t>lease_liabilities</t>
        </is>
      </c>
      <c r="D616" s="2" t="inlineStr">
        <is>
          <t>Lease liabilities</t>
        </is>
      </c>
      <c r="E616" s="2" t="inlineStr">
        <is>
          <t>FY2024</t>
        </is>
      </c>
      <c r="F616" s="2" t="n">
        <v>37.7</v>
      </c>
      <c r="G616" s="2" t="inlineStr">
        <is>
          <t>EUR m</t>
        </is>
      </c>
      <c r="H616" s="3" t="inlineStr">
        <is>
          <t>Lease liabilities 31 Dec 2024 EUR 37,719k (current 3,358k, non-current 34,361k).</t>
        </is>
      </c>
      <c r="I616" s="2" t="inlineStr">
        <is>
          <t>S2</t>
        </is>
      </c>
      <c r="J616" s="2" t="n">
        <v>158</v>
      </c>
      <c r="K616" s="2" t="inlineStr">
        <is>
          <t>Total lease liabilities 37,719 21,244</t>
        </is>
      </c>
      <c r="L616" s="2" t="inlineStr">
        <is>
          <t>pend</t>
        </is>
      </c>
      <c r="M616" s="2" t="n"/>
      <c r="N616" s="2" t="n"/>
      <c r="O616" s="3" t="inlineStr">
        <is>
          <t>https://vanillabonds.com/dossier-data/pdf/fastned/fastned-2024-annual-report.pdf#page=158</t>
        </is>
      </c>
    </row>
    <row r="617">
      <c r="A617" s="2" t="inlineStr">
        <is>
          <t>F616</t>
        </is>
      </c>
      <c r="B617" s="2" t="inlineStr">
        <is>
          <t>financials</t>
        </is>
      </c>
      <c r="C617" s="2" t="inlineStr">
        <is>
          <t>equity</t>
        </is>
      </c>
      <c r="D617" s="2" t="inlineStr">
        <is>
          <t>Total equity</t>
        </is>
      </c>
      <c r="E617" s="2" t="inlineStr">
        <is>
          <t>FY2022</t>
        </is>
      </c>
      <c r="F617" s="2" t="n">
        <v>160.6</v>
      </c>
      <c r="G617" s="2" t="inlineStr">
        <is>
          <t>EUR m</t>
        </is>
      </c>
      <c r="H617" s="2" t="inlineStr">
        <is>
          <t>Total equity €160,645k</t>
        </is>
      </c>
      <c r="I617" s="2" t="inlineStr">
        <is>
          <t>S2</t>
        </is>
      </c>
      <c r="J617" s="2" t="n">
        <v>41</v>
      </c>
      <c r="K617" s="2" t="inlineStr">
        <is>
          <t>Total equity 122,693 146,185 160,645</t>
        </is>
      </c>
      <c r="L617" s="2" t="inlineStr">
        <is>
          <t>pend</t>
        </is>
      </c>
      <c r="M617" s="2" t="n"/>
      <c r="N617" s="2" t="n"/>
      <c r="O617" s="3" t="inlineStr">
        <is>
          <t>https://vanillabonds.com/dossier-data/pdf/fastned/fastned-2024-annual-report.pdf#page=41</t>
        </is>
      </c>
    </row>
    <row r="618">
      <c r="A618" s="2" t="inlineStr">
        <is>
          <t>F617</t>
        </is>
      </c>
      <c r="B618" s="2" t="inlineStr">
        <is>
          <t>financials</t>
        </is>
      </c>
      <c r="C618" s="2" t="inlineStr">
        <is>
          <t>equity</t>
        </is>
      </c>
      <c r="D618" s="2" t="inlineStr">
        <is>
          <t>Total equity</t>
        </is>
      </c>
      <c r="E618" s="2" t="inlineStr">
        <is>
          <t>FY2023</t>
        </is>
      </c>
      <c r="F618" s="2" t="n">
        <v>146.2</v>
      </c>
      <c r="G618" s="2" t="inlineStr">
        <is>
          <t>EUR m</t>
        </is>
      </c>
      <c r="H618" s="3" t="inlineStr">
        <is>
          <t>Total equity €146,185k incl. non-controlling interest €(12)k</t>
        </is>
      </c>
      <c r="I618" s="2" t="inlineStr">
        <is>
          <t>S2</t>
        </is>
      </c>
      <c r="J618" s="2" t="n">
        <v>102</v>
      </c>
      <c r="K618" s="3" t="inlineStr">
        <is>
          <t>Non-controlling interests — (12) 122,693 146,185</t>
        </is>
      </c>
      <c r="L618" s="2" t="inlineStr">
        <is>
          <t>pend</t>
        </is>
      </c>
      <c r="M618" s="2" t="n"/>
      <c r="N618" s="2" t="n"/>
      <c r="O618" s="3" t="inlineStr">
        <is>
          <t>https://vanillabonds.com/dossier-data/pdf/fastned/fastned-2024-annual-report.pdf#page=102</t>
        </is>
      </c>
    </row>
    <row r="619">
      <c r="A619" s="2" t="inlineStr">
        <is>
          <t>F618</t>
        </is>
      </c>
      <c r="B619" s="2" t="inlineStr">
        <is>
          <t>financials</t>
        </is>
      </c>
      <c r="C619" s="2" t="inlineStr">
        <is>
          <t>equity</t>
        </is>
      </c>
      <c r="D619" s="2" t="inlineStr">
        <is>
          <t>Total equity</t>
        </is>
      </c>
      <c r="E619" s="2" t="inlineStr">
        <is>
          <t>FY2024</t>
        </is>
      </c>
      <c r="F619" s="2" t="n">
        <v>122.7</v>
      </c>
      <c r="G619" s="2" t="inlineStr">
        <is>
          <t>EUR m</t>
        </is>
      </c>
      <c r="H619" s="3" t="inlineStr">
        <is>
          <t>Total equity €122,693k (note 1 going-concern text states €119.9m)</t>
        </is>
      </c>
      <c r="I619" s="2" t="inlineStr">
        <is>
          <t>S2</t>
        </is>
      </c>
      <c r="J619" s="2" t="n">
        <v>102</v>
      </c>
      <c r="K619" s="3" t="inlineStr">
        <is>
          <t>Equity attributable to owners of the parent company 122,693 146,197</t>
        </is>
      </c>
      <c r="L619" s="2" t="inlineStr">
        <is>
          <t>pend</t>
        </is>
      </c>
      <c r="M619" s="2" t="n"/>
      <c r="N619" s="2" t="n"/>
      <c r="O619" s="3" t="inlineStr">
        <is>
          <t>https://vanillabonds.com/dossier-data/pdf/fastned/fastned-2024-annual-report.pdf#page=102</t>
        </is>
      </c>
    </row>
    <row r="620">
      <c r="A620" s="2" t="inlineStr">
        <is>
          <t>F619</t>
        </is>
      </c>
      <c r="B620" s="2" t="inlineStr">
        <is>
          <t>financials</t>
        </is>
      </c>
      <c r="C620" s="2" t="inlineStr">
        <is>
          <t>total_assets</t>
        </is>
      </c>
      <c r="D620" s="2" t="inlineStr">
        <is>
          <t>Total assets</t>
        </is>
      </c>
      <c r="E620" s="2" t="inlineStr">
        <is>
          <t>FY2022</t>
        </is>
      </c>
      <c r="F620" s="2" t="n">
        <v>315.2</v>
      </c>
      <c r="G620" s="2" t="inlineStr">
        <is>
          <t>EUR m</t>
        </is>
      </c>
      <c r="H620" s="2" t="inlineStr">
        <is>
          <t>Total assets €315,230k</t>
        </is>
      </c>
      <c r="I620" s="2" t="inlineStr">
        <is>
          <t>S2</t>
        </is>
      </c>
      <c r="J620" s="2" t="n">
        <v>41</v>
      </c>
      <c r="K620" s="2" t="inlineStr">
        <is>
          <t>Total assets 426,695 357,539 315,230</t>
        </is>
      </c>
      <c r="L620" s="2" t="inlineStr">
        <is>
          <t>pend</t>
        </is>
      </c>
      <c r="M620" s="2" t="n"/>
      <c r="N620" s="2" t="n"/>
      <c r="O620" s="3" t="inlineStr">
        <is>
          <t>https://vanillabonds.com/dossier-data/pdf/fastned/fastned-2024-annual-report.pdf#page=41</t>
        </is>
      </c>
    </row>
    <row r="621">
      <c r="A621" s="2" t="inlineStr">
        <is>
          <t>F620</t>
        </is>
      </c>
      <c r="B621" s="2" t="inlineStr">
        <is>
          <t>financials</t>
        </is>
      </c>
      <c r="C621" s="2" t="inlineStr">
        <is>
          <t>total_assets</t>
        </is>
      </c>
      <c r="D621" s="2" t="inlineStr">
        <is>
          <t>Total assets</t>
        </is>
      </c>
      <c r="E621" s="2" t="inlineStr">
        <is>
          <t>FY2023</t>
        </is>
      </c>
      <c r="F621" s="2" t="n">
        <v>357.5</v>
      </c>
      <c r="G621" s="2" t="inlineStr">
        <is>
          <t>EUR m</t>
        </is>
      </c>
      <c r="H621" s="2" t="inlineStr">
        <is>
          <t>Total assets €357,539k</t>
        </is>
      </c>
      <c r="I621" s="2" t="inlineStr">
        <is>
          <t>S2</t>
        </is>
      </c>
      <c r="J621" s="2" t="n">
        <v>102</v>
      </c>
      <c r="K621" s="2" t="inlineStr">
        <is>
          <t>Total assets 426,695 357,539</t>
        </is>
      </c>
      <c r="L621" s="2" t="inlineStr">
        <is>
          <t>pend</t>
        </is>
      </c>
      <c r="M621" s="2" t="n"/>
      <c r="N621" s="2" t="n"/>
      <c r="O621" s="3" t="inlineStr">
        <is>
          <t>https://vanillabonds.com/dossier-data/pdf/fastned/fastned-2024-annual-report.pdf#page=102</t>
        </is>
      </c>
    </row>
    <row r="622">
      <c r="A622" s="2" t="inlineStr">
        <is>
          <t>F621</t>
        </is>
      </c>
      <c r="B622" s="2" t="inlineStr">
        <is>
          <t>financials</t>
        </is>
      </c>
      <c r="C622" s="2" t="inlineStr">
        <is>
          <t>total_assets</t>
        </is>
      </c>
      <c r="D622" s="2" t="inlineStr">
        <is>
          <t>Total assets</t>
        </is>
      </c>
      <c r="E622" s="2" t="inlineStr">
        <is>
          <t>FY2024</t>
        </is>
      </c>
      <c r="F622" s="2" t="n">
        <v>426.7</v>
      </c>
      <c r="G622" s="2" t="inlineStr">
        <is>
          <t>EUR m</t>
        </is>
      </c>
      <c r="H622" s="2" t="inlineStr">
        <is>
          <t>Total assets €426,695k</t>
        </is>
      </c>
      <c r="I622" s="2" t="inlineStr">
        <is>
          <t>S2</t>
        </is>
      </c>
      <c r="J622" s="2" t="n">
        <v>102</v>
      </c>
      <c r="K622" s="2" t="inlineStr">
        <is>
          <t>Total assets 426,695 357,539</t>
        </is>
      </c>
      <c r="L622" s="2" t="inlineStr">
        <is>
          <t>pend</t>
        </is>
      </c>
      <c r="M622" s="2" t="n"/>
      <c r="N622" s="2" t="n"/>
      <c r="O622" s="3" t="inlineStr">
        <is>
          <t>https://vanillabonds.com/dossier-data/pdf/fastned/fastned-2024-annual-report.pdf#page=102</t>
        </is>
      </c>
    </row>
    <row r="623">
      <c r="A623" s="2" t="inlineStr">
        <is>
          <t>F622</t>
        </is>
      </c>
      <c r="B623" s="2" t="inlineStr">
        <is>
          <t>debt</t>
        </is>
      </c>
      <c r="C623" s="2" t="inlineStr">
        <is>
          <t>debt_instrument</t>
        </is>
      </c>
      <c r="D623" s="2" t="inlineStr">
        <is>
          <t>Debt instrument</t>
        </is>
      </c>
      <c r="E623" s="2" t="n"/>
      <c r="F623" s="2" t="n">
        <v>9.199999999999999</v>
      </c>
      <c r="G623" s="2" t="n"/>
      <c r="H623" s="3" t="inlineStr">
        <is>
          <t>Unsecured corporate bond 6.0%, maturity 28/07/2025, EUR 9.2m outstanding (2023: 16.2m after EUR 7.0m extended into new bonds in 2024); unsecured, not subordinated, no covenants, unlisted.</t>
        </is>
      </c>
      <c r="I623" s="2" t="inlineStr">
        <is>
          <t>S2</t>
        </is>
      </c>
      <c r="J623" s="2" t="n">
        <v>146</v>
      </c>
      <c r="K623" s="2" t="inlineStr">
        <is>
          <t>6.0 28/07/2025 9,165 16,206</t>
        </is>
      </c>
      <c r="L623" s="2" t="inlineStr">
        <is>
          <t>pend</t>
        </is>
      </c>
      <c r="M623" s="2" t="n"/>
      <c r="N623" s="2" t="n"/>
      <c r="O623" s="3" t="inlineStr">
        <is>
          <t>https://vanillabonds.com/dossier-data/pdf/fastned/fastned-2024-annual-report.pdf#page=146</t>
        </is>
      </c>
    </row>
    <row r="624">
      <c r="A624" s="2" t="inlineStr">
        <is>
          <t>F623</t>
        </is>
      </c>
      <c r="B624" s="2" t="inlineStr">
        <is>
          <t>debt</t>
        </is>
      </c>
      <c r="C624" s="2" t="inlineStr">
        <is>
          <t>debt_instrument</t>
        </is>
      </c>
      <c r="D624" s="2" t="inlineStr">
        <is>
          <t>Debt instrument</t>
        </is>
      </c>
      <c r="E624" s="2" t="n"/>
      <c r="F624" s="2" t="n">
        <v>12.7</v>
      </c>
      <c r="G624" s="2" t="n"/>
      <c r="H624" s="3" t="inlineStr">
        <is>
          <t>Unsecured corporate bond 6.0%, maturity 19/11/2025, EUR 12.7m outstanding (2023: 21.2m after EUR 8.5m extended into new bonds in 2024); unsecured, not subordinated, no covenants.</t>
        </is>
      </c>
      <c r="I624" s="2" t="inlineStr">
        <is>
          <t>S2</t>
        </is>
      </c>
      <c r="J624" s="2" t="n">
        <v>146</v>
      </c>
      <c r="K624" s="2" t="inlineStr">
        <is>
          <t>6.0 19/11/2025 12,654 21,194</t>
        </is>
      </c>
      <c r="L624" s="2" t="inlineStr">
        <is>
          <t>pend</t>
        </is>
      </c>
      <c r="M624" s="2" t="n"/>
      <c r="N624" s="2" t="n"/>
      <c r="O624" s="3" t="inlineStr">
        <is>
          <t>https://vanillabonds.com/dossier-data/pdf/fastned/fastned-2024-annual-report.pdf#page=146</t>
        </is>
      </c>
    </row>
    <row r="625">
      <c r="A625" s="2" t="inlineStr">
        <is>
          <t>F624</t>
        </is>
      </c>
      <c r="B625" s="2" t="inlineStr">
        <is>
          <t>debt</t>
        </is>
      </c>
      <c r="C625" s="2" t="inlineStr">
        <is>
          <t>debt_instrument</t>
        </is>
      </c>
      <c r="D625" s="2" t="inlineStr">
        <is>
          <t>Debt instrument</t>
        </is>
      </c>
      <c r="E625" s="2" t="n"/>
      <c r="F625" s="2" t="n">
        <v>30.4</v>
      </c>
      <c r="G625" s="2" t="n"/>
      <c r="H625" s="3" t="inlineStr">
        <is>
          <t>Unsecured corporate bond 5.0%, maturity 12/12/2026, EUR 30.4m outstanding (2023: 30.4m); unsecured, not subordinated, no covenants.</t>
        </is>
      </c>
      <c r="I625" s="2" t="inlineStr">
        <is>
          <t>S2</t>
        </is>
      </c>
      <c r="J625" s="2" t="n">
        <v>146</v>
      </c>
      <c r="K625" s="2" t="inlineStr">
        <is>
          <t>5.0 12/12/2026 30,357 30,357</t>
        </is>
      </c>
      <c r="L625" s="2" t="inlineStr">
        <is>
          <t>pend</t>
        </is>
      </c>
      <c r="M625" s="2" t="n"/>
      <c r="N625" s="2" t="n"/>
      <c r="O625" s="3" t="inlineStr">
        <is>
          <t>https://vanillabonds.com/dossier-data/pdf/fastned/fastned-2024-annual-report.pdf#page=146</t>
        </is>
      </c>
    </row>
    <row r="626">
      <c r="A626" s="2" t="inlineStr">
        <is>
          <t>F625</t>
        </is>
      </c>
      <c r="B626" s="2" t="inlineStr">
        <is>
          <t>debt</t>
        </is>
      </c>
      <c r="C626" s="2" t="inlineStr">
        <is>
          <t>debt_instrument</t>
        </is>
      </c>
      <c r="D626" s="2" t="inlineStr">
        <is>
          <t>Debt instrument</t>
        </is>
      </c>
      <c r="E626" s="2" t="n"/>
      <c r="F626" s="2" t="n">
        <v>13.2</v>
      </c>
      <c r="G626" s="2" t="n"/>
      <c r="H626" s="3" t="inlineStr">
        <is>
          <t>Unsecured corporate bond 5.0%, maturity 21/06/2027, EUR 13.2m outstanding (2023: 13.2m); unsecured, not subordinated, no covenants.</t>
        </is>
      </c>
      <c r="I626" s="2" t="inlineStr">
        <is>
          <t>S2</t>
        </is>
      </c>
      <c r="J626" s="2" t="n">
        <v>146</v>
      </c>
      <c r="K626" s="2" t="inlineStr">
        <is>
          <t>5.0 21/06/2027 13,248 13,248</t>
        </is>
      </c>
      <c r="L626" s="2" t="inlineStr">
        <is>
          <t>pend</t>
        </is>
      </c>
      <c r="M626" s="2" t="n"/>
      <c r="N626" s="2" t="n"/>
      <c r="O626" s="3" t="inlineStr">
        <is>
          <t>https://vanillabonds.com/dossier-data/pdf/fastned/fastned-2024-annual-report.pdf#page=146</t>
        </is>
      </c>
    </row>
    <row r="627">
      <c r="A627" s="2" t="inlineStr">
        <is>
          <t>F626</t>
        </is>
      </c>
      <c r="B627" s="2" t="inlineStr">
        <is>
          <t>debt</t>
        </is>
      </c>
      <c r="C627" s="2" t="inlineStr">
        <is>
          <t>debt_instrument</t>
        </is>
      </c>
      <c r="D627" s="2" t="inlineStr">
        <is>
          <t>Debt instrument</t>
        </is>
      </c>
      <c r="E627" s="2" t="n"/>
      <c r="F627" s="2" t="n">
        <v>24.4</v>
      </c>
      <c r="G627" s="2" t="n"/>
      <c r="H627" s="3" t="inlineStr">
        <is>
          <t>Unsecured corporate bond 5.5%, maturity 12/06/2028, EUR 24.4m outstanding (2023: 24.4m; issued June 2023 EUR 22.0m plus 2.4m extensions); unsecured, not subordinated, no covenants.</t>
        </is>
      </c>
      <c r="I627" s="2" t="inlineStr">
        <is>
          <t>S2</t>
        </is>
      </c>
      <c r="J627" s="2" t="n">
        <v>146</v>
      </c>
      <c r="K627" s="2" t="inlineStr">
        <is>
          <t>5.5 12/06/2028 24,413 24,413</t>
        </is>
      </c>
      <c r="L627" s="2" t="inlineStr">
        <is>
          <t>pend</t>
        </is>
      </c>
      <c r="M627" s="2" t="n"/>
      <c r="N627" s="2" t="n"/>
      <c r="O627" s="3" t="inlineStr">
        <is>
          <t>https://vanillabonds.com/dossier-data/pdf/fastned/fastned-2024-annual-report.pdf#page=146</t>
        </is>
      </c>
    </row>
    <row r="628">
      <c r="A628" s="2" t="inlineStr">
        <is>
          <t>F627</t>
        </is>
      </c>
      <c r="B628" s="2" t="inlineStr">
        <is>
          <t>debt</t>
        </is>
      </c>
      <c r="C628" s="2" t="inlineStr">
        <is>
          <t>debt_instrument</t>
        </is>
      </c>
      <c r="D628" s="2" t="inlineStr">
        <is>
          <t>Debt instrument</t>
        </is>
      </c>
      <c r="E628" s="2" t="n"/>
      <c r="F628" s="2" t="n">
        <v>34.5</v>
      </c>
      <c r="G628" s="2" t="n"/>
      <c r="H628" s="3" t="inlineStr">
        <is>
          <t>Unsecured corporate bond 6.0%, maturity 16/10/2028, EUR 34.5m outstanding (2023: 34.5m; issued Oct 2023 EUR 31.0m plus 3.5m extensions; the 2023 reconciliation table labels this line '6% secured loan'); unsecured per note 14.3, no covenants.</t>
        </is>
      </c>
      <c r="I628" s="2" t="inlineStr">
        <is>
          <t>S2</t>
        </is>
      </c>
      <c r="J628" s="2" t="n">
        <v>146</v>
      </c>
      <c r="K628" s="2" t="inlineStr">
        <is>
          <t>6.0 16/10/2028 34,537 34,537</t>
        </is>
      </c>
      <c r="L628" s="2" t="inlineStr">
        <is>
          <t>pend</t>
        </is>
      </c>
      <c r="M628" s="2" t="n"/>
      <c r="N628" s="2" t="n"/>
      <c r="O628" s="3" t="inlineStr">
        <is>
          <t>https://vanillabonds.com/dossier-data/pdf/fastned/fastned-2024-annual-report.pdf#page=146</t>
        </is>
      </c>
    </row>
    <row r="629">
      <c r="A629" s="2" t="inlineStr">
        <is>
          <t>F628</t>
        </is>
      </c>
      <c r="B629" s="2" t="inlineStr">
        <is>
          <t>debt</t>
        </is>
      </c>
      <c r="C629" s="2" t="inlineStr">
        <is>
          <t>debt_instrument</t>
        </is>
      </c>
      <c r="D629" s="2" t="inlineStr">
        <is>
          <t>Debt instrument</t>
        </is>
      </c>
      <c r="E629" s="2" t="n"/>
      <c r="F629" s="2" t="n">
        <v>27.9</v>
      </c>
      <c r="G629" s="2" t="n"/>
      <c r="H629" s="3" t="inlineStr">
        <is>
          <t>Unsecured corporate bond 6.0% per table, maturity 19/02/2029, EUR 27.9m; issued Feb 2024 (EUR 24.4m new money plus 3.4m extensions; narrative states 5.5% coupon, quarterly in arrears); unsecured, not subordinated, no covenants.</t>
        </is>
      </c>
      <c r="I629" s="2" t="inlineStr">
        <is>
          <t>S2</t>
        </is>
      </c>
      <c r="J629" s="2" t="n">
        <v>146</v>
      </c>
      <c r="K629" s="2" t="inlineStr">
        <is>
          <t>6.0 19/02/2029 27,892 —</t>
        </is>
      </c>
      <c r="L629" s="2" t="inlineStr">
        <is>
          <t>pend</t>
        </is>
      </c>
      <c r="M629" s="2" t="n"/>
      <c r="N629" s="2" t="n"/>
      <c r="O629" s="3" t="inlineStr">
        <is>
          <t>https://vanillabonds.com/dossier-data/pdf/fastned/fastned-2024-annual-report.pdf#page=146</t>
        </is>
      </c>
    </row>
    <row r="630">
      <c r="A630" s="2" t="inlineStr">
        <is>
          <t>F629</t>
        </is>
      </c>
      <c r="B630" s="2" t="inlineStr">
        <is>
          <t>debt</t>
        </is>
      </c>
      <c r="C630" s="2" t="inlineStr">
        <is>
          <t>debt_instrument</t>
        </is>
      </c>
      <c r="D630" s="2" t="inlineStr">
        <is>
          <t>Debt instrument</t>
        </is>
      </c>
      <c r="E630" s="2" t="n"/>
      <c r="F630" s="2" t="n">
        <v>33.1</v>
      </c>
      <c r="G630" s="2" t="n"/>
      <c r="H630" s="3" t="inlineStr">
        <is>
          <t>Unsecured corporate bond 6.0%, maturity 21/06/2029, EUR 33.1m; issued June 2024 (EUR 20.7m new money plus 12.3m extensions); quarterly coupon; unsecured, not subordinated, no covenants.</t>
        </is>
      </c>
      <c r="I630" s="2" t="inlineStr">
        <is>
          <t>S2</t>
        </is>
      </c>
      <c r="J630" s="2" t="n">
        <v>146</v>
      </c>
      <c r="K630" s="2" t="inlineStr">
        <is>
          <t>6.0 21/06/2029 33,068 —</t>
        </is>
      </c>
      <c r="L630" s="2" t="inlineStr">
        <is>
          <t>pend</t>
        </is>
      </c>
      <c r="M630" s="2" t="n"/>
      <c r="N630" s="2" t="n"/>
      <c r="O630" s="3" t="inlineStr">
        <is>
          <t>https://vanillabonds.com/dossier-data/pdf/fastned/fastned-2024-annual-report.pdf#page=146</t>
        </is>
      </c>
    </row>
    <row r="631">
      <c r="A631" s="2" t="inlineStr">
        <is>
          <t>F630</t>
        </is>
      </c>
      <c r="B631" s="2" t="inlineStr">
        <is>
          <t>debt</t>
        </is>
      </c>
      <c r="C631" s="2" t="inlineStr">
        <is>
          <t>debt_instrument</t>
        </is>
      </c>
      <c r="D631" s="2" t="inlineStr">
        <is>
          <t>Debt instrument</t>
        </is>
      </c>
      <c r="E631" s="2" t="n"/>
      <c r="F631" s="2" t="n">
        <v>22.1</v>
      </c>
      <c r="G631" s="2" t="n"/>
      <c r="H631" s="3" t="inlineStr">
        <is>
          <t>Unsecured corporate bond 6.0%, maturity 30/10/2029, EUR 22.1m; issued Oct 2024 (EUR 17.1m new money plus 4.9m extensions); quarterly coupon; unsecured, not subordinated, no covenants.</t>
        </is>
      </c>
      <c r="I631" s="2" t="inlineStr">
        <is>
          <t>S2</t>
        </is>
      </c>
      <c r="J631" s="2" t="n">
        <v>146</v>
      </c>
      <c r="K631" s="2" t="inlineStr">
        <is>
          <t>6.0 30/10/2029 22,136 —</t>
        </is>
      </c>
      <c r="L631" s="2" t="inlineStr">
        <is>
          <t>pend</t>
        </is>
      </c>
      <c r="M631" s="2" t="n"/>
      <c r="N631" s="2" t="n"/>
      <c r="O631" s="3" t="inlineStr">
        <is>
          <t>https://vanillabonds.com/dossier-data/pdf/fastned/fastned-2024-annual-report.pdf#page=146</t>
        </is>
      </c>
    </row>
    <row r="632">
      <c r="A632" s="2" t="inlineStr">
        <is>
          <t>F631</t>
        </is>
      </c>
      <c r="B632" s="2" t="inlineStr">
        <is>
          <t>debt</t>
        </is>
      </c>
      <c r="C632" s="2" t="inlineStr">
        <is>
          <t>debt_instrument</t>
        </is>
      </c>
      <c r="D632" s="2" t="inlineStr">
        <is>
          <t>Debt instrument</t>
        </is>
      </c>
      <c r="E632" s="2" t="n"/>
      <c r="F632" s="2" t="n">
        <v>2.2</v>
      </c>
      <c r="G632" s="2" t="n"/>
      <c r="H632" s="3" t="inlineStr">
        <is>
          <t>4% secured loan (Caisse des Depots), tranche of EUR 2.2m at 31 Dec 2024 (2023: 2.2m), maturity 01/12/2031; interest capitalised in first three years, variable kWh-based component thereafter.</t>
        </is>
      </c>
      <c r="I632" s="2" t="inlineStr">
        <is>
          <t>S2</t>
        </is>
      </c>
      <c r="J632" s="2" t="n">
        <v>146</v>
      </c>
      <c r="K632" s="3" t="inlineStr">
        <is>
          <t>4% secured loan 4.0 01/12/2031 2,241 2,160</t>
        </is>
      </c>
      <c r="L632" s="2" t="inlineStr">
        <is>
          <t>pend</t>
        </is>
      </c>
      <c r="M632" s="2" t="n"/>
      <c r="N632" s="2" t="n"/>
      <c r="O632" s="3" t="inlineStr">
        <is>
          <t>https://vanillabonds.com/dossier-data/pdf/fastned/fastned-2024-annual-report.pdf#page=146</t>
        </is>
      </c>
    </row>
    <row r="633">
      <c r="A633" s="2" t="inlineStr">
        <is>
          <t>F632</t>
        </is>
      </c>
      <c r="B633" s="2" t="inlineStr">
        <is>
          <t>debt</t>
        </is>
      </c>
      <c r="C633" s="2" t="inlineStr">
        <is>
          <t>debt_instrument</t>
        </is>
      </c>
      <c r="D633" s="2" t="inlineStr">
        <is>
          <t>Debt instrument</t>
        </is>
      </c>
      <c r="E633" s="2" t="n"/>
      <c r="F633" s="2" t="n">
        <v>12.1</v>
      </c>
      <c r="G633" s="2" t="n"/>
      <c r="H633" s="3" t="inlineStr">
        <is>
          <t>4% secured loan (Caisse des Depots), second tranche EUR 12.1m at 31 Dec 2024 (2023: 1.9m; EUR 10.2m drawn 2024), maturity 01/12/2031 in note 14.3 (01/12/2032 in note 14.4); 4% fixed capitalised for three years, then variable kWh-based component.</t>
        </is>
      </c>
      <c r="I633" s="2" t="inlineStr">
        <is>
          <t>S2</t>
        </is>
      </c>
      <c r="J633" s="2" t="n">
        <v>146</v>
      </c>
      <c r="K633" s="2" t="inlineStr">
        <is>
          <t>4.0 01/12/2031 12,139 1,921</t>
        </is>
      </c>
      <c r="L633" s="2" t="inlineStr">
        <is>
          <t>pend</t>
        </is>
      </c>
      <c r="M633" s="2" t="n"/>
      <c r="N633" s="2" t="n"/>
      <c r="O633" s="3" t="inlineStr">
        <is>
          <t>https://vanillabonds.com/dossier-data/pdf/fastned/fastned-2024-annual-report.pdf#page=146</t>
        </is>
      </c>
    </row>
    <row r="634">
      <c r="A634" s="2" t="inlineStr">
        <is>
          <t>F633</t>
        </is>
      </c>
      <c r="B634" s="2" t="inlineStr">
        <is>
          <t>debt</t>
        </is>
      </c>
      <c r="C634" s="2" t="inlineStr">
        <is>
          <t>debt_instrument</t>
        </is>
      </c>
      <c r="D634" s="2" t="inlineStr">
        <is>
          <t>Debt instrument</t>
        </is>
      </c>
      <c r="E634" s="2" t="n"/>
      <c r="F634" s="2" t="n">
        <v>4.6</v>
      </c>
      <c r="G634" s="2" t="n"/>
      <c r="H634" s="3" t="inlineStr">
        <is>
          <t>German Regional Tender forgivable loan (government grant treated as interest-free financial liability), EUR 4.6m at 31 Dec 2024, maturity 01/12/2031, reduced over time via fee-sharing arrangement.</t>
        </is>
      </c>
      <c r="I634" s="2" t="inlineStr">
        <is>
          <t>S2</t>
        </is>
      </c>
      <c r="J634" s="2" t="n">
        <v>146</v>
      </c>
      <c r="K634" s="3" t="inlineStr">
        <is>
          <t>German Regional Tender - Forgivable Loan 01/12/2031 4,610 —</t>
        </is>
      </c>
      <c r="L634" s="2" t="inlineStr">
        <is>
          <t>pend</t>
        </is>
      </c>
      <c r="M634" s="2" t="n"/>
      <c r="N634" s="2" t="n"/>
      <c r="O634" s="3" t="inlineStr">
        <is>
          <t>https://vanillabonds.com/dossier-data/pdf/fastned/fastned-2024-annual-report.pdf#page=146</t>
        </is>
      </c>
    </row>
    <row r="635">
      <c r="A635" s="2" t="inlineStr">
        <is>
          <t>F634</t>
        </is>
      </c>
      <c r="B635" s="2" t="inlineStr">
        <is>
          <t>debt</t>
        </is>
      </c>
      <c r="C635" s="2" t="inlineStr">
        <is>
          <t>covenant</t>
        </is>
      </c>
      <c r="D635" s="2" t="inlineStr">
        <is>
          <t>Financial covenant / restriction</t>
        </is>
      </c>
      <c r="E635" s="2" t="n"/>
      <c r="F635" s="2" t="n"/>
      <c r="G635" s="2" t="n"/>
      <c r="H635" s="3" t="inlineStr">
        <is>
          <t>Bonds carry no security and no covenants that could require Fastned to repay any of the loans.</t>
        </is>
      </c>
      <c r="I635" s="2" t="inlineStr">
        <is>
          <t>S2</t>
        </is>
      </c>
      <c r="J635" s="2" t="n">
        <v>147</v>
      </c>
      <c r="K635" s="3" t="inlineStr">
        <is>
          <t>are no covenants applicable that could require Fastned to repay any of the loans.</t>
        </is>
      </c>
      <c r="L635" s="2" t="inlineStr">
        <is>
          <t>pend</t>
        </is>
      </c>
      <c r="M635" s="2" t="n"/>
      <c r="N635" s="2" t="n"/>
      <c r="O635" s="3" t="inlineStr">
        <is>
          <t>https://vanillabonds.com/dossier-data/pdf/fastned/fastned-2024-annual-report.pdf#page=147</t>
        </is>
      </c>
    </row>
    <row r="636">
      <c r="A636" s="2" t="inlineStr">
        <is>
          <t>F635</t>
        </is>
      </c>
      <c r="B636" s="2" t="inlineStr">
        <is>
          <t>risk</t>
        </is>
      </c>
      <c r="C636" s="2" t="inlineStr">
        <is>
          <t>risk_fact</t>
        </is>
      </c>
      <c r="D636" s="2" t="inlineStr">
        <is>
          <t>Risk fact</t>
        </is>
      </c>
      <c r="E636" s="2" t="n"/>
      <c r="F636" s="2" t="n"/>
      <c r="G636" s="2" t="n"/>
      <c r="H636" s="3" t="inlineStr">
        <is>
          <t>Market risk: EV sales slowed in Germany and France in 2024; BEV share of new registrations in Germany fell from 18.4% to 13.5% (ACEA).</t>
        </is>
      </c>
      <c r="I636" s="2" t="inlineStr">
        <is>
          <t>S2</t>
        </is>
      </c>
      <c r="J636" s="2" t="n">
        <v>32</v>
      </c>
      <c r="K636" s="3" t="inlineStr">
        <is>
          <t>While in some countries (for example Germany and France) sales were slower than in previous years, overall EV fleet numbers grew strongly across all our markets</t>
        </is>
      </c>
      <c r="L636" s="2" t="inlineStr">
        <is>
          <t>pend</t>
        </is>
      </c>
      <c r="M636" s="2" t="n"/>
      <c r="N636" s="2" t="n"/>
      <c r="O636" s="3" t="inlineStr">
        <is>
          <t>https://vanillabonds.com/dossier-data/pdf/fastned/fastned-2024-annual-report.pdf#page=32</t>
        </is>
      </c>
    </row>
    <row r="637">
      <c r="A637" s="2" t="inlineStr">
        <is>
          <t>F636</t>
        </is>
      </c>
      <c r="B637" s="2" t="inlineStr">
        <is>
          <t>risk</t>
        </is>
      </c>
      <c r="C637" s="2" t="inlineStr">
        <is>
          <t>risk_fact</t>
        </is>
      </c>
      <c r="D637" s="2" t="inlineStr">
        <is>
          <t>Risk fact</t>
        </is>
      </c>
      <c r="E637" s="2" t="n"/>
      <c r="F637" s="2" t="n"/>
      <c r="G637" s="2" t="n"/>
      <c r="H637" s="3" t="inlineStr">
        <is>
          <t>Cost pressure: network operation costs per charger rose 33% to €18.9k on higher grid fees, maintenance and other direct costs.</t>
        </is>
      </c>
      <c r="I637" s="2" t="inlineStr">
        <is>
          <t>S2</t>
        </is>
      </c>
      <c r="J637" s="2" t="n">
        <v>40</v>
      </c>
      <c r="K637" s="3" t="inlineStr">
        <is>
          <t>Network operation costs per charger, the more relevant number, increased by 33% to €18.9 thousand.</t>
        </is>
      </c>
      <c r="L637" s="2" t="inlineStr">
        <is>
          <t>pend</t>
        </is>
      </c>
      <c r="M637" s="2" t="n"/>
      <c r="N637" s="2" t="n"/>
      <c r="O637" s="3" t="inlineStr">
        <is>
          <t>https://vanillabonds.com/dossier-data/pdf/fastned/fastned-2024-annual-report.pdf#page=40</t>
        </is>
      </c>
    </row>
    <row r="638">
      <c r="A638" s="2" t="inlineStr">
        <is>
          <t>F637</t>
        </is>
      </c>
      <c r="B638" s="2" t="inlineStr">
        <is>
          <t>risk</t>
        </is>
      </c>
      <c r="C638" s="2" t="inlineStr">
        <is>
          <t>risk_fact</t>
        </is>
      </c>
      <c r="D638" s="2" t="inlineStr">
        <is>
          <t>Risk fact</t>
        </is>
      </c>
      <c r="E638" s="2" t="n"/>
      <c r="F638" s="2" t="n"/>
      <c r="G638" s="2" t="n"/>
      <c r="H638" s="3" t="inlineStr">
        <is>
          <t>Working capital: operating cash flow €(7.6)m was influenced by adverse working capital changes of €(7.1)m from sales growth and timing effects.</t>
        </is>
      </c>
      <c r="I638" s="2" t="inlineStr">
        <is>
          <t>S2</t>
        </is>
      </c>
      <c r="J638" s="2" t="n">
        <v>41</v>
      </c>
      <c r="K638" s="3" t="inlineStr">
        <is>
          <t>were influenced by adverse working capital changes due to underlying sales growth and short term timing effects.</t>
        </is>
      </c>
      <c r="L638" s="2" t="inlineStr">
        <is>
          <t>pend</t>
        </is>
      </c>
      <c r="M638" s="2" t="n"/>
      <c r="N638" s="2" t="n"/>
      <c r="O638" s="3" t="inlineStr">
        <is>
          <t>https://vanillabonds.com/dossier-data/pdf/fastned/fastned-2024-annual-report.pdf#page=41</t>
        </is>
      </c>
    </row>
    <row r="639">
      <c r="A639" s="2" t="inlineStr">
        <is>
          <t>F638</t>
        </is>
      </c>
      <c r="B639" s="2" t="inlineStr">
        <is>
          <t>risk</t>
        </is>
      </c>
      <c r="C639" s="2" t="inlineStr">
        <is>
          <t>risk_fact</t>
        </is>
      </c>
      <c r="D639" s="2" t="inlineStr">
        <is>
          <t>Risk fact</t>
        </is>
      </c>
      <c r="E639" s="2" t="n"/>
      <c r="F639" s="2" t="n"/>
      <c r="G639" s="2" t="n"/>
      <c r="H639" s="3" t="inlineStr">
        <is>
          <t>Risk appetite: Fastned states a 'low-to moderate' appetite for most risk categories; framework adopted from ISO 31000:2018.</t>
        </is>
      </c>
      <c r="I639" s="2" t="inlineStr">
        <is>
          <t>S2</t>
        </is>
      </c>
      <c r="J639" s="2" t="n">
        <v>63</v>
      </c>
      <c r="K639" s="3" t="inlineStr">
        <is>
          <t>Fastned has a low-to moderate appetite for most risk categories despite taking an entrepreneurial approach.</t>
        </is>
      </c>
      <c r="L639" s="2" t="inlineStr">
        <is>
          <t>pend</t>
        </is>
      </c>
      <c r="M639" s="2" t="n"/>
      <c r="N639" s="2" t="n"/>
      <c r="O639" s="3" t="inlineStr">
        <is>
          <t>https://vanillabonds.com/dossier-data/pdf/fastned/fastned-2024-annual-report.pdf#page=63</t>
        </is>
      </c>
    </row>
    <row r="640">
      <c r="A640" s="2" t="inlineStr">
        <is>
          <t>F639</t>
        </is>
      </c>
      <c r="B640" s="2" t="inlineStr">
        <is>
          <t>risk</t>
        </is>
      </c>
      <c r="C640" s="2" t="inlineStr">
        <is>
          <t>risk_fact</t>
        </is>
      </c>
      <c r="D640" s="2" t="inlineStr">
        <is>
          <t>Risk fact</t>
        </is>
      </c>
      <c r="E640" s="2" t="n"/>
      <c r="F640" s="2" t="n"/>
      <c r="G640" s="2" t="n"/>
      <c r="H640" s="3" t="inlineStr">
        <is>
          <t>Funding risk: company states 2024 bond issues of about €82m cover financial commitments for 'the next 12 to 18 months'; alternative financing to be explored for mid- to long-term growth and refinancing (risk trend 'unchanged (low)').</t>
        </is>
      </c>
      <c r="I640" s="2" t="inlineStr">
        <is>
          <t>S2</t>
        </is>
      </c>
      <c r="J640" s="2" t="n">
        <v>66</v>
      </c>
      <c r="K640" s="3" t="inlineStr">
        <is>
          <t>This robust financial footing supports the continued expansion of Fastned’s charging network while covering financial commitments for the next 12 to 18 months.</t>
        </is>
      </c>
      <c r="L640" s="2" t="inlineStr">
        <is>
          <t>pend</t>
        </is>
      </c>
      <c r="M640" s="2" t="n"/>
      <c r="N640" s="2" t="n"/>
      <c r="O640" s="3" t="inlineStr">
        <is>
          <t>https://vanillabonds.com/dossier-data/pdf/fastned/fastned-2024-annual-report.pdf#page=66</t>
        </is>
      </c>
    </row>
    <row r="641">
      <c r="A641" s="2" t="inlineStr">
        <is>
          <t>F640</t>
        </is>
      </c>
      <c r="B641" s="2" t="inlineStr">
        <is>
          <t>risk</t>
        </is>
      </c>
      <c r="C641" s="2" t="inlineStr">
        <is>
          <t>risk_fact</t>
        </is>
      </c>
      <c r="D641" s="2" t="inlineStr">
        <is>
          <t>Risk fact</t>
        </is>
      </c>
      <c r="E641" s="2" t="n"/>
      <c r="F641" s="2" t="n"/>
      <c r="G641" s="2" t="n"/>
      <c r="H641" s="3" t="inlineStr">
        <is>
          <t>Concession risk: uncertainty in the Netherlands about renewing current concessions at end-of-contract from 2028 onwards; main challenge is build pace.</t>
        </is>
      </c>
      <c r="I641" s="2" t="inlineStr">
        <is>
          <t>S2</t>
        </is>
      </c>
      <c r="J641" s="2" t="n">
        <v>66</v>
      </c>
      <c r="K641" s="3" t="inlineStr">
        <is>
          <t>In the Netherlands, Fastned also experiences uncertainty about renewing current concessions at end-of-contract 2028 onwards.</t>
        </is>
      </c>
      <c r="L641" s="2" t="inlineStr">
        <is>
          <t>pend</t>
        </is>
      </c>
      <c r="M641" s="2" t="n"/>
      <c r="N641" s="2" t="n"/>
      <c r="O641" s="3" t="inlineStr">
        <is>
          <t>https://vanillabonds.com/dossier-data/pdf/fastned/fastned-2024-annual-report.pdf#page=66</t>
        </is>
      </c>
    </row>
    <row r="642">
      <c r="A642" s="2" t="inlineStr">
        <is>
          <t>F641</t>
        </is>
      </c>
      <c r="B642" s="2" t="inlineStr">
        <is>
          <t>risk</t>
        </is>
      </c>
      <c r="C642" s="2" t="inlineStr">
        <is>
          <t>risk_fact</t>
        </is>
      </c>
      <c r="D642" s="2" t="inlineStr">
        <is>
          <t>Risk fact</t>
        </is>
      </c>
      <c r="E642" s="2" t="n"/>
      <c r="F642" s="2" t="n"/>
      <c r="G642" s="2" t="n"/>
      <c r="H642" s="3" t="inlineStr">
        <is>
          <t>Cyber risk trend 'increased (moderate)'; Fastned aligns with NIS 2 and joined the Dutch EV Charging ISAC (company statement).</t>
        </is>
      </c>
      <c r="I642" s="2" t="inlineStr">
        <is>
          <t>S2</t>
        </is>
      </c>
      <c r="J642" s="2" t="n">
        <v>67</v>
      </c>
      <c r="K642" s="3" t="inlineStr">
        <is>
          <t>Risk trend vs. 2023: increased (moderate) Cyber threats in today’s digital landscape demand constant vigilance</t>
        </is>
      </c>
      <c r="L642" s="2" t="inlineStr">
        <is>
          <t>pend</t>
        </is>
      </c>
      <c r="M642" s="2" t="n"/>
      <c r="N642" s="2" t="n"/>
      <c r="O642" s="3" t="inlineStr">
        <is>
          <t>https://vanillabonds.com/dossier-data/pdf/fastned/fastned-2024-annual-report.pdf#page=67</t>
        </is>
      </c>
    </row>
    <row r="643">
      <c r="A643" s="2" t="inlineStr">
        <is>
          <t>F642</t>
        </is>
      </c>
      <c r="B643" s="2" t="inlineStr">
        <is>
          <t>risk</t>
        </is>
      </c>
      <c r="C643" s="2" t="inlineStr">
        <is>
          <t>risk_fact</t>
        </is>
      </c>
      <c r="D643" s="2" t="inlineStr">
        <is>
          <t>Risk fact</t>
        </is>
      </c>
      <c r="E643" s="2" t="n"/>
      <c r="F643" s="2" t="n"/>
      <c r="G643" s="2" t="n"/>
      <c r="H643" s="3" t="inlineStr">
        <is>
          <t>Money-laundering risk assessed as 'low' by the company; all payments flow through EU banks with KYC and sanctions checks; bond issues named as a possible channel.</t>
        </is>
      </c>
      <c r="I643" s="2" t="inlineStr">
        <is>
          <t>S2</t>
        </is>
      </c>
      <c r="J643" s="2" t="n">
        <v>68</v>
      </c>
      <c r="K643" s="3" t="inlineStr">
        <is>
          <t>Criminals can use activities such as bond issues or sales of goods and services for money laundering. We have assessed that the potential impact of money laundering is low.</t>
        </is>
      </c>
      <c r="L643" s="2" t="inlineStr">
        <is>
          <t>pend</t>
        </is>
      </c>
      <c r="M643" s="2" t="n"/>
      <c r="N643" s="2" t="n"/>
      <c r="O643" s="3" t="inlineStr">
        <is>
          <t>https://vanillabonds.com/dossier-data/pdf/fastned/fastned-2024-annual-report.pdf#page=68</t>
        </is>
      </c>
    </row>
    <row r="644">
      <c r="A644" s="2" t="inlineStr">
        <is>
          <t>F643</t>
        </is>
      </c>
      <c r="B644" s="2" t="inlineStr">
        <is>
          <t>risk</t>
        </is>
      </c>
      <c r="C644" s="2" t="inlineStr">
        <is>
          <t>risk_fact</t>
        </is>
      </c>
      <c r="D644" s="2" t="inlineStr">
        <is>
          <t>Risk fact</t>
        </is>
      </c>
      <c r="E644" s="2" t="n"/>
      <c r="F644" s="2" t="n"/>
      <c r="G644" s="2" t="n"/>
      <c r="H644" s="3" t="inlineStr">
        <is>
          <t>Non-compliance risk trend 'increased (moderate)': Fastned meets the legal definition of a 'large company' and faces AFIR, CSRD and NIS2; tender and contract obligations could result in penalties or grant repayments.</t>
        </is>
      </c>
      <c r="I644" s="2" t="inlineStr">
        <is>
          <t>S2</t>
        </is>
      </c>
      <c r="J644" s="2" t="n">
        <v>69</v>
      </c>
      <c r="K644" s="3" t="inlineStr">
        <is>
          <t>compliance risks, particularly regarding stringent tender and contract obligations, that could result in penalties or grant repayments.</t>
        </is>
      </c>
      <c r="L644" s="2" t="inlineStr">
        <is>
          <t>pend</t>
        </is>
      </c>
      <c r="M644" s="2" t="n"/>
      <c r="N644" s="2" t="n"/>
      <c r="O644" s="3" t="inlineStr">
        <is>
          <t>https://vanillabonds.com/dossier-data/pdf/fastned/fastned-2024-annual-report.pdf#page=69</t>
        </is>
      </c>
    </row>
    <row r="645">
      <c r="A645" s="2" t="inlineStr">
        <is>
          <t>F644</t>
        </is>
      </c>
      <c r="B645" s="2" t="inlineStr">
        <is>
          <t>risk</t>
        </is>
      </c>
      <c r="C645" s="2" t="inlineStr">
        <is>
          <t>risk_fact</t>
        </is>
      </c>
      <c r="D645" s="2" t="inlineStr">
        <is>
          <t>Risk fact</t>
        </is>
      </c>
      <c r="E645" s="2" t="n"/>
      <c r="F645" s="2" t="n"/>
      <c r="G645" s="2" t="n"/>
      <c r="H645" s="3" t="inlineStr">
        <is>
          <t>Health &amp; safety risk trend 'unchanged (moderate/high)'; goal to inspect all stations within two years.</t>
        </is>
      </c>
      <c r="I645" s="2" t="inlineStr">
        <is>
          <t>S2</t>
        </is>
      </c>
      <c r="J645" s="2" t="n">
        <v>69</v>
      </c>
      <c r="K645" s="3" t="inlineStr">
        <is>
          <t>Risk trend vs. 2023: unchanged (moderate/high)</t>
        </is>
      </c>
      <c r="L645" s="2" t="inlineStr">
        <is>
          <t>pend</t>
        </is>
      </c>
      <c r="M645" s="2" t="n"/>
      <c r="N645" s="2" t="n"/>
      <c r="O645" s="3" t="inlineStr">
        <is>
          <t>https://vanillabonds.com/dossier-data/pdf/fastned/fastned-2024-annual-report.pdf#page=69</t>
        </is>
      </c>
    </row>
    <row r="646">
      <c r="A646" s="2" t="inlineStr">
        <is>
          <t>F645</t>
        </is>
      </c>
      <c r="B646" s="2" t="inlineStr">
        <is>
          <t>risk</t>
        </is>
      </c>
      <c r="C646" s="2" t="inlineStr">
        <is>
          <t>risk_fact</t>
        </is>
      </c>
      <c r="D646" s="2" t="inlineStr">
        <is>
          <t>Risk fact</t>
        </is>
      </c>
      <c r="E646" s="2" t="n"/>
      <c r="F646" s="2" t="n"/>
      <c r="G646" s="2" t="n"/>
      <c r="H646" s="3" t="inlineStr">
        <is>
          <t>Grid risk: EU grid capacity limits cause longer lead times for new connections, particularly in the Netherlands, slowing rollout and upgrades (risk trend 'unchanged (moderate)').</t>
        </is>
      </c>
      <c r="I646" s="2" t="inlineStr">
        <is>
          <t>S2</t>
        </is>
      </c>
      <c r="J646" s="2" t="n">
        <v>70</v>
      </c>
      <c r="K646" s="3" t="inlineStr">
        <is>
          <t>Across the EU, increasing limitations on electricity grid capacity are causing longer lead times for new connections (particularly in the Netherlands).</t>
        </is>
      </c>
      <c r="L646" s="2" t="inlineStr">
        <is>
          <t>pend</t>
        </is>
      </c>
      <c r="M646" s="2" t="n"/>
      <c r="N646" s="2" t="n"/>
      <c r="O646" s="3" t="inlineStr">
        <is>
          <t>https://vanillabonds.com/dossier-data/pdf/fastned/fastned-2024-annual-report.pdf#page=70</t>
        </is>
      </c>
    </row>
    <row r="647">
      <c r="A647" s="2" t="inlineStr">
        <is>
          <t>F646</t>
        </is>
      </c>
      <c r="B647" s="2" t="inlineStr">
        <is>
          <t>risk</t>
        </is>
      </c>
      <c r="C647" s="2" t="inlineStr">
        <is>
          <t>risk_fact</t>
        </is>
      </c>
      <c r="D647" s="2" t="inlineStr">
        <is>
          <t>Risk fact</t>
        </is>
      </c>
      <c r="E647" s="2" t="n"/>
      <c r="F647" s="2" t="n"/>
      <c r="G647" s="2" t="n"/>
      <c r="H647" s="3" t="inlineStr">
        <is>
          <t>Supply chain risk: China-US-EU trade tensions; Fastned secures production slots and diversifies suppliers and contractors (risk trend 'unchanged (moderate)').</t>
        </is>
      </c>
      <c r="I647" s="2" t="inlineStr">
        <is>
          <t>S2</t>
        </is>
      </c>
      <c r="J647" s="2" t="n">
        <v>70</v>
      </c>
      <c r="K647" s="3" t="inlineStr">
        <is>
          <t>Fastned recognises the potential impact of escalating trade tensions between China, the United States, and the European Union on global supply chains and economic stability.</t>
        </is>
      </c>
      <c r="L647" s="2" t="inlineStr">
        <is>
          <t>pend</t>
        </is>
      </c>
      <c r="M647" s="2" t="n"/>
      <c r="N647" s="2" t="n"/>
      <c r="O647" s="3" t="inlineStr">
        <is>
          <t>https://vanillabonds.com/dossier-data/pdf/fastned/fastned-2024-annual-report.pdf#page=70</t>
        </is>
      </c>
    </row>
    <row r="648">
      <c r="A648" s="2" t="inlineStr">
        <is>
          <t>F647</t>
        </is>
      </c>
      <c r="B648" s="2" t="inlineStr">
        <is>
          <t>risk</t>
        </is>
      </c>
      <c r="C648" s="2" t="inlineStr">
        <is>
          <t>risk_fact</t>
        </is>
      </c>
      <c r="D648" s="2" t="inlineStr">
        <is>
          <t>Risk fact</t>
        </is>
      </c>
      <c r="E648" s="2" t="n"/>
      <c r="F648" s="2" t="n"/>
      <c r="G648" s="2" t="n"/>
      <c r="H648" s="3" t="inlineStr">
        <is>
          <t>Going concern: the Group incurs losses in its first years; deficits are funded mainly by borrowings and share-certificate issues via FAST; equity €119.9m and cash €117.4m at balance sheet date (company statement).</t>
        </is>
      </c>
      <c r="I648" s="2" t="inlineStr">
        <is>
          <t>S2</t>
        </is>
      </c>
      <c r="J648" s="2" t="n">
        <v>106</v>
      </c>
      <c r="K648" s="3" t="inlineStr">
        <is>
          <t>The deficits are for a major part funded by borrowings as well as by issuance of certificates of shares via FAST (Fastned Administratie Stichting).</t>
        </is>
      </c>
      <c r="L648" s="2" t="inlineStr">
        <is>
          <t>pend</t>
        </is>
      </c>
      <c r="M648" s="2" t="n"/>
      <c r="N648" s="2" t="n"/>
      <c r="O648" s="3" t="inlineStr">
        <is>
          <t>https://vanillabonds.com/dossier-data/pdf/fastned/fastned-2024-annual-report.pdf#page=106</t>
        </is>
      </c>
    </row>
    <row r="649">
      <c r="A649" s="2" t="inlineStr">
        <is>
          <t>F648</t>
        </is>
      </c>
      <c r="B649" s="2" t="inlineStr">
        <is>
          <t>risk</t>
        </is>
      </c>
      <c r="C649" s="2" t="inlineStr">
        <is>
          <t>risk_fact</t>
        </is>
      </c>
      <c r="D649" s="2" t="inlineStr">
        <is>
          <t>Risk fact</t>
        </is>
      </c>
      <c r="E649" s="2" t="n"/>
      <c r="F649" s="2" t="n"/>
      <c r="G649" s="2" t="n"/>
      <c r="H649" s="3" t="inlineStr">
        <is>
          <t>Management states the 18-month liquidity forecast shows 'adequate funds' for going concern; capex can be reduced in the first part of the forecast period (company statement).</t>
        </is>
      </c>
      <c r="I649" s="2" t="inlineStr">
        <is>
          <t>S2</t>
        </is>
      </c>
      <c r="J649" s="2" t="n">
        <v>106</v>
      </c>
      <c r="K649" s="3" t="inlineStr">
        <is>
          <t>the liquidity forecasts for the upcoming 18 months show adequate funds available for Fastned to continue as a going concern.</t>
        </is>
      </c>
      <c r="L649" s="2" t="inlineStr">
        <is>
          <t>pend</t>
        </is>
      </c>
      <c r="M649" s="2" t="n"/>
      <c r="N649" s="2" t="n"/>
      <c r="O649" s="3" t="inlineStr">
        <is>
          <t>https://vanillabonds.com/dossier-data/pdf/fastned/fastned-2024-annual-report.pdf#page=106</t>
        </is>
      </c>
    </row>
    <row r="650">
      <c r="A650" s="2" t="inlineStr">
        <is>
          <t>F649</t>
        </is>
      </c>
      <c r="B650" s="2" t="inlineStr">
        <is>
          <t>risk</t>
        </is>
      </c>
      <c r="C650" s="2" t="inlineStr">
        <is>
          <t>risk_fact</t>
        </is>
      </c>
      <c r="D650" s="2" t="inlineStr">
        <is>
          <t>Risk fact</t>
        </is>
      </c>
      <c r="E650" s="2" t="n"/>
      <c r="F650" s="2" t="n"/>
      <c r="G650" s="2" t="n"/>
      <c r="H650" s="3" t="inlineStr">
        <is>
          <t>Dutch highway concessions: policy and procedures for future tenders of locations approaching concession end-date not yet determined by the government; station useful lives (15 or 8 years) involve management judgement on this.</t>
        </is>
      </c>
      <c r="I650" s="2" t="inlineStr">
        <is>
          <t>S2</t>
        </is>
      </c>
      <c r="J650" s="2" t="n">
        <v>115</v>
      </c>
      <c r="K650" s="3" t="inlineStr">
        <is>
          <t>highway locations approaching concession end-date have yet to be determined</t>
        </is>
      </c>
      <c r="L650" s="2" t="inlineStr">
        <is>
          <t>pend</t>
        </is>
      </c>
      <c r="M650" s="2" t="n"/>
      <c r="N650" s="2" t="n"/>
      <c r="O650" s="3" t="inlineStr">
        <is>
          <t>https://vanillabonds.com/dossier-data/pdf/fastned/fastned-2024-annual-report.pdf#page=115</t>
        </is>
      </c>
    </row>
    <row r="651">
      <c r="A651" s="2" t="inlineStr">
        <is>
          <t>F650</t>
        </is>
      </c>
      <c r="B651" s="2" t="inlineStr">
        <is>
          <t>risk</t>
        </is>
      </c>
      <c r="C651" s="2" t="inlineStr">
        <is>
          <t>risk_fact</t>
        </is>
      </c>
      <c r="D651" s="2" t="inlineStr">
        <is>
          <t>Risk fact</t>
        </is>
      </c>
      <c r="E651" s="2" t="n"/>
      <c r="F651" s="2" t="n"/>
      <c r="G651" s="2" t="n"/>
      <c r="H651" s="3" t="inlineStr">
        <is>
          <t>Decommissioning provision EUR 17.6m (2023: 13.3m): removal cost EUR 20-131k per station, 2-29 years to expiry, inflation 2.0%, discount 2.60% (20-year Eurozone bond); +1% discount rate = EUR 1.5m lower, +1% inflation = EUR 1.8m higher.</t>
        </is>
      </c>
      <c r="I651" s="2" t="inlineStr">
        <is>
          <t>S2</t>
        </is>
      </c>
      <c r="J651" s="2" t="n">
        <v>123</v>
      </c>
      <c r="K651" s="3" t="inlineStr">
        <is>
          <t>The carrying amount of the provision as at 31 December 2024 was €17.6</t>
        </is>
      </c>
      <c r="L651" s="2" t="inlineStr">
        <is>
          <t>pend</t>
        </is>
      </c>
      <c r="M651" s="2" t="n"/>
      <c r="N651" s="2" t="n"/>
      <c r="O651" s="3" t="inlineStr">
        <is>
          <t>https://vanillabonds.com/dossier-data/pdf/fastned/fastned-2024-annual-report.pdf#page=123</t>
        </is>
      </c>
    </row>
    <row r="652">
      <c r="A652" s="2" t="inlineStr">
        <is>
          <t>F651</t>
        </is>
      </c>
      <c r="B652" s="2" t="inlineStr">
        <is>
          <t>risk</t>
        </is>
      </c>
      <c r="C652" s="2" t="inlineStr">
        <is>
          <t>risk_fact</t>
        </is>
      </c>
      <c r="D652" s="2" t="inlineStr">
        <is>
          <t>Risk fact</t>
        </is>
      </c>
      <c r="E652" s="2" t="n"/>
      <c r="F652" s="2" t="n"/>
      <c r="G652" s="2" t="n"/>
      <c r="H652" s="3" t="inlineStr">
        <is>
          <t>Impairment test run for all CGUs at YE2024 because 'updated BEV adoption forecasts were lower versus previous forecasts, especially in the near term'; management reports 'significant headroom', no CGU impairment; EUR 1.5m ABB chargers impaired separately.</t>
        </is>
      </c>
      <c r="I652" s="2" t="inlineStr">
        <is>
          <t>S2</t>
        </is>
      </c>
      <c r="J652" s="2" t="n">
        <v>143</v>
      </c>
      <c r="K652" s="3" t="inlineStr">
        <is>
          <t>as at year end 2024, as updated BEV adoption forecasts were lower versus</t>
        </is>
      </c>
      <c r="L652" s="2" t="inlineStr">
        <is>
          <t>pend</t>
        </is>
      </c>
      <c r="M652" s="2" t="n"/>
      <c r="N652" s="2" t="n"/>
      <c r="O652" s="3" t="inlineStr">
        <is>
          <t>https://vanillabonds.com/dossier-data/pdf/fastned/fastned-2024-annual-report.pdf#page=143</t>
        </is>
      </c>
    </row>
    <row r="653">
      <c r="A653" s="2" t="inlineStr">
        <is>
          <t>F652</t>
        </is>
      </c>
      <c r="B653" s="2" t="inlineStr">
        <is>
          <t>risk</t>
        </is>
      </c>
      <c r="C653" s="2" t="inlineStr">
        <is>
          <t>risk_fact</t>
        </is>
      </c>
      <c r="D653" s="2" t="inlineStr">
        <is>
          <t>Risk fact</t>
        </is>
      </c>
      <c r="E653" s="2" t="n"/>
      <c r="F653" s="2" t="n"/>
      <c r="G653" s="2" t="n"/>
      <c r="H653" s="3" t="inlineStr">
        <is>
          <t>Commodity price risk: majority of electricity bought on the spot wholesale market; no financial instruments for commodity risk; mitigation via fixed-price PPAs, forwards and fixed-price contracts.</t>
        </is>
      </c>
      <c r="I653" s="2" t="inlineStr">
        <is>
          <t>S2</t>
        </is>
      </c>
      <c r="J653" s="2" t="n">
        <v>151</v>
      </c>
      <c r="K653" s="3" t="inlineStr">
        <is>
          <t>continuous supply of electricity. The Group purchases majority of electricity on</t>
        </is>
      </c>
      <c r="L653" s="2" t="inlineStr">
        <is>
          <t>pend</t>
        </is>
      </c>
      <c r="M653" s="2" t="n"/>
      <c r="N653" s="2" t="n"/>
      <c r="O653" s="3" t="inlineStr">
        <is>
          <t>https://vanillabonds.com/dossier-data/pdf/fastned/fastned-2024-annual-report.pdf#page=151</t>
        </is>
      </c>
    </row>
    <row r="654">
      <c r="A654" s="2" t="inlineStr">
        <is>
          <t>F653</t>
        </is>
      </c>
      <c r="B654" s="2" t="inlineStr">
        <is>
          <t>risk</t>
        </is>
      </c>
      <c r="C654" s="2" t="inlineStr">
        <is>
          <t>risk_fact</t>
        </is>
      </c>
      <c r="D654" s="2" t="inlineStr">
        <is>
          <t>Risk fact</t>
        </is>
      </c>
      <c r="E654" s="2" t="n"/>
      <c r="F654" s="2" t="n"/>
      <c r="G654" s="2" t="n"/>
      <c r="H654" s="3" t="inlineStr">
        <is>
          <t>Interest-rate risk described by the company as 'low' because long-term debt is at fixed rates; surplus cash on short-term deposits at floating rates.</t>
        </is>
      </c>
      <c r="I654" s="2" t="inlineStr">
        <is>
          <t>S2</t>
        </is>
      </c>
      <c r="J654" s="2" t="n">
        <v>151</v>
      </c>
      <c r="K654" s="3" t="inlineStr">
        <is>
          <t>Group’s exposure to the risk of changes in market interest rates is low due to the</t>
        </is>
      </c>
      <c r="L654" s="2" t="inlineStr">
        <is>
          <t>pend</t>
        </is>
      </c>
      <c r="M654" s="2" t="n"/>
      <c r="N654" s="2" t="n"/>
      <c r="O654" s="3" t="inlineStr">
        <is>
          <t>https://vanillabonds.com/dossier-data/pdf/fastned/fastned-2024-annual-report.pdf#page=151</t>
        </is>
      </c>
    </row>
    <row r="655">
      <c r="A655" s="2" t="inlineStr">
        <is>
          <t>F654</t>
        </is>
      </c>
      <c r="B655" s="2" t="inlineStr">
        <is>
          <t>risk</t>
        </is>
      </c>
      <c r="C655" s="2" t="inlineStr">
        <is>
          <t>risk_fact</t>
        </is>
      </c>
      <c r="D655" s="2" t="inlineStr">
        <is>
          <t>Risk fact</t>
        </is>
      </c>
      <c r="E655" s="2" t="n"/>
      <c r="F655" s="2" t="n"/>
      <c r="G655" s="2" t="n"/>
      <c r="H655" s="3" t="inlineStr">
        <is>
          <t>FX: a 1% move in exchange rates changes the intercompany loan balances to UK, CH and DK entities by EUR 621k at 31 Dec 2024.</t>
        </is>
      </c>
      <c r="I655" s="2" t="inlineStr">
        <is>
          <t>S2</t>
        </is>
      </c>
      <c r="J655" s="2" t="n">
        <v>152</v>
      </c>
      <c r="K655" s="3" t="inlineStr">
        <is>
          <t>December 2024 would change with € 621 thousand in case foreign currency</t>
        </is>
      </c>
      <c r="L655" s="2" t="inlineStr">
        <is>
          <t>pend</t>
        </is>
      </c>
      <c r="M655" s="2" t="n"/>
      <c r="N655" s="2" t="n"/>
      <c r="O655" s="3" t="inlineStr">
        <is>
          <t>https://vanillabonds.com/dossier-data/pdf/fastned/fastned-2024-annual-report.pdf#page=152</t>
        </is>
      </c>
    </row>
    <row r="656">
      <c r="A656" s="2" t="inlineStr">
        <is>
          <t>F655</t>
        </is>
      </c>
      <c r="B656" s="2" t="inlineStr">
        <is>
          <t>risk</t>
        </is>
      </c>
      <c r="C656" s="2" t="inlineStr">
        <is>
          <t>risk_fact</t>
        </is>
      </c>
      <c r="D656" s="2" t="inlineStr">
        <is>
          <t>Risk fact</t>
        </is>
      </c>
      <c r="E656" s="2" t="n"/>
      <c r="F656" s="2" t="n"/>
      <c r="G656" s="2" t="n"/>
      <c r="H656" s="3" t="inlineStr">
        <is>
          <t>Liquidity: company states it 'held a significant cash surplus' at period end and can adjust building pace and network expansion costs to available liquidity.</t>
        </is>
      </c>
      <c r="I656" s="2" t="inlineStr">
        <is>
          <t>S2</t>
        </is>
      </c>
      <c r="J656" s="2" t="n">
        <v>152</v>
      </c>
      <c r="K656" s="3" t="inlineStr">
        <is>
          <t>concern statement in Note 1. At the end of the reporting period Fastned held a</t>
        </is>
      </c>
      <c r="L656" s="2" t="inlineStr">
        <is>
          <t>pend</t>
        </is>
      </c>
      <c r="M656" s="2" t="n"/>
      <c r="N656" s="2" t="n"/>
      <c r="O656" s="3" t="inlineStr">
        <is>
          <t>https://vanillabonds.com/dossier-data/pdf/fastned/fastned-2024-annual-report.pdf#page=152</t>
        </is>
      </c>
    </row>
    <row r="657">
      <c r="A657" s="2" t="inlineStr">
        <is>
          <t>F656</t>
        </is>
      </c>
      <c r="B657" s="2" t="inlineStr">
        <is>
          <t>risk</t>
        </is>
      </c>
      <c r="C657" s="2" t="inlineStr">
        <is>
          <t>risk_fact</t>
        </is>
      </c>
      <c r="D657" s="2" t="inlineStr">
        <is>
          <t>Risk fact</t>
        </is>
      </c>
      <c r="E657" s="2" t="n"/>
      <c r="F657" s="2" t="n"/>
      <c r="G657" s="2" t="n"/>
      <c r="H657" s="3" t="inlineStr">
        <is>
          <t>Contractual undiscounted liabilities at 31 Dec 2024: borrowings EUR 226.5m (21.9m within 12 months, 204.5m in 1-5 years), interest on borrowings EUR 31.5m, leases EUR 37.7m, payables EUR 22.0m, total EUR 317.6m.</t>
        </is>
      </c>
      <c r="I657" s="2" t="inlineStr">
        <is>
          <t>S2</t>
        </is>
      </c>
      <c r="J657" s="2" t="n">
        <v>153</v>
      </c>
      <c r="K657" s="3" t="inlineStr">
        <is>
          <t>Total 20,723 4,037 34,320 258,544 317,624</t>
        </is>
      </c>
      <c r="L657" s="2" t="inlineStr">
        <is>
          <t>pend</t>
        </is>
      </c>
      <c r="M657" s="2" t="n"/>
      <c r="N657" s="2" t="n"/>
      <c r="O657" s="3" t="inlineStr">
        <is>
          <t>https://vanillabonds.com/dossier-data/pdf/fastned/fastned-2024-annual-report.pdf#page=153</t>
        </is>
      </c>
    </row>
    <row r="658">
      <c r="A658" s="2" t="inlineStr">
        <is>
          <t>F657</t>
        </is>
      </c>
      <c r="B658" s="2" t="inlineStr">
        <is>
          <t>risk</t>
        </is>
      </c>
      <c r="C658" s="2" t="inlineStr">
        <is>
          <t>risk_fact</t>
        </is>
      </c>
      <c r="D658" s="2" t="inlineStr">
        <is>
          <t>Risk fact</t>
        </is>
      </c>
      <c r="E658" s="2" t="n"/>
      <c r="F658" s="2" t="n"/>
      <c r="G658" s="2" t="n"/>
      <c r="H658" s="3" t="inlineStr">
        <is>
          <t>Credit risk: trade receivables EUR 17.9m gross at YE2024 with EUR 1.1m provision (2023: 0.8m); EUR 0.8m gross more than 150 days overdue; collections largely by direct debit and cards from private individuals.</t>
        </is>
      </c>
      <c r="I658" s="2" t="inlineStr">
        <is>
          <t>S2</t>
        </is>
      </c>
      <c r="J658" s="2" t="n">
        <v>155</v>
      </c>
      <c r="K658" s="3" t="inlineStr">
        <is>
          <t>December 2024, the provision for trade receivables amounted to €1.1 million</t>
        </is>
      </c>
      <c r="L658" s="2" t="inlineStr">
        <is>
          <t>pend</t>
        </is>
      </c>
      <c r="M658" s="2" t="n"/>
      <c r="N658" s="2" t="n"/>
      <c r="O658" s="3" t="inlineStr">
        <is>
          <t>https://vanillabonds.com/dossier-data/pdf/fastned/fastned-2024-annual-report.pdf#page=155</t>
        </is>
      </c>
    </row>
    <row r="659">
      <c r="A659" s="2" t="inlineStr">
        <is>
          <t>F658</t>
        </is>
      </c>
      <c r="B659" s="2" t="inlineStr">
        <is>
          <t>risk</t>
        </is>
      </c>
      <c r="C659" s="2" t="inlineStr">
        <is>
          <t>risk_fact</t>
        </is>
      </c>
      <c r="D659" s="2" t="inlineStr">
        <is>
          <t>Risk fact</t>
        </is>
      </c>
      <c r="E659" s="2" t="n"/>
      <c r="F659" s="2" t="n"/>
      <c r="G659" s="2" t="n"/>
      <c r="H659" s="3" t="inlineStr">
        <is>
          <t>Going concern: per the auditor, management's liquidity forecasts for the 18 months after balance sheet date show 'adequate funds'; the growth strategy 'can only be achieved by raising additional funding'.</t>
        </is>
      </c>
      <c r="I659" s="2" t="inlineStr">
        <is>
          <t>S2</t>
        </is>
      </c>
      <c r="J659" s="2" t="n">
        <v>188</v>
      </c>
      <c r="K659" s="3" t="inlineStr">
        <is>
          <t>concluded that the liquidity forecasts for the 18 months after balance sheet date</t>
        </is>
      </c>
      <c r="L659" s="2" t="inlineStr">
        <is>
          <t>pend</t>
        </is>
      </c>
      <c r="M659" s="2" t="n"/>
      <c r="N659" s="2" t="n"/>
      <c r="O659" s="3" t="inlineStr">
        <is>
          <t>https://vanillabonds.com/dossier-data/pdf/fastned/fastned-2024-annual-report.pdf#page=188</t>
        </is>
      </c>
    </row>
    <row r="660">
      <c r="A660" s="2" t="inlineStr">
        <is>
          <t>F659</t>
        </is>
      </c>
      <c r="B660" s="2" t="inlineStr">
        <is>
          <t>risk</t>
        </is>
      </c>
      <c r="C660" s="2" t="inlineStr">
        <is>
          <t>risk_fact</t>
        </is>
      </c>
      <c r="D660" s="2" t="inlineStr">
        <is>
          <t>Risk fact</t>
        </is>
      </c>
      <c r="E660" s="2" t="n"/>
      <c r="F660" s="2" t="n"/>
      <c r="G660" s="2" t="n"/>
      <c r="H660" s="3" t="inlineStr">
        <is>
          <t>Refinancing dependence stated by the auditor: continued access to the capital market for new bond issues, ability to repay or refinance existing bonds and loans, compliance with lender conditions including conditions on government grants.</t>
        </is>
      </c>
      <c r="I660" s="2" t="inlineStr">
        <is>
          <t>S2</t>
        </is>
      </c>
      <c r="J660" s="2" t="n">
        <v>188</v>
      </c>
      <c r="K660" s="3" t="inlineStr">
        <is>
          <t>access to the capital market for new bond issues, has the ability to repay or</t>
        </is>
      </c>
      <c r="L660" s="2" t="inlineStr">
        <is>
          <t>pend</t>
        </is>
      </c>
      <c r="M660" s="2" t="n"/>
      <c r="N660" s="2" t="n"/>
      <c r="O660" s="3" t="inlineStr">
        <is>
          <t>https://vanillabonds.com/dossier-data/pdf/fastned/fastned-2024-annual-report.pdf#page=188</t>
        </is>
      </c>
    </row>
    <row r="661">
      <c r="A661" s="2" t="inlineStr">
        <is>
          <t>F660</t>
        </is>
      </c>
      <c r="B661" s="2" t="inlineStr">
        <is>
          <t>risk</t>
        </is>
      </c>
      <c r="C661" s="2" t="inlineStr">
        <is>
          <t>risk_fact</t>
        </is>
      </c>
      <c r="D661" s="2" t="inlineStr">
        <is>
          <t>Risk fact</t>
        </is>
      </c>
      <c r="E661" s="2" t="n"/>
      <c r="F661" s="2" t="n"/>
      <c r="G661" s="2" t="n"/>
      <c r="H661" s="3" t="inlineStr">
        <is>
          <t>Auditor concluded 'no material uncertainty exists that may cast significant doubt' on going concern for twelve months after 26 March 2025.</t>
        </is>
      </c>
      <c r="I661" s="2" t="inlineStr">
        <is>
          <t>S2</t>
        </is>
      </c>
      <c r="J661" s="2" t="n">
        <v>189</v>
      </c>
      <c r="K661" s="3" t="inlineStr">
        <is>
          <t>evidence that we have obtained, we concluded that no material uncertainty</t>
        </is>
      </c>
      <c r="L661" s="2" t="inlineStr">
        <is>
          <t>pend</t>
        </is>
      </c>
      <c r="M661" s="2" t="n"/>
      <c r="N661" s="2" t="n"/>
      <c r="O661" s="3" t="inlineStr">
        <is>
          <t>https://vanillabonds.com/dossier-data/pdf/fastned/fastned-2024-annual-report.pdf#page=189</t>
        </is>
      </c>
    </row>
    <row r="662">
      <c r="A662" s="2" t="inlineStr">
        <is>
          <t>F661</t>
        </is>
      </c>
      <c r="B662" s="2" t="inlineStr">
        <is>
          <t>risk</t>
        </is>
      </c>
      <c r="C662" s="2" t="inlineStr">
        <is>
          <t>risk_fact</t>
        </is>
      </c>
      <c r="D662" s="2" t="inlineStr">
        <is>
          <t>Risk fact</t>
        </is>
      </c>
      <c r="E662" s="2" t="n"/>
      <c r="F662" s="2" t="n"/>
      <c r="G662" s="2" t="n"/>
      <c r="H662" s="3" t="inlineStr">
        <is>
          <t>Cautionary statement names principal risk factors: BEV adoption, brand, innovation, investment choices, customer relationships, talent, supply chain, electricity cost, IT, transformation projects, economic/political risks, financial risks, ethics, regulatory/tax/legal matters.</t>
        </is>
      </c>
      <c r="I662" s="2" t="inlineStr">
        <is>
          <t>S2</t>
        </is>
      </c>
      <c r="J662" s="2" t="n">
        <v>198</v>
      </c>
      <c r="K662" s="3" t="inlineStr">
        <is>
          <t>results to differ materially are: the adoption of BEVs in the Netherlands and other</t>
        </is>
      </c>
      <c r="L662" s="2" t="inlineStr">
        <is>
          <t>pend</t>
        </is>
      </c>
      <c r="M662" s="2" t="n"/>
      <c r="N662" s="2" t="n"/>
      <c r="O662" s="3" t="inlineStr">
        <is>
          <t>https://vanillabonds.com/dossier-data/pdf/fastned/fastned-2024-annual-report.pdf#page=198</t>
        </is>
      </c>
    </row>
    <row r="663">
      <c r="A663" s="2" t="inlineStr">
        <is>
          <t>F662</t>
        </is>
      </c>
      <c r="B663" s="2" t="inlineStr">
        <is>
          <t>management</t>
        </is>
      </c>
      <c r="C663" s="2" t="inlineStr">
        <is>
          <t>mgmt_person</t>
        </is>
      </c>
      <c r="D663" s="3" t="inlineStr">
        <is>
          <t>Executive: name, role, since, prior roles (register / report)</t>
        </is>
      </c>
      <c r="E663" s="2" t="n"/>
      <c r="F663" s="2" t="n"/>
      <c r="G663" s="2" t="n"/>
      <c r="H663" s="3" t="inlineStr">
        <is>
          <t>Country leads: Nicky Rietveld-Bresser (NL expansion lead), Linda Boll (DE), Pierre Courgeon (FR), Matthias Pletinckx (BE), Tom Hurst (UK), Ludwig Steding (CH), Simone Saccani (IT), Inma Cima (ES), Frederik Heesch Hansen (DK).</t>
        </is>
      </c>
      <c r="I663" s="2" t="inlineStr">
        <is>
          <t>S2</t>
        </is>
      </c>
      <c r="J663" s="2" t="n">
        <v>23</v>
      </c>
      <c r="K663" s="2" t="inlineStr">
        <is>
          <t>Germany Country Director: LINDA BOLL</t>
        </is>
      </c>
      <c r="L663" s="2" t="inlineStr">
        <is>
          <t>pend</t>
        </is>
      </c>
      <c r="M663" s="2" t="n"/>
      <c r="N663" s="2" t="n"/>
      <c r="O663" s="3" t="inlineStr">
        <is>
          <t>https://vanillabonds.com/dossier-data/pdf/fastned/fastned-2024-annual-report.pdf#page=23</t>
        </is>
      </c>
    </row>
    <row r="664">
      <c r="A664" s="2" t="inlineStr">
        <is>
          <t>F663</t>
        </is>
      </c>
      <c r="B664" s="2" t="inlineStr">
        <is>
          <t>management</t>
        </is>
      </c>
      <c r="C664" s="2" t="inlineStr">
        <is>
          <t>mgmt_person</t>
        </is>
      </c>
      <c r="D664" s="3" t="inlineStr">
        <is>
          <t>Executive: name, role, since, prior roles (register / report)</t>
        </is>
      </c>
      <c r="E664" s="2" t="n"/>
      <c r="F664" s="2" t="n"/>
      <c r="G664" s="2" t="n"/>
      <c r="H664" s="3" t="inlineStr">
        <is>
          <t>Michiel Langezaal, CEO and co-founder since 2012; previously New Business Developer at Epyon/ABB 2010-2012 and strategy consultant at A.T. Kearney 2007-2010; MSc Mechanical Engineering TU Delft.</t>
        </is>
      </c>
      <c r="I664" s="2" t="inlineStr">
        <is>
          <t>S2</t>
        </is>
      </c>
      <c r="J664" s="2" t="n">
        <v>93</v>
      </c>
      <c r="K664" s="3" t="inlineStr">
        <is>
          <t>Michiel was New Business Developer at Epyon/ABB, a maker of fast chargers for electric vehicles, from 2010 to 2012.</t>
        </is>
      </c>
      <c r="L664" s="2" t="inlineStr">
        <is>
          <t>pend</t>
        </is>
      </c>
      <c r="M664" s="2" t="n"/>
      <c r="N664" s="2" t="n"/>
      <c r="O664" s="3" t="inlineStr">
        <is>
          <t>https://vanillabonds.com/dossier-data/pdf/fastned/fastned-2024-annual-report.pdf#page=93</t>
        </is>
      </c>
    </row>
    <row r="665">
      <c r="A665" s="2" t="inlineStr">
        <is>
          <t>F664</t>
        </is>
      </c>
      <c r="B665" s="2" t="inlineStr">
        <is>
          <t>management</t>
        </is>
      </c>
      <c r="C665" s="2" t="inlineStr">
        <is>
          <t>mgmt_person</t>
        </is>
      </c>
      <c r="D665" s="3" t="inlineStr">
        <is>
          <t>Executive: name, role, since, prior roles (register / report)</t>
        </is>
      </c>
      <c r="E665" s="2" t="n"/>
      <c r="F665" s="2" t="n"/>
      <c r="G665" s="2" t="n"/>
      <c r="H665" s="3" t="inlineStr">
        <is>
          <t>Victor van Dijk, CFO and statutory director since 2019; previously managing director Debt Capital Markets at ING (corporate DCM DE/CH/AT since 2012), 14+ years at ING; MSc Civil Engineering TU Delft.</t>
        </is>
      </c>
      <c r="I665" s="2" t="inlineStr">
        <is>
          <t>S2</t>
        </is>
      </c>
      <c r="J665" s="2" t="n">
        <v>94</v>
      </c>
      <c r="K665" s="3" t="inlineStr">
        <is>
          <t>Victor worked at ING as managing director Debt Capital Markets (DCM) where he had been responsible for corporate DCM in Germany, Switzerland and Austria since 2012.</t>
        </is>
      </c>
      <c r="L665" s="2" t="inlineStr">
        <is>
          <t>pend</t>
        </is>
      </c>
      <c r="M665" s="2" t="n"/>
      <c r="N665" s="2" t="n"/>
      <c r="O665" s="3" t="inlineStr">
        <is>
          <t>https://vanillabonds.com/dossier-data/pdf/fastned/fastned-2024-annual-report.pdf#page=94</t>
        </is>
      </c>
    </row>
    <row r="666">
      <c r="A666" s="2" t="inlineStr">
        <is>
          <t>F665</t>
        </is>
      </c>
      <c r="B666" s="2" t="inlineStr">
        <is>
          <t>management</t>
        </is>
      </c>
      <c r="C666" s="2" t="inlineStr">
        <is>
          <t>mgmt_person</t>
        </is>
      </c>
      <c r="D666" s="3" t="inlineStr">
        <is>
          <t>Executive: name, role, since, prior roles (register / report)</t>
        </is>
      </c>
      <c r="E666" s="2" t="n"/>
      <c r="F666" s="2" t="n"/>
      <c r="G666" s="2" t="n"/>
      <c r="H666" s="3" t="inlineStr">
        <is>
          <t>Françoise Poggi, COO since November 2024; seven years at Tesla from 2017 (EMEA supply chain for charging, energy infrastructure, aftersales), earlier Cisco Systems and Sonos; MSc Procurement, Logistics and Supply Chain, University of Salford.</t>
        </is>
      </c>
      <c r="I666" s="2" t="inlineStr">
        <is>
          <t>S2</t>
        </is>
      </c>
      <c r="J666" s="2" t="n">
        <v>94</v>
      </c>
      <c r="K666" s="3" t="inlineStr">
        <is>
          <t>Following terms with renowned companies such as Cisco Systems and Sonos, Inc., Françoise joined Tesla in 2017.</t>
        </is>
      </c>
      <c r="L666" s="2" t="inlineStr">
        <is>
          <t>pend</t>
        </is>
      </c>
      <c r="M666" s="2" t="n"/>
      <c r="N666" s="2" t="n"/>
      <c r="O666" s="3" t="inlineStr">
        <is>
          <t>https://vanillabonds.com/dossier-data/pdf/fastned/fastned-2024-annual-report.pdf#page=94</t>
        </is>
      </c>
    </row>
    <row r="667">
      <c r="A667" s="2" t="inlineStr">
        <is>
          <t>F666</t>
        </is>
      </c>
      <c r="B667" s="2" t="inlineStr">
        <is>
          <t>management</t>
        </is>
      </c>
      <c r="C667" s="2" t="inlineStr">
        <is>
          <t>mgmt_person</t>
        </is>
      </c>
      <c r="D667" s="3" t="inlineStr">
        <is>
          <t>Executive: name, role, since, prior roles (register / report)</t>
        </is>
      </c>
      <c r="E667" s="2" t="n"/>
      <c r="F667" s="2" t="n"/>
      <c r="G667" s="2" t="n"/>
      <c r="H667" s="3" t="inlineStr">
        <is>
          <t>Victor van Dijk, CFO and director of Fastned B.V.; holds 14,105 options at 31 Dec 2024.</t>
        </is>
      </c>
      <c r="I667" s="2" t="inlineStr">
        <is>
          <t>S2</t>
        </is>
      </c>
      <c r="J667" s="2" t="n">
        <v>160</v>
      </c>
      <c r="K667" s="3" t="inlineStr">
        <is>
          <t>Included in the table above are options granted to Victor van Dijk, director of</t>
        </is>
      </c>
      <c r="L667" s="2" t="inlineStr">
        <is>
          <t>pend</t>
        </is>
      </c>
      <c r="M667" s="2" t="n"/>
      <c r="N667" s="2" t="n"/>
      <c r="O667" s="3" t="inlineStr">
        <is>
          <t>https://vanillabonds.com/dossier-data/pdf/fastned/fastned-2024-annual-report.pdf#page=160</t>
        </is>
      </c>
    </row>
    <row r="668">
      <c r="A668" s="2" t="inlineStr">
        <is>
          <t>F667</t>
        </is>
      </c>
      <c r="B668" s="2" t="inlineStr">
        <is>
          <t>management</t>
        </is>
      </c>
      <c r="C668" s="2" t="inlineStr">
        <is>
          <t>mgmt_person</t>
        </is>
      </c>
      <c r="D668" s="3" t="inlineStr">
        <is>
          <t>Executive: name, role, since, prior roles (register / report)</t>
        </is>
      </c>
      <c r="E668" s="2" t="n"/>
      <c r="F668" s="2" t="n"/>
      <c r="G668" s="2" t="n"/>
      <c r="H668" s="3" t="inlineStr">
        <is>
          <t>Francoise Poggi, Group Chief Operating Officer since 29 November 2024, statutory director.</t>
        </is>
      </c>
      <c r="I668" s="2" t="inlineStr">
        <is>
          <t>S2</t>
        </is>
      </c>
      <c r="J668" s="2" t="n">
        <v>164</v>
      </c>
      <c r="K668" s="3" t="inlineStr">
        <is>
          <t>* Françoise Poggi was appointed as Group Chief Operating Officer on 29 November 2024.</t>
        </is>
      </c>
      <c r="L668" s="2" t="inlineStr">
        <is>
          <t>pend</t>
        </is>
      </c>
      <c r="M668" s="2" t="n"/>
      <c r="N668" s="2" t="n"/>
      <c r="O668" s="3" t="inlineStr">
        <is>
          <t>https://vanillabonds.com/dossier-data/pdf/fastned/fastned-2024-annual-report.pdf#page=164</t>
        </is>
      </c>
    </row>
    <row r="669">
      <c r="A669" s="2" t="inlineStr">
        <is>
          <t>F668</t>
        </is>
      </c>
      <c r="B669" s="2" t="inlineStr">
        <is>
          <t>management</t>
        </is>
      </c>
      <c r="C669" s="2" t="inlineStr">
        <is>
          <t>mgmt_person</t>
        </is>
      </c>
      <c r="D669" s="3" t="inlineStr">
        <is>
          <t>Executive: name, role, since, prior roles (register / report)</t>
        </is>
      </c>
      <c r="E669" s="2" t="n"/>
      <c r="F669" s="2" t="n"/>
      <c r="G669" s="2" t="n"/>
      <c r="H669" s="3" t="inlineStr">
        <is>
          <t>Michiel Langezaal, CEO and managing director; 21.3% shareholder via Carraig Aonair Holding B.V.</t>
        </is>
      </c>
      <c r="I669" s="2" t="inlineStr">
        <is>
          <t>S2</t>
        </is>
      </c>
      <c r="J669" s="2" t="n">
        <v>185</v>
      </c>
      <c r="K669" s="3" t="inlineStr">
        <is>
          <t>Management Board Michiel Langezaal Victor van Dijk Françoise Poggi CEO CFO COO</t>
        </is>
      </c>
      <c r="L669" s="2" t="inlineStr">
        <is>
          <t>pend</t>
        </is>
      </c>
      <c r="M669" s="2" t="n"/>
      <c r="N669" s="2" t="n"/>
      <c r="O669" s="3" t="inlineStr">
        <is>
          <t>https://vanillabonds.com/dossier-data/pdf/fastned/fastned-2024-annual-report.pdf#page=185</t>
        </is>
      </c>
    </row>
    <row r="670">
      <c r="A670" s="2" t="inlineStr">
        <is>
          <t>F669</t>
        </is>
      </c>
      <c r="B670" s="2" t="inlineStr">
        <is>
          <t>management</t>
        </is>
      </c>
      <c r="C670" s="2" t="inlineStr">
        <is>
          <t>covenant_test</t>
        </is>
      </c>
      <c r="D670" s="3" t="inlineStr">
        <is>
          <t>Covenant test: date, ratio, threshold, outcome, waiver</t>
        </is>
      </c>
      <c r="E670" s="2" t="n"/>
      <c r="F670" s="2" t="n"/>
      <c r="G670" s="2" t="n"/>
      <c r="H670" s="3" t="inlineStr">
        <is>
          <t>31 Dec 2024: covenants under the bank guarantee facility, all met as stated by the company; ratios and thresholds not disclosed.</t>
        </is>
      </c>
      <c r="I670" s="2" t="inlineStr">
        <is>
          <t>S2</t>
        </is>
      </c>
      <c r="J670" s="2" t="n">
        <v>156</v>
      </c>
      <c r="K670" s="3" t="inlineStr">
        <is>
          <t>Certain covenants apply, who have all been met at 31 December 2024.</t>
        </is>
      </c>
      <c r="L670" s="2" t="inlineStr">
        <is>
          <t>pend</t>
        </is>
      </c>
      <c r="M670" s="2" t="n"/>
      <c r="N670" s="2" t="n"/>
      <c r="O670" s="3" t="inlineStr">
        <is>
          <t>https://vanillabonds.com/dossier-data/pdf/fastned/fastned-2024-annual-report.pdf#page=156</t>
        </is>
      </c>
    </row>
    <row r="671">
      <c r="A671" s="2" t="inlineStr">
        <is>
          <t>F670</t>
        </is>
      </c>
      <c r="B671" s="2" t="inlineStr">
        <is>
          <t>management</t>
        </is>
      </c>
      <c r="C671" s="2" t="inlineStr">
        <is>
          <t>acquisition</t>
        </is>
      </c>
      <c r="D671" s="3" t="inlineStr">
        <is>
          <t>Acquisition / disposal: target, year, price, funding, outcome vs case</t>
        </is>
      </c>
      <c r="E671" s="2" t="n"/>
      <c r="F671" s="2" t="n"/>
      <c r="G671" s="2" t="n"/>
      <c r="H671" s="3" t="inlineStr">
        <is>
          <t>Fastned Terra 1 B.V.: 90.8% acquired from private investors on 29 Dec 2023 (asset acquisition), further 7.6% on 12 Jan 2024 (to 98.4%) and remaining 1.6% on 1 Dec 2024 (to 100%); price not stated in these pages.</t>
        </is>
      </c>
      <c r="I671" s="2" t="inlineStr">
        <is>
          <t>S2</t>
        </is>
      </c>
      <c r="J671" s="2" t="n">
        <v>127</v>
      </c>
      <c r="K671" s="3" t="inlineStr">
        <is>
          <t>On December 29, 2023, Fastned B.V. acquired 90.8% of the shares in Fastned</t>
        </is>
      </c>
      <c r="L671" s="2" t="inlineStr">
        <is>
          <t>pend</t>
        </is>
      </c>
      <c r="M671" s="2" t="n"/>
      <c r="N671" s="2" t="n"/>
      <c r="O671" s="3" t="inlineStr">
        <is>
          <t>https://vanillabonds.com/dossier-data/pdf/fastned/fastned-2024-annual-report.pdf#page=127</t>
        </is>
      </c>
    </row>
    <row r="672">
      <c r="A672" s="2" t="inlineStr">
        <is>
          <t>F671</t>
        </is>
      </c>
      <c r="B672" s="2" t="inlineStr">
        <is>
          <t>management</t>
        </is>
      </c>
      <c r="C672" s="2" t="inlineStr">
        <is>
          <t>acquisition</t>
        </is>
      </c>
      <c r="D672" s="3" t="inlineStr">
        <is>
          <t>Acquisition / disposal: target, year, price, funding, outcome vs case</t>
        </is>
      </c>
      <c r="E672" s="2" t="n"/>
      <c r="F672" s="2" t="n"/>
      <c r="G672" s="2" t="n"/>
      <c r="H672" s="3" t="inlineStr">
        <is>
          <t>Joint venture Fast Places Limited (UK) with Places for London (TfL property company), agreement 5 Dec 2024, Fastned UK holds 51%, equity-accounted (joint control), ultra-rapid charging hubs at five initial London sites.</t>
        </is>
      </c>
      <c r="I672" s="2" t="inlineStr">
        <is>
          <t>S2</t>
        </is>
      </c>
      <c r="J672" s="2" t="n">
        <v>127</v>
      </c>
      <c r="K672" s="3" t="inlineStr">
        <is>
          <t>On 5 December 2024, Fastned UK Limited entered into a Joint Venture</t>
        </is>
      </c>
      <c r="L672" s="2" t="inlineStr">
        <is>
          <t>pend</t>
        </is>
      </c>
      <c r="M672" s="2" t="n"/>
      <c r="N672" s="2" t="n"/>
      <c r="O672" s="3" t="inlineStr">
        <is>
          <t>https://vanillabonds.com/dossier-data/pdf/fastned/fastned-2024-annual-report.pdf#page=127</t>
        </is>
      </c>
    </row>
    <row r="673">
      <c r="A673" s="2" t="inlineStr">
        <is>
          <t>F672</t>
        </is>
      </c>
      <c r="B673" s="2" t="inlineStr">
        <is>
          <t>management</t>
        </is>
      </c>
      <c r="C673" s="2" t="inlineStr">
        <is>
          <t>succession</t>
        </is>
      </c>
      <c r="D673" s="3" t="inlineStr">
        <is>
          <t>Succession: plan, last change of CEO / CFO, who decides</t>
        </is>
      </c>
      <c r="E673" s="2" t="n"/>
      <c r="F673" s="2" t="n"/>
      <c r="G673" s="2" t="n"/>
      <c r="H673" s="3" t="inlineStr">
        <is>
          <t>Management Board appointed by the General Meeting for an indefinite period; last change: COO Françoise Poggi added 29 November 2024 after SB nomination; CEO since 2012, CFO since 2019.</t>
        </is>
      </c>
      <c r="I673" s="2" t="inlineStr">
        <is>
          <t>S2</t>
        </is>
      </c>
      <c r="J673" s="2" t="n">
        <v>73</v>
      </c>
      <c r="K673" s="3" t="inlineStr">
        <is>
          <t>The Managing Directors are appointed by the General Meeting for an indefinite period of time</t>
        </is>
      </c>
      <c r="L673" s="2" t="inlineStr">
        <is>
          <t>pend</t>
        </is>
      </c>
      <c r="M673" s="2" t="n"/>
      <c r="N673" s="2" t="n"/>
      <c r="O673" s="3" t="inlineStr">
        <is>
          <t>https://vanillabonds.com/dossier-data/pdf/fastned/fastned-2024-annual-report.pdf#page=73</t>
        </is>
      </c>
    </row>
    <row r="674">
      <c r="A674" s="2" t="inlineStr">
        <is>
          <t>F673</t>
        </is>
      </c>
      <c r="B674" s="2" t="inlineStr">
        <is>
          <t>management</t>
        </is>
      </c>
      <c r="C674" s="2" t="inlineStr">
        <is>
          <t>succession</t>
        </is>
      </c>
      <c r="D674" s="3" t="inlineStr">
        <is>
          <t>Succession: plan, last change of CEO / CFO, who decides</t>
        </is>
      </c>
      <c r="E674" s="2" t="n"/>
      <c r="F674" s="2" t="n"/>
      <c r="G674" s="2" t="n"/>
      <c r="H674" s="3" t="inlineStr">
        <is>
          <t>Last change: COO Francoise Poggi appointed 29 Nov 2024 (parent note 28.2: three directors in 2024 vs two in 2023; note 38 states two); CEO and CFO unchanged over 2023-2024; no succession plan stated in these pages.</t>
        </is>
      </c>
      <c r="I674" s="2" t="inlineStr">
        <is>
          <t>S2</t>
        </is>
      </c>
      <c r="J674" s="2" t="n">
        <v>172</v>
      </c>
      <c r="K674" s="2" t="inlineStr">
        <is>
          <t>of directors was 3 (2023: 2).</t>
        </is>
      </c>
      <c r="L674" s="2" t="inlineStr">
        <is>
          <t>pend</t>
        </is>
      </c>
      <c r="M674" s="2" t="n"/>
      <c r="N674" s="2" t="n"/>
      <c r="O674" s="3" t="inlineStr">
        <is>
          <t>https://vanillabonds.com/dossier-data/pdf/fastned/fastned-2024-annual-report.pdf#page=172</t>
        </is>
      </c>
    </row>
    <row r="675">
      <c r="A675" s="2" t="inlineStr">
        <is>
          <t>F674</t>
        </is>
      </c>
      <c r="B675" s="2" t="inlineStr">
        <is>
          <t>management</t>
        </is>
      </c>
      <c r="C675" s="2" t="inlineStr">
        <is>
          <t>governance</t>
        </is>
      </c>
      <c r="D675" s="3" t="inlineStr">
        <is>
          <t>Board, independent members, group structure, related-party flows, dividends</t>
        </is>
      </c>
      <c r="E675" s="2" t="n"/>
      <c r="F675" s="2" t="n"/>
      <c r="G675" s="2" t="n"/>
      <c r="H675" s="3" t="inlineStr">
        <is>
          <t>Works Council of seven employees (NL, UK, BE, DE, FR) established in 2023 under the Dutch Works Council Act.</t>
        </is>
      </c>
      <c r="I675" s="2" t="inlineStr">
        <is>
          <t>S2</t>
        </is>
      </c>
      <c r="J675" s="2" t="n">
        <v>37</v>
      </c>
      <c r="K675" s="3" t="inlineStr">
        <is>
          <t>Fastned established its Works Council in 2023 to implement employee participation in accordance with the Dutch Works Council Act.</t>
        </is>
      </c>
      <c r="L675" s="2" t="inlineStr">
        <is>
          <t>pend</t>
        </is>
      </c>
      <c r="M675" s="2" t="n"/>
      <c r="N675" s="2" t="n"/>
      <c r="O675" s="3" t="inlineStr">
        <is>
          <t>https://vanillabonds.com/dossier-data/pdf/fastned/fastned-2024-annual-report.pdf#page=37</t>
        </is>
      </c>
    </row>
    <row r="676">
      <c r="A676" s="2" t="inlineStr">
        <is>
          <t>F675</t>
        </is>
      </c>
      <c r="B676" s="2" t="inlineStr">
        <is>
          <t>management</t>
        </is>
      </c>
      <c r="C676" s="2" t="inlineStr">
        <is>
          <t>governance</t>
        </is>
      </c>
      <c r="D676" s="3" t="inlineStr">
        <is>
          <t>Board, independent members, group structure, related-party flows, dividends</t>
        </is>
      </c>
      <c r="E676" s="2" t="n"/>
      <c r="F676" s="2" t="n"/>
      <c r="G676" s="2" t="n"/>
      <c r="H676" s="3" t="inlineStr">
        <is>
          <t>No conflicts of interest reported by Management Board or Supervisory Board members in 2024; no whistleblower irregularities reported in 2024.</t>
        </is>
      </c>
      <c r="I676" s="2" t="inlineStr">
        <is>
          <t>S2</t>
        </is>
      </c>
      <c r="J676" s="2" t="n">
        <v>74</v>
      </c>
      <c r="K676" s="3" t="inlineStr">
        <is>
          <t>In 2024, no conflicts of interest were reported. For further information, we refer to the note 'Related party transactions' (see page 163).</t>
        </is>
      </c>
      <c r="L676" s="2" t="inlineStr">
        <is>
          <t>pend</t>
        </is>
      </c>
      <c r="M676" s="2" t="n"/>
      <c r="N676" s="2" t="n"/>
      <c r="O676" s="3" t="inlineStr">
        <is>
          <t>https://vanillabonds.com/dossier-data/pdf/fastned/fastned-2024-annual-report.pdf#page=74</t>
        </is>
      </c>
    </row>
    <row r="677">
      <c r="A677" s="2" t="inlineStr">
        <is>
          <t>F676</t>
        </is>
      </c>
      <c r="B677" s="2" t="inlineStr">
        <is>
          <t>management</t>
        </is>
      </c>
      <c r="C677" s="2" t="inlineStr">
        <is>
          <t>governance</t>
        </is>
      </c>
      <c r="D677" s="3" t="inlineStr">
        <is>
          <t>Board, independent members, group structure, related-party flows, dividends</t>
        </is>
      </c>
      <c r="E677" s="2" t="n"/>
      <c r="F677" s="2" t="n"/>
      <c r="G677" s="2" t="n"/>
      <c r="H677" s="3" t="inlineStr">
        <is>
          <t>Two-tier structure: Management Board (CEO, CFO, COO) and Supervisory Board of four; voting rights on all shares vested in the FAST Foundation, DR holders have economic rights only.</t>
        </is>
      </c>
      <c r="I677" s="2" t="inlineStr">
        <is>
          <t>S2</t>
        </is>
      </c>
      <c r="J677" s="2" t="n">
        <v>75</v>
      </c>
      <c r="K677" s="3" t="inlineStr">
        <is>
          <t>The voting rights are vested in FAST, which exercises these rights independently of Fastned.</t>
        </is>
      </c>
      <c r="L677" s="2" t="inlineStr">
        <is>
          <t>pend</t>
        </is>
      </c>
      <c r="M677" s="2" t="n"/>
      <c r="N677" s="2" t="n"/>
      <c r="O677" s="3" t="inlineStr">
        <is>
          <t>https://vanillabonds.com/dossier-data/pdf/fastned/fastned-2024-annual-report.pdf#page=75</t>
        </is>
      </c>
    </row>
    <row r="678">
      <c r="A678" s="2" t="inlineStr">
        <is>
          <t>F677</t>
        </is>
      </c>
      <c r="B678" s="2" t="inlineStr">
        <is>
          <t>management</t>
        </is>
      </c>
      <c r="C678" s="2" t="inlineStr">
        <is>
          <t>governance</t>
        </is>
      </c>
      <c r="D678" s="3" t="inlineStr">
        <is>
          <t>Board, independent members, group structure, related-party flows, dividends</t>
        </is>
      </c>
      <c r="E678" s="2" t="n"/>
      <c r="F678" s="2" t="n"/>
      <c r="G678" s="2" t="n"/>
      <c r="H678" s="3" t="inlineStr">
        <is>
          <t>19,552,877 shares issued and outstanding at 31 December 2024; one share class, all DRs listed.</t>
        </is>
      </c>
      <c r="I678" s="2" t="inlineStr">
        <is>
          <t>S2</t>
        </is>
      </c>
      <c r="J678" s="2" t="n">
        <v>75</v>
      </c>
      <c r="K678" s="3" t="inlineStr">
        <is>
          <t>On 31 December 2024, a total of 19.552.877 were issued and outstanding.</t>
        </is>
      </c>
      <c r="L678" s="2" t="inlineStr">
        <is>
          <t>pend</t>
        </is>
      </c>
      <c r="M678" s="2" t="n"/>
      <c r="N678" s="2" t="n"/>
      <c r="O678" s="3" t="inlineStr">
        <is>
          <t>https://vanillabonds.com/dossier-data/pdf/fastned/fastned-2024-annual-report.pdf#page=75</t>
        </is>
      </c>
    </row>
    <row r="679">
      <c r="A679" s="2" t="inlineStr">
        <is>
          <t>F678</t>
        </is>
      </c>
      <c r="B679" s="2" t="inlineStr">
        <is>
          <t>management</t>
        </is>
      </c>
      <c r="C679" s="2" t="inlineStr">
        <is>
          <t>governance</t>
        </is>
      </c>
      <c r="D679" s="3" t="inlineStr">
        <is>
          <t>Board, independent members, group structure, related-party flows, dividends</t>
        </is>
      </c>
      <c r="E679" s="2" t="n"/>
      <c r="F679" s="2" t="n"/>
      <c r="G679" s="2" t="n"/>
      <c r="H679" s="3" t="inlineStr">
        <is>
          <t>Fastned deviates from Code provision 2.1.7(ii): fewer than half of the four Supervisory Board members are independent for as long as Schroders holds 10% or more of the DRs.</t>
        </is>
      </c>
      <c r="I679" s="2" t="inlineStr">
        <is>
          <t>S2</t>
        </is>
      </c>
      <c r="J679" s="2" t="n">
        <v>76</v>
      </c>
      <c r="K679" s="3" t="inlineStr">
        <is>
          <t>for as long as Schroders holds 10% or more of the DRs, Jérôme Janssen are not “independent” within the meaning of the Dutch Corporate Governance Code.</t>
        </is>
      </c>
      <c r="L679" s="2" t="inlineStr">
        <is>
          <t>pend</t>
        </is>
      </c>
      <c r="M679" s="2" t="n"/>
      <c r="N679" s="2" t="n"/>
      <c r="O679" s="3" t="inlineStr">
        <is>
          <t>https://vanillabonds.com/dossier-data/pdf/fastned/fastned-2024-annual-report.pdf#page=76</t>
        </is>
      </c>
    </row>
    <row r="680">
      <c r="A680" s="2" t="inlineStr">
        <is>
          <t>F679</t>
        </is>
      </c>
      <c r="B680" s="2" t="inlineStr">
        <is>
          <t>management</t>
        </is>
      </c>
      <c r="C680" s="2" t="inlineStr">
        <is>
          <t>governance</t>
        </is>
      </c>
      <c r="D680" s="3" t="inlineStr">
        <is>
          <t>Board, independent members, group structure, related-party flows, dividends</t>
        </is>
      </c>
      <c r="E680" s="2" t="n"/>
      <c r="F680" s="2" t="n"/>
      <c r="G680" s="2" t="n"/>
      <c r="H680" s="3" t="inlineStr">
        <is>
          <t>AGM 6 June 2024 authorised the Management Board for 18 months to issue up to 20% of shares for general purposes plus a further 20% for the Option Plan.</t>
        </is>
      </c>
      <c r="I680" s="2" t="inlineStr">
        <is>
          <t>S2</t>
        </is>
      </c>
      <c r="J680" s="2" t="n">
        <v>76</v>
      </c>
      <c r="K680" s="3" t="inlineStr">
        <is>
          <t>up to a maximum of 20% of the Shares issued and outstanding on 6 June 2024 for general purposes</t>
        </is>
      </c>
      <c r="L680" s="2" t="inlineStr">
        <is>
          <t>pend</t>
        </is>
      </c>
      <c r="M680" s="2" t="n"/>
      <c r="N680" s="2" t="n"/>
      <c r="O680" s="3" t="inlineStr">
        <is>
          <t>https://vanillabonds.com/dossier-data/pdf/fastned/fastned-2024-annual-report.pdf#page=76</t>
        </is>
      </c>
    </row>
    <row r="681">
      <c r="A681" s="2" t="inlineStr">
        <is>
          <t>F680</t>
        </is>
      </c>
      <c r="B681" s="2" t="inlineStr">
        <is>
          <t>management</t>
        </is>
      </c>
      <c r="C681" s="2" t="inlineStr">
        <is>
          <t>governance</t>
        </is>
      </c>
      <c r="D681" s="3" t="inlineStr">
        <is>
          <t>Board, independent members, group structure, related-party flows, dividends</t>
        </is>
      </c>
      <c r="E681" s="2" t="n"/>
      <c r="F681" s="2" t="n"/>
      <c r="G681" s="2" t="n"/>
      <c r="H681" s="3" t="inlineStr">
        <is>
          <t>Management Board members are appointed for an indefinite period (deviation from Code provision 2.2.1); no severance arrangements, one-month notice.</t>
        </is>
      </c>
      <c r="I681" s="2" t="inlineStr">
        <is>
          <t>S2</t>
        </is>
      </c>
      <c r="J681" s="2" t="n">
        <v>76</v>
      </c>
      <c r="K681" s="3" t="inlineStr">
        <is>
          <t>Fastned does not comply with the best practice provision 2.2.1, stating that a Management Board member is appointed for a maximum period of four years</t>
        </is>
      </c>
      <c r="L681" s="2" t="inlineStr">
        <is>
          <t>pend</t>
        </is>
      </c>
      <c r="M681" s="2" t="n"/>
      <c r="N681" s="2" t="n"/>
      <c r="O681" s="3" t="inlineStr">
        <is>
          <t>https://vanillabonds.com/dossier-data/pdf/fastned/fastned-2024-annual-report.pdf#page=76</t>
        </is>
      </c>
    </row>
    <row r="682">
      <c r="A682" s="2" t="inlineStr">
        <is>
          <t>F681</t>
        </is>
      </c>
      <c r="B682" s="2" t="inlineStr">
        <is>
          <t>management</t>
        </is>
      </c>
      <c r="C682" s="2" t="inlineStr">
        <is>
          <t>governance</t>
        </is>
      </c>
      <c r="D682" s="3" t="inlineStr">
        <is>
          <t>Board, independent members, group structure, related-party flows, dividends</t>
        </is>
      </c>
      <c r="E682" s="2" t="n"/>
      <c r="F682" s="2" t="n"/>
      <c r="G682" s="2" t="n"/>
      <c r="H682" s="3" t="inlineStr">
        <is>
          <t>Fastned does not provide personal loans, advances or guarantees to Management Board or Supervisory Board members.</t>
        </is>
      </c>
      <c r="I682" s="2" t="inlineStr">
        <is>
          <t>S2</t>
        </is>
      </c>
      <c r="J682" s="2" t="n">
        <v>78</v>
      </c>
      <c r="K682" s="3" t="inlineStr">
        <is>
          <t>Fastned does not provide any personal loans, advances or guarantees to Management Board members.</t>
        </is>
      </c>
      <c r="L682" s="2" t="inlineStr">
        <is>
          <t>pend</t>
        </is>
      </c>
      <c r="M682" s="2" t="n"/>
      <c r="N682" s="2" t="n"/>
      <c r="O682" s="3" t="inlineStr">
        <is>
          <t>https://vanillabonds.com/dossier-data/pdf/fastned/fastned-2024-annual-report.pdf#page=78</t>
        </is>
      </c>
    </row>
    <row r="683">
      <c r="A683" s="2" t="inlineStr">
        <is>
          <t>F682</t>
        </is>
      </c>
      <c r="B683" s="2" t="inlineStr">
        <is>
          <t>management</t>
        </is>
      </c>
      <c r="C683" s="2" t="inlineStr">
        <is>
          <t>governance</t>
        </is>
      </c>
      <c r="D683" s="3" t="inlineStr">
        <is>
          <t>Board, independent members, group structure, related-party flows, dividends</t>
        </is>
      </c>
      <c r="E683" s="2" t="n"/>
      <c r="F683" s="2" t="n"/>
      <c r="G683" s="2" t="n"/>
      <c r="H683" s="3" t="inlineStr">
        <is>
          <t>Employee Option Plan: at each of ten milestones (market cap plus operational goal) options for 1% of outstanding DRs are allocated; CEO Langezaal is excluded from the plan.</t>
        </is>
      </c>
      <c r="I683" s="2" t="inlineStr">
        <is>
          <t>S2</t>
        </is>
      </c>
      <c r="J683" s="2" t="n">
        <v>78</v>
      </c>
      <c r="K683" s="3" t="inlineStr">
        <is>
          <t>Each time such a milestone is met, Fastned will allocate options for newly issued DRs to its employees for a total of 1% of the then outstanding number of DRs.</t>
        </is>
      </c>
      <c r="L683" s="2" t="inlineStr">
        <is>
          <t>pend</t>
        </is>
      </c>
      <c r="M683" s="2" t="n"/>
      <c r="N683" s="2" t="n"/>
      <c r="O683" s="3" t="inlineStr">
        <is>
          <t>https://vanillabonds.com/dossier-data/pdf/fastned/fastned-2024-annual-report.pdf#page=78</t>
        </is>
      </c>
    </row>
    <row r="684">
      <c r="A684" s="2" t="inlineStr">
        <is>
          <t>F683</t>
        </is>
      </c>
      <c r="B684" s="2" t="inlineStr">
        <is>
          <t>management</t>
        </is>
      </c>
      <c r="C684" s="2" t="inlineStr">
        <is>
          <t>governance</t>
        </is>
      </c>
      <c r="D684" s="3" t="inlineStr">
        <is>
          <t>Board, independent members, group structure, related-party flows, dividends</t>
        </is>
      </c>
      <c r="E684" s="2" t="n"/>
      <c r="F684" s="2" t="n"/>
      <c r="G684" s="2" t="n"/>
      <c r="H684" s="3" t="inlineStr">
        <is>
          <t>Supervisory Board: Kooi and Kabalt independent; Lubbers and Janssen 'dependent' as major shareholders under the Corporate Governance Code (company statement).</t>
        </is>
      </c>
      <c r="I684" s="2" t="inlineStr">
        <is>
          <t>S2</t>
        </is>
      </c>
      <c r="J684" s="2" t="n">
        <v>85</v>
      </c>
      <c r="K684" s="3" t="inlineStr">
        <is>
          <t>Bart Lubbers and Jérôme Janssen, on the other hand, as major shareholders, are dependent in accordance with the rules of the Corporate Governance Code.</t>
        </is>
      </c>
      <c r="L684" s="2" t="inlineStr">
        <is>
          <t>pend</t>
        </is>
      </c>
      <c r="M684" s="2" t="n"/>
      <c r="N684" s="2" t="n"/>
      <c r="O684" s="3" t="inlineStr">
        <is>
          <t>https://vanillabonds.com/dossier-data/pdf/fastned/fastned-2024-annual-report.pdf#page=85</t>
        </is>
      </c>
    </row>
    <row r="685">
      <c r="A685" s="2" t="inlineStr">
        <is>
          <t>F684</t>
        </is>
      </c>
      <c r="B685" s="2" t="inlineStr">
        <is>
          <t>management</t>
        </is>
      </c>
      <c r="C685" s="2" t="inlineStr">
        <is>
          <t>governance</t>
        </is>
      </c>
      <c r="D685" s="3" t="inlineStr">
        <is>
          <t>Board, independent members, group structure, related-party flows, dividends</t>
        </is>
      </c>
      <c r="E685" s="2" t="n"/>
      <c r="F685" s="2" t="n"/>
      <c r="G685" s="2" t="n"/>
      <c r="H685" s="3" t="inlineStr">
        <is>
          <t>Supervisory Board held 6 ordinary meetings in 2024 with 95% attendance; Audit Committee held 6 formal meetings with the external auditor, CFO and Group Controller.</t>
        </is>
      </c>
      <c r="I685" s="2" t="inlineStr">
        <is>
          <t>S2</t>
        </is>
      </c>
      <c r="J685" s="2" t="n">
        <v>86</v>
      </c>
      <c r="K685" s="3" t="inlineStr">
        <is>
          <t>In 2024, the Supervisory Board held 6 ordinary meetings and several extraordinary meetings with and without members of the Management Board present.</t>
        </is>
      </c>
      <c r="L685" s="2" t="inlineStr">
        <is>
          <t>pend</t>
        </is>
      </c>
      <c r="M685" s="2" t="n"/>
      <c r="N685" s="2" t="n"/>
      <c r="O685" s="3" t="inlineStr">
        <is>
          <t>https://vanillabonds.com/dossier-data/pdf/fastned/fastned-2024-annual-report.pdf#page=86</t>
        </is>
      </c>
    </row>
    <row r="686">
      <c r="A686" s="2" t="inlineStr">
        <is>
          <t>F685</t>
        </is>
      </c>
      <c r="B686" s="2" t="inlineStr">
        <is>
          <t>management</t>
        </is>
      </c>
      <c r="C686" s="2" t="inlineStr">
        <is>
          <t>governance</t>
        </is>
      </c>
      <c r="D686" s="3" t="inlineStr">
        <is>
          <t>Board, independent members, group structure, related-party flows, dividends</t>
        </is>
      </c>
      <c r="E686" s="2" t="n"/>
      <c r="F686" s="2" t="n"/>
      <c r="G686" s="2" t="n"/>
      <c r="H686" s="3" t="inlineStr">
        <is>
          <t>CEO Michiel Langezaal is owner and managing director of Carraig Aonair Holding B.V. (related party; note 24 in part 2).</t>
        </is>
      </c>
      <c r="I686" s="2" t="inlineStr">
        <is>
          <t>S2</t>
        </is>
      </c>
      <c r="J686" s="2" t="n">
        <v>93</v>
      </c>
      <c r="K686" s="3" t="inlineStr">
        <is>
          <t>Michiel is also the owner and managing director of Carraig Aonair Holding B.V.</t>
        </is>
      </c>
      <c r="L686" s="2" t="inlineStr">
        <is>
          <t>pend</t>
        </is>
      </c>
      <c r="M686" s="2" t="n"/>
      <c r="N686" s="2" t="n"/>
      <c r="O686" s="3" t="inlineStr">
        <is>
          <t>https://vanillabonds.com/dossier-data/pdf/fastned/fastned-2024-annual-report.pdf#page=93</t>
        </is>
      </c>
    </row>
    <row r="687">
      <c r="A687" s="2" t="inlineStr">
        <is>
          <t>F686</t>
        </is>
      </c>
      <c r="B687" s="2" t="inlineStr">
        <is>
          <t>management</t>
        </is>
      </c>
      <c r="C687" s="2" t="inlineStr">
        <is>
          <t>governance</t>
        </is>
      </c>
      <c r="D687" s="3" t="inlineStr">
        <is>
          <t>Board, independent members, group structure, related-party flows, dividends</t>
        </is>
      </c>
      <c r="E687" s="2" t="n"/>
      <c r="F687" s="2" t="n"/>
      <c r="G687" s="2" t="n"/>
      <c r="H687" s="3" t="inlineStr">
        <is>
          <t>Legal reserve for internally generated software (EUR 820k at YE2024) not distributable.</t>
        </is>
      </c>
      <c r="I687" s="2" t="inlineStr">
        <is>
          <t>S2</t>
        </is>
      </c>
      <c r="J687" s="2" t="n">
        <v>116</v>
      </c>
      <c r="K687" s="3" t="inlineStr">
        <is>
          <t>The Group has a legal reserve for its internally-generated software.</t>
        </is>
      </c>
      <c r="L687" s="2" t="inlineStr">
        <is>
          <t>pend</t>
        </is>
      </c>
      <c r="M687" s="2" t="n"/>
      <c r="N687" s="2" t="n"/>
      <c r="O687" s="3" t="inlineStr">
        <is>
          <t>https://vanillabonds.com/dossier-data/pdf/fastned/fastned-2024-annual-report.pdf#page=116</t>
        </is>
      </c>
    </row>
    <row r="688">
      <c r="A688" s="2" t="inlineStr">
        <is>
          <t>F687</t>
        </is>
      </c>
      <c r="B688" s="2" t="inlineStr">
        <is>
          <t>management</t>
        </is>
      </c>
      <c r="C688" s="2" t="inlineStr">
        <is>
          <t>governance</t>
        </is>
      </c>
      <c r="D688" s="3" t="inlineStr">
        <is>
          <t>Board, independent members, group structure, related-party flows, dividends</t>
        </is>
      </c>
      <c r="E688" s="2" t="n"/>
      <c r="F688" s="2" t="n"/>
      <c r="G688" s="2" t="n"/>
      <c r="H688" s="3" t="inlineStr">
        <is>
          <t>Dividends: none paid since incorporation, none anticipated in the foreseeable future; company states it is 'currently not profitable'.</t>
        </is>
      </c>
      <c r="I688" s="2" t="inlineStr">
        <is>
          <t>S2</t>
        </is>
      </c>
      <c r="J688" s="2" t="n">
        <v>125</v>
      </c>
      <c r="K688" s="3" t="inlineStr">
        <is>
          <t>Fastned B.V. has not paid any dividends since its incorporation. The Group</t>
        </is>
      </c>
      <c r="L688" s="2" t="inlineStr">
        <is>
          <t>pend</t>
        </is>
      </c>
      <c r="M688" s="2" t="n"/>
      <c r="N688" s="2" t="n"/>
      <c r="O688" s="3" t="inlineStr">
        <is>
          <t>https://vanillabonds.com/dossier-data/pdf/fastned/fastned-2024-annual-report.pdf#page=125</t>
        </is>
      </c>
    </row>
    <row r="689">
      <c r="A689" s="2" t="inlineStr">
        <is>
          <t>F688</t>
        </is>
      </c>
      <c r="B689" s="2" t="inlineStr">
        <is>
          <t>management</t>
        </is>
      </c>
      <c r="C689" s="2" t="inlineStr">
        <is>
          <t>governance</t>
        </is>
      </c>
      <c r="D689" s="3" t="inlineStr">
        <is>
          <t>Board, independent members, group structure, related-party flows, dividends</t>
        </is>
      </c>
      <c r="E689" s="2" t="n"/>
      <c r="F689" s="2" t="n"/>
      <c r="G689" s="2" t="n"/>
      <c r="H689" s="3" t="inlineStr">
        <is>
          <t>Board of directors: Michiel Langezaal, Victor van Dijk, Francoise Poggi; Supervisory Board: Liselotte Kooi (chair), Bart Lubbers, Jerome Janssen, Nancy Kabalt.</t>
        </is>
      </c>
      <c r="I689" s="2" t="inlineStr">
        <is>
          <t>S2</t>
        </is>
      </c>
      <c r="J689" s="2" t="n">
        <v>127</v>
      </c>
      <c r="K689" s="3" t="inlineStr">
        <is>
          <t>The board of directors of Fastned B.V. consists of Michiel Langezaal,</t>
        </is>
      </c>
      <c r="L689" s="2" t="inlineStr">
        <is>
          <t>pend</t>
        </is>
      </c>
      <c r="M689" s="2" t="n"/>
      <c r="N689" s="2" t="n"/>
      <c r="O689" s="3" t="inlineStr">
        <is>
          <t>https://vanillabonds.com/dossier-data/pdf/fastned/fastned-2024-annual-report.pdf#page=127</t>
        </is>
      </c>
    </row>
    <row r="690">
      <c r="A690" s="2" t="inlineStr">
        <is>
          <t>F689</t>
        </is>
      </c>
      <c r="B690" s="2" t="inlineStr">
        <is>
          <t>management</t>
        </is>
      </c>
      <c r="C690" s="2" t="inlineStr">
        <is>
          <t>governance</t>
        </is>
      </c>
      <c r="D690" s="3" t="inlineStr">
        <is>
          <t>Board, independent members, group structure, related-party flows, dividends</t>
        </is>
      </c>
      <c r="E690" s="2" t="n"/>
      <c r="F690" s="2" t="n"/>
      <c r="G690" s="2" t="n"/>
      <c r="H690" s="3" t="inlineStr">
        <is>
          <t>Shares held by FAST carry voting rights; DR holders have no voting rights but may attend and speak at General Meetings and appoint FAST board members on nomination by the FAST board.</t>
        </is>
      </c>
      <c r="I690" s="2" t="inlineStr">
        <is>
          <t>S2</t>
        </is>
      </c>
      <c r="J690" s="2" t="n">
        <v>157</v>
      </c>
      <c r="K690" s="3" t="inlineStr">
        <is>
          <t>The shares do carry voting rights. Holders of the DR's do not have voting rights</t>
        </is>
      </c>
      <c r="L690" s="2" t="inlineStr">
        <is>
          <t>pend</t>
        </is>
      </c>
      <c r="M690" s="2" t="n"/>
      <c r="N690" s="2" t="n"/>
      <c r="O690" s="3" t="inlineStr">
        <is>
          <t>https://vanillabonds.com/dossier-data/pdf/fastned/fastned-2024-annual-report.pdf#page=157</t>
        </is>
      </c>
    </row>
    <row r="691">
      <c r="A691" s="2" t="inlineStr">
        <is>
          <t>F690</t>
        </is>
      </c>
      <c r="B691" s="2" t="inlineStr">
        <is>
          <t>management</t>
        </is>
      </c>
      <c r="C691" s="2" t="inlineStr">
        <is>
          <t>governance</t>
        </is>
      </c>
      <c r="D691" s="3" t="inlineStr">
        <is>
          <t>Board, independent members, group structure, related-party flows, dividends</t>
        </is>
      </c>
      <c r="E691" s="2" t="n"/>
      <c r="F691" s="2" t="n"/>
      <c r="G691" s="2" t="n"/>
      <c r="H691" s="3" t="inlineStr">
        <is>
          <t>Share capital: 19,468,972 issued shares of EUR 0.01 (authorised 19,552,877); 200,000 new shares issued 19 Jan 2024 and 200,000 on 11 Dec 2024; treasury shares 135,100; share premium EUR 249.1m.</t>
        </is>
      </c>
      <c r="I691" s="2" t="inlineStr">
        <is>
          <t>S2</t>
        </is>
      </c>
      <c r="J691" s="2" t="n">
        <v>157</v>
      </c>
      <c r="K691" s="3" t="inlineStr">
        <is>
          <t>Fastned B.V. issued 200,000 new shares with a nominal value of €0.01 on</t>
        </is>
      </c>
      <c r="L691" s="2" t="inlineStr">
        <is>
          <t>pend</t>
        </is>
      </c>
      <c r="M691" s="2" t="n"/>
      <c r="N691" s="2" t="n"/>
      <c r="O691" s="3" t="inlineStr">
        <is>
          <t>https://vanillabonds.com/dossier-data/pdf/fastned/fastned-2024-annual-report.pdf#page=157</t>
        </is>
      </c>
    </row>
    <row r="692">
      <c r="A692" s="2" t="inlineStr">
        <is>
          <t>F691</t>
        </is>
      </c>
      <c r="B692" s="2" t="inlineStr">
        <is>
          <t>management</t>
        </is>
      </c>
      <c r="C692" s="2" t="inlineStr">
        <is>
          <t>governance</t>
        </is>
      </c>
      <c r="D692" s="3" t="inlineStr">
        <is>
          <t>Board, independent members, group structure, related-party flows, dividends</t>
        </is>
      </c>
      <c r="E692" s="2" t="n"/>
      <c r="F692" s="2" t="n"/>
      <c r="G692" s="2" t="n"/>
      <c r="H692" s="3" t="inlineStr">
        <is>
          <t>Audit Committee exists; Supervisory Directors receive a fixed annual fee set by the General Meeting, no extra fee for Audit Committee membership.</t>
        </is>
      </c>
      <c r="I692" s="2" t="inlineStr">
        <is>
          <t>S2</t>
        </is>
      </c>
      <c r="J692" s="2" t="n">
        <v>166</v>
      </c>
      <c r="K692" s="3" t="inlineStr">
        <is>
          <t>No additional fees are due for their membership of the Audit Committee.</t>
        </is>
      </c>
      <c r="L692" s="2" t="inlineStr">
        <is>
          <t>pend</t>
        </is>
      </c>
      <c r="M692" s="2" t="n"/>
      <c r="N692" s="2" t="n"/>
      <c r="O692" s="3" t="inlineStr">
        <is>
          <t>https://vanillabonds.com/dossier-data/pdf/fastned/fastned-2024-annual-report.pdf#page=166</t>
        </is>
      </c>
    </row>
    <row r="693">
      <c r="A693" s="2" t="inlineStr">
        <is>
          <t>F692</t>
        </is>
      </c>
      <c r="B693" s="2" t="inlineStr">
        <is>
          <t>management</t>
        </is>
      </c>
      <c r="C693" s="2" t="inlineStr">
        <is>
          <t>governance</t>
        </is>
      </c>
      <c r="D693" s="3" t="inlineStr">
        <is>
          <t>Board, independent members, group structure, related-party flows, dividends</t>
        </is>
      </c>
      <c r="E693" s="2" t="n"/>
      <c r="F693" s="2" t="n"/>
      <c r="G693" s="2" t="n"/>
      <c r="H693" s="3" t="inlineStr">
        <is>
          <t>Annual report 2023 adopted by the General Meeting on 8 June 2024.</t>
        </is>
      </c>
      <c r="I693" s="2" t="inlineStr">
        <is>
          <t>S2</t>
        </is>
      </c>
      <c r="J693" s="2" t="n">
        <v>184</v>
      </c>
      <c r="K693" s="3" t="inlineStr">
        <is>
          <t>The annual report for 2023 was adopted by the General Meeting on 8 June 2024 .</t>
        </is>
      </c>
      <c r="L693" s="2" t="inlineStr">
        <is>
          <t>pend</t>
        </is>
      </c>
      <c r="M693" s="2" t="n"/>
      <c r="N693" s="2" t="n"/>
      <c r="O693" s="3" t="inlineStr">
        <is>
          <t>https://vanillabonds.com/dossier-data/pdf/fastned/fastned-2024-annual-report.pdf#page=184</t>
        </is>
      </c>
    </row>
    <row r="694">
      <c r="A694" s="2" t="inlineStr">
        <is>
          <t>F693</t>
        </is>
      </c>
      <c r="B694" s="2" t="inlineStr">
        <is>
          <t>management</t>
        </is>
      </c>
      <c r="C694" s="2" t="inlineStr">
        <is>
          <t>governance</t>
        </is>
      </c>
      <c r="D694" s="3" t="inlineStr">
        <is>
          <t>Board, independent members, group structure, related-party flows, dividends</t>
        </is>
      </c>
      <c r="E694" s="2" t="n"/>
      <c r="F694" s="2" t="n"/>
      <c r="G694" s="2" t="n"/>
      <c r="H694" s="3" t="inlineStr">
        <is>
          <t>2024 parent loss of EUR 24,718,540 proposed to be deducted from other reserves, subject to General Meeting approval, already recognised in the statements.</t>
        </is>
      </c>
      <c r="I694" s="2" t="inlineStr">
        <is>
          <t>S2</t>
        </is>
      </c>
      <c r="J694" s="2" t="n">
        <v>184</v>
      </c>
      <c r="K694" s="3" t="inlineStr">
        <is>
          <t>The board of directors proposes to deduct the 2024 loss of €24,718,540 from</t>
        </is>
      </c>
      <c r="L694" s="2" t="inlineStr">
        <is>
          <t>pend</t>
        </is>
      </c>
      <c r="M694" s="2" t="n"/>
      <c r="N694" s="2" t="n"/>
      <c r="O694" s="3" t="inlineStr">
        <is>
          <t>https://vanillabonds.com/dossier-data/pdf/fastned/fastned-2024-annual-report.pdf#page=184</t>
        </is>
      </c>
    </row>
    <row r="695">
      <c r="A695" s="2" t="inlineStr">
        <is>
          <t>F694</t>
        </is>
      </c>
      <c r="B695" s="2" t="inlineStr">
        <is>
          <t>management</t>
        </is>
      </c>
      <c r="C695" s="2" t="inlineStr">
        <is>
          <t>governance</t>
        </is>
      </c>
      <c r="D695" s="3" t="inlineStr">
        <is>
          <t>Board, independent members, group structure, related-party flows, dividends</t>
        </is>
      </c>
      <c r="E695" s="2" t="n"/>
      <c r="F695" s="2" t="n"/>
      <c r="G695" s="2" t="n"/>
      <c r="H695" s="3" t="inlineStr">
        <is>
          <t>Financial statements signed in Amsterdam on 26 March 2025 by the Management Board (Langezaal CEO, van Dijk CFO, Poggi COO) and Supervisory Board (Kooi, Lubbers, Kabalt, Janssen).</t>
        </is>
      </c>
      <c r="I695" s="2" t="inlineStr">
        <is>
          <t>S2</t>
        </is>
      </c>
      <c r="J695" s="2" t="n">
        <v>185</v>
      </c>
      <c r="K695" s="2" t="inlineStr">
        <is>
          <t>Amsterdam, 26 March 2025</t>
        </is>
      </c>
      <c r="L695" s="2" t="inlineStr">
        <is>
          <t>pend</t>
        </is>
      </c>
      <c r="M695" s="2" t="n"/>
      <c r="N695" s="2" t="n"/>
      <c r="O695" s="3" t="inlineStr">
        <is>
          <t>https://vanillabonds.com/dossier-data/pdf/fastned/fastned-2024-annual-report.pdf#page=185</t>
        </is>
      </c>
    </row>
    <row r="696">
      <c r="A696" s="2" t="inlineStr">
        <is>
          <t>F695</t>
        </is>
      </c>
      <c r="B696" s="2" t="inlineStr">
        <is>
          <t>management</t>
        </is>
      </c>
      <c r="C696" s="2" t="inlineStr">
        <is>
          <t>governance</t>
        </is>
      </c>
      <c r="D696" s="3" t="inlineStr">
        <is>
          <t>Board, independent members, group structure, related-party flows, dividends</t>
        </is>
      </c>
      <c r="E696" s="2" t="n"/>
      <c r="F696" s="2" t="n"/>
      <c r="G696" s="2" t="n"/>
      <c r="H696" s="3" t="inlineStr">
        <is>
          <t>Articles art. 19: result at free disposal of the AGM; distributions only to the extent equity exceeds legal and statutory reserves; interim dividends permitted.</t>
        </is>
      </c>
      <c r="I696" s="2" t="inlineStr">
        <is>
          <t>S2</t>
        </is>
      </c>
      <c r="J696" s="2" t="n">
        <v>186</v>
      </c>
      <c r="K696" s="3" t="inlineStr">
        <is>
          <t>The result of the period is to the free disposal of the Annual General</t>
        </is>
      </c>
      <c r="L696" s="2" t="inlineStr">
        <is>
          <t>pend</t>
        </is>
      </c>
      <c r="M696" s="2" t="n"/>
      <c r="N696" s="2" t="n"/>
      <c r="O696" s="3" t="inlineStr">
        <is>
          <t>https://vanillabonds.com/dossier-data/pdf/fastned/fastned-2024-annual-report.pdf#page=186</t>
        </is>
      </c>
    </row>
    <row r="697">
      <c r="A697" s="2" t="inlineStr">
        <is>
          <t>F696</t>
        </is>
      </c>
      <c r="B697" s="2" t="inlineStr">
        <is>
          <t>management</t>
        </is>
      </c>
      <c r="C697" s="2" t="inlineStr">
        <is>
          <t>governance</t>
        </is>
      </c>
      <c r="D697" s="3" t="inlineStr">
        <is>
          <t>Board, independent members, group structure, related-party flows, dividends</t>
        </is>
      </c>
      <c r="E697" s="2" t="n"/>
      <c r="F697" s="2" t="n"/>
      <c r="G697" s="2" t="n"/>
      <c r="H697" s="3" t="inlineStr">
        <is>
          <t>Audit scope: procedures performed on 96% of revenues and 91% of total assets, all by the group engagement team, no component auditors.</t>
        </is>
      </c>
      <c r="I697" s="2" t="inlineStr">
        <is>
          <t>S2</t>
        </is>
      </c>
      <c r="J697" s="2" t="n">
        <v>188</v>
      </c>
      <c r="K697" s="3" t="inlineStr">
        <is>
          <t>We have performed audit procedures for 96% of revenues and 91% of total</t>
        </is>
      </c>
      <c r="L697" s="2" t="inlineStr">
        <is>
          <t>pend</t>
        </is>
      </c>
      <c r="M697" s="2" t="n"/>
      <c r="N697" s="2" t="n"/>
      <c r="O697" s="3" t="inlineStr">
        <is>
          <t>https://vanillabonds.com/dossier-data/pdf/fastned/fastned-2024-annual-report.pdf#page=188</t>
        </is>
      </c>
    </row>
    <row r="698">
      <c r="A698" s="2" t="inlineStr">
        <is>
          <t>F697</t>
        </is>
      </c>
      <c r="B698" s="2" t="inlineStr">
        <is>
          <t>management</t>
        </is>
      </c>
      <c r="C698" s="2" t="inlineStr">
        <is>
          <t>governance</t>
        </is>
      </c>
      <c r="D698" s="3" t="inlineStr">
        <is>
          <t>Board, independent members, group structure, related-party flows, dividends</t>
        </is>
      </c>
      <c r="E698" s="2" t="n"/>
      <c r="F698" s="2" t="n"/>
      <c r="G698" s="2" t="n"/>
      <c r="H698" s="3" t="inlineStr">
        <is>
          <t>Auditor found no indications of fraud and no potential material non-compliance risk; inspected correspondence with regulators AFM and FSMA.</t>
        </is>
      </c>
      <c r="I698" s="2" t="inlineStr">
        <is>
          <t>S2</t>
        </is>
      </c>
      <c r="J698" s="2" t="n">
        <v>190</v>
      </c>
      <c r="K698" s="3" t="inlineStr">
        <is>
          <t>appropriate audit evidence and we did not identify a potential material non-</t>
        </is>
      </c>
      <c r="L698" s="2" t="inlineStr">
        <is>
          <t>pend</t>
        </is>
      </c>
      <c r="M698" s="2" t="n"/>
      <c r="N698" s="2" t="n"/>
      <c r="O698" s="3" t="inlineStr">
        <is>
          <t>https://vanillabonds.com/dossier-data/pdf/fastned/fastned-2024-annual-report.pdf#page=190</t>
        </is>
      </c>
    </row>
    <row r="699">
      <c r="A699" s="2" t="inlineStr">
        <is>
          <t>F698</t>
        </is>
      </c>
      <c r="B699" s="2" t="inlineStr">
        <is>
          <t>management</t>
        </is>
      </c>
      <c r="C699" s="2" t="inlineStr">
        <is>
          <t>governance</t>
        </is>
      </c>
      <c r="D699" s="3" t="inlineStr">
        <is>
          <t>Board, independent members, group structure, related-party flows, dividends</t>
        </is>
      </c>
      <c r="E699" s="2" t="n"/>
      <c r="F699" s="2" t="n"/>
      <c r="G699" s="2" t="n"/>
      <c r="H699" s="3" t="inlineStr">
        <is>
          <t>BDO engaged by the General Meeting as auditor as of the FY2023 audit; 2024 is its second year.</t>
        </is>
      </c>
      <c r="I699" s="2" t="inlineStr">
        <is>
          <t>S2</t>
        </is>
      </c>
      <c r="J699" s="2" t="n">
        <v>193</v>
      </c>
      <c r="K699" s="3" t="inlineStr">
        <is>
          <t>We were engaged by the General Meeting as auditor of Fastned B.V., as of the</t>
        </is>
      </c>
      <c r="L699" s="2" t="inlineStr">
        <is>
          <t>pend</t>
        </is>
      </c>
      <c r="M699" s="2" t="n"/>
      <c r="N699" s="2" t="n"/>
      <c r="O699" s="3" t="inlineStr">
        <is>
          <t>https://vanillabonds.com/dossier-data/pdf/fastned/fastned-2024-annual-report.pdf#page=193</t>
        </is>
      </c>
    </row>
    <row r="700">
      <c r="A700" s="2" t="inlineStr">
        <is>
          <t>F699</t>
        </is>
      </c>
      <c r="B700" s="2" t="inlineStr">
        <is>
          <t>management</t>
        </is>
      </c>
      <c r="C700" s="2" t="inlineStr">
        <is>
          <t>reporting_practice</t>
        </is>
      </c>
      <c r="D700" s="3" t="inlineStr">
        <is>
          <t>Monitoring: KPI reporting, frequency, budget process, controlling</t>
        </is>
      </c>
      <c r="E700" s="2" t="n"/>
      <c r="F700" s="2" t="n"/>
      <c r="G700" s="2" t="n"/>
      <c r="H700" s="3" t="inlineStr">
        <is>
          <t>Fastned reports in ESEF; KPIs for kWh sold, CO2e avoided, GoO coverage, scope emissions and gender split obtained limited assurance from BDO for 2024.</t>
        </is>
      </c>
      <c r="I700" s="2" t="inlineStr">
        <is>
          <t>S2</t>
        </is>
      </c>
      <c r="J700" s="2" t="n">
        <v>45</v>
      </c>
      <c r="K700" s="3" t="inlineStr">
        <is>
          <t>In 2024, for the first time, Fastned obtained limited assurance for the selected ESG KPIs:</t>
        </is>
      </c>
      <c r="L700" s="2" t="inlineStr">
        <is>
          <t>pend</t>
        </is>
      </c>
      <c r="M700" s="2" t="n"/>
      <c r="N700" s="2" t="n"/>
      <c r="O700" s="3" t="inlineStr">
        <is>
          <t>https://vanillabonds.com/dossier-data/pdf/fastned/fastned-2024-annual-report.pdf#page=45</t>
        </is>
      </c>
    </row>
    <row r="701">
      <c r="A701" s="2" t="inlineStr">
        <is>
          <t>F700</t>
        </is>
      </c>
      <c r="B701" s="2" t="inlineStr">
        <is>
          <t>management</t>
        </is>
      </c>
      <c r="C701" s="2" t="inlineStr">
        <is>
          <t>reporting_practice</t>
        </is>
      </c>
      <c r="D701" s="3" t="inlineStr">
        <is>
          <t>Monitoring: KPI reporting, frequency, budget process, controlling</t>
        </is>
      </c>
      <c r="E701" s="2" t="n"/>
      <c r="F701" s="2" t="n"/>
      <c r="G701" s="2" t="n"/>
      <c r="H701" s="3" t="inlineStr">
        <is>
          <t>Internal audit function established 2023 within Risk &amp; Audit, one senior auditor in 2024, one more planned 2025; reports to the Audit Committee.</t>
        </is>
      </c>
      <c r="I701" s="2" t="inlineStr">
        <is>
          <t>S2</t>
        </is>
      </c>
      <c r="J701" s="2" t="n">
        <v>64</v>
      </c>
      <c r="K701" s="3" t="inlineStr">
        <is>
          <t>During its first year of existence, the IAF was enforced with one senior auditor, performed most audits in line with the approved audit plan</t>
        </is>
      </c>
      <c r="L701" s="2" t="inlineStr">
        <is>
          <t>pend</t>
        </is>
      </c>
      <c r="M701" s="2" t="n"/>
      <c r="N701" s="2" t="n"/>
      <c r="O701" s="3" t="inlineStr">
        <is>
          <t>https://vanillabonds.com/dossier-data/pdf/fastned/fastned-2024-annual-report.pdf#page=64</t>
        </is>
      </c>
    </row>
    <row r="702">
      <c r="A702" s="2" t="inlineStr">
        <is>
          <t>F701</t>
        </is>
      </c>
      <c r="B702" s="2" t="inlineStr">
        <is>
          <t>management</t>
        </is>
      </c>
      <c r="C702" s="2" t="inlineStr">
        <is>
          <t>reporting_practice</t>
        </is>
      </c>
      <c r="D702" s="3" t="inlineStr">
        <is>
          <t>Monitoring: KPI reporting, frequency, budget process, controlling</t>
        </is>
      </c>
      <c r="E702" s="2" t="n"/>
      <c r="F702" s="2" t="n"/>
      <c r="G702" s="2" t="n"/>
      <c r="H702" s="3" t="inlineStr">
        <is>
          <t>Annual fraud risk assessment covering all operations, results shared with the external auditor once a year.</t>
        </is>
      </c>
      <c r="I702" s="2" t="inlineStr">
        <is>
          <t>S2</t>
        </is>
      </c>
      <c r="J702" s="2" t="n">
        <v>67</v>
      </c>
      <c r="K702" s="3" t="inlineStr">
        <is>
          <t>Fastned performs annually a fraud risk assessment relating to all of our operations.</t>
        </is>
      </c>
      <c r="L702" s="2" t="inlineStr">
        <is>
          <t>pend</t>
        </is>
      </c>
      <c r="M702" s="2" t="n"/>
      <c r="N702" s="2" t="n"/>
      <c r="O702" s="3" t="inlineStr">
        <is>
          <t>https://vanillabonds.com/dossier-data/pdf/fastned/fastned-2024-annual-report.pdf#page=67</t>
        </is>
      </c>
    </row>
    <row r="703">
      <c r="A703" s="2" t="inlineStr">
        <is>
          <t>F702</t>
        </is>
      </c>
      <c r="B703" s="2" t="inlineStr">
        <is>
          <t>management</t>
        </is>
      </c>
      <c r="C703" s="2" t="inlineStr">
        <is>
          <t>reporting_practice</t>
        </is>
      </c>
      <c r="D703" s="3" t="inlineStr">
        <is>
          <t>Monitoring: KPI reporting, frequency, budget process, controlling</t>
        </is>
      </c>
      <c r="E703" s="2" t="n"/>
      <c r="F703" s="2" t="n"/>
      <c r="G703" s="2" t="n"/>
      <c r="H703" s="3" t="inlineStr">
        <is>
          <t>Audit Committee reviewed quarterly financial results in 2024 and discussed the Key Audit Matters with the external auditor.</t>
        </is>
      </c>
      <c r="I703" s="2" t="inlineStr">
        <is>
          <t>S2</t>
        </is>
      </c>
      <c r="J703" s="2" t="n">
        <v>86</v>
      </c>
      <c r="K703" s="3" t="inlineStr">
        <is>
          <t>In 2024, the audit committee reviewed quarterly financial results, discussed the audit approach and methodology applied with both management and with the external auditor</t>
        </is>
      </c>
      <c r="L703" s="2" t="inlineStr">
        <is>
          <t>pend</t>
        </is>
      </c>
      <c r="M703" s="2" t="n"/>
      <c r="N703" s="2" t="n"/>
      <c r="O703" s="3" t="inlineStr">
        <is>
          <t>https://vanillabonds.com/dossier-data/pdf/fastned/fastned-2024-annual-report.pdf#page=86</t>
        </is>
      </c>
    </row>
    <row r="704">
      <c r="A704" s="2" t="inlineStr">
        <is>
          <t>F703</t>
        </is>
      </c>
      <c r="B704" s="2" t="inlineStr">
        <is>
          <t>management</t>
        </is>
      </c>
      <c r="C704" s="2" t="inlineStr">
        <is>
          <t>reporting_practice</t>
        </is>
      </c>
      <c r="D704" s="3" t="inlineStr">
        <is>
          <t>Monitoring: KPI reporting, frequency, budget process, controlling</t>
        </is>
      </c>
      <c r="E704" s="2" t="n"/>
      <c r="F704" s="2" t="n"/>
      <c r="G704" s="2" t="n"/>
      <c r="H704" s="3" t="inlineStr">
        <is>
          <t>Management Board in-control statement: 'reasonable assurance' of no material misstatements; going concern based on cash position, opex/capex budget and revenue projections (company statement).</t>
        </is>
      </c>
      <c r="I704" s="2" t="inlineStr">
        <is>
          <t>S2</t>
        </is>
      </c>
      <c r="J704" s="2" t="n">
        <v>95</v>
      </c>
      <c r="K704" s="3" t="inlineStr">
        <is>
          <t>based on the current cash position, the OpEx and CapEx budget and the revenue projections, it is appropriate for the financial report to be prepared on a going concern basis</t>
        </is>
      </c>
      <c r="L704" s="2" t="inlineStr">
        <is>
          <t>pend</t>
        </is>
      </c>
      <c r="M704" s="2" t="n"/>
      <c r="N704" s="2" t="n"/>
      <c r="O704" s="3" t="inlineStr">
        <is>
          <t>https://vanillabonds.com/dossier-data/pdf/fastned/fastned-2024-annual-report.pdf#page=95</t>
        </is>
      </c>
    </row>
    <row r="705">
      <c r="A705" s="2" t="inlineStr">
        <is>
          <t>F704</t>
        </is>
      </c>
      <c r="B705" s="2" t="inlineStr">
        <is>
          <t>management</t>
        </is>
      </c>
      <c r="C705" s="2" t="inlineStr">
        <is>
          <t>reporting_practice</t>
        </is>
      </c>
      <c r="D705" s="3" t="inlineStr">
        <is>
          <t>Monitoring: KPI reporting, frequency, budget process, controlling</t>
        </is>
      </c>
      <c r="E705" s="2" t="n"/>
      <c r="F705" s="2" t="n"/>
      <c r="G705" s="2" t="n"/>
      <c r="H705" s="3" t="inlineStr">
        <is>
          <t>Non-IFRS measures (operational EBITDA, underlying EBITDA, exceptional items) are management measures and 'have therefore not been audited or reviewed' (company statement).</t>
        </is>
      </c>
      <c r="I705" s="2" t="inlineStr">
        <is>
          <t>S2</t>
        </is>
      </c>
      <c r="J705" s="2" t="n">
        <v>96</v>
      </c>
      <c r="K705" s="3" t="inlineStr">
        <is>
          <t>The non-IFRS financial measures presented are measures used by management to monitor the underlying performance of the business and operations and have therefore not been audited or reviewed.</t>
        </is>
      </c>
      <c r="L705" s="2" t="inlineStr">
        <is>
          <t>pend</t>
        </is>
      </c>
      <c r="M705" s="2" t="n"/>
      <c r="N705" s="2" t="n"/>
      <c r="O705" s="3" t="inlineStr">
        <is>
          <t>https://vanillabonds.com/dossier-data/pdf/fastned/fastned-2024-annual-report.pdf#page=96</t>
        </is>
      </c>
    </row>
    <row r="706">
      <c r="A706" s="2" t="inlineStr">
        <is>
          <t>F705</t>
        </is>
      </c>
      <c r="B706" s="2" t="inlineStr">
        <is>
          <t>management</t>
        </is>
      </c>
      <c r="C706" s="2" t="inlineStr">
        <is>
          <t>reporting_practice</t>
        </is>
      </c>
      <c r="D706" s="3" t="inlineStr">
        <is>
          <t>Monitoring: KPI reporting, frequency, budget process, controlling</t>
        </is>
      </c>
      <c r="E706" s="2" t="n"/>
      <c r="F706" s="2" t="n"/>
      <c r="G706" s="2" t="n"/>
      <c r="H706" s="3" t="inlineStr">
        <is>
          <t>Note 1 going-concern paragraph states equity of €119.9m at balance sheet date while the statement of financial position shows €122.7m.</t>
        </is>
      </c>
      <c r="I706" s="2" t="inlineStr">
        <is>
          <t>S2</t>
        </is>
      </c>
      <c r="J706" s="2" t="n">
        <v>106</v>
      </c>
      <c r="K706" s="3" t="inlineStr">
        <is>
          <t>At balance sheet date this resulted in an equity amounting to € 119.9 million (2023: €146.2 million) and a cash level of € 117.4 million (2023: €126.6 million).</t>
        </is>
      </c>
      <c r="L706" s="2" t="inlineStr">
        <is>
          <t>pend</t>
        </is>
      </c>
      <c r="M706" s="2" t="n"/>
      <c r="N706" s="2" t="n"/>
      <c r="O706" s="3" t="inlineStr">
        <is>
          <t>https://vanillabonds.com/dossier-data/pdf/fastned/fastned-2024-annual-report.pdf#page=106</t>
        </is>
      </c>
    </row>
    <row r="707">
      <c r="A707" s="2" t="inlineStr">
        <is>
          <t>F706</t>
        </is>
      </c>
      <c r="B707" s="2" t="inlineStr">
        <is>
          <t>management</t>
        </is>
      </c>
      <c r="C707" s="2" t="inlineStr">
        <is>
          <t>reporting_practice</t>
        </is>
      </c>
      <c r="D707" s="3" t="inlineStr">
        <is>
          <t>Monitoring: KPI reporting, frequency, budget process, controlling</t>
        </is>
      </c>
      <c r="E707" s="2" t="n"/>
      <c r="F707" s="2" t="n"/>
      <c r="G707" s="2" t="n"/>
      <c r="H707" s="3" t="inlineStr">
        <is>
          <t>Liquidity forecast built from current cash, revenue projections (BEV fleet forecasts from analysts, sales per station) and detailed capex and opex budgets.</t>
        </is>
      </c>
      <c r="I707" s="2" t="inlineStr">
        <is>
          <t>S2</t>
        </is>
      </c>
      <c r="J707" s="2" t="n">
        <v>106</v>
      </c>
      <c r="K707" s="3" t="inlineStr">
        <is>
          <t>The liquidity forecast incorporates current cash levels, revenue projections and a detailed capex and opex budgets.</t>
        </is>
      </c>
      <c r="L707" s="2" t="inlineStr">
        <is>
          <t>pend</t>
        </is>
      </c>
      <c r="M707" s="2" t="n"/>
      <c r="N707" s="2" t="n"/>
      <c r="O707" s="3" t="inlineStr">
        <is>
          <t>https://vanillabonds.com/dossier-data/pdf/fastned/fastned-2024-annual-report.pdf#page=106</t>
        </is>
      </c>
    </row>
    <row r="708">
      <c r="A708" s="2" t="inlineStr">
        <is>
          <t>F707</t>
        </is>
      </c>
      <c r="B708" s="2" t="inlineStr">
        <is>
          <t>management</t>
        </is>
      </c>
      <c r="C708" s="2" t="inlineStr">
        <is>
          <t>reporting_practice</t>
        </is>
      </c>
      <c r="D708" s="3" t="inlineStr">
        <is>
          <t>Monitoring: KPI reporting, frequency, budget process, controlling</t>
        </is>
      </c>
      <c r="E708" s="2" t="n"/>
      <c r="F708" s="2" t="n"/>
      <c r="G708" s="2" t="n"/>
      <c r="H708" s="3" t="inlineStr">
        <is>
          <t>Depreciation: charging stations and technical installations 15 or 8 years, transformers 30 years, other operating assets 5 years; site licences 15 or 8 years, software 5 years.</t>
        </is>
      </c>
      <c r="I708" s="2" t="inlineStr">
        <is>
          <t>S2</t>
        </is>
      </c>
      <c r="J708" s="2" t="n">
        <v>115</v>
      </c>
      <c r="K708" s="3" t="inlineStr">
        <is>
          <t>6.66% per year/ 15 year or 12.5% per year/ 8 years</t>
        </is>
      </c>
      <c r="L708" s="2" t="inlineStr">
        <is>
          <t>pend</t>
        </is>
      </c>
      <c r="M708" s="2" t="n"/>
      <c r="N708" s="2" t="n"/>
      <c r="O708" s="3" t="inlineStr">
        <is>
          <t>https://vanillabonds.com/dossier-data/pdf/fastned/fastned-2024-annual-report.pdf#page=115</t>
        </is>
      </c>
    </row>
    <row r="709">
      <c r="A709" s="2" t="inlineStr">
        <is>
          <t>F708</t>
        </is>
      </c>
      <c r="B709" s="2" t="inlineStr">
        <is>
          <t>management</t>
        </is>
      </c>
      <c r="C709" s="2" t="inlineStr">
        <is>
          <t>reporting_practice</t>
        </is>
      </c>
      <c r="D709" s="3" t="inlineStr">
        <is>
          <t>Monitoring: KPI reporting, frequency, budget process, controlling</t>
        </is>
      </c>
      <c r="E709" s="2" t="n"/>
      <c r="F709" s="2" t="n"/>
      <c r="G709" s="2" t="n"/>
      <c r="H709" s="3" t="inlineStr">
        <is>
          <t>Impairment testing: value in use by DCF on the five-year budget; CGUs defined per country (NL, DE, BE, UK, CH, FR, DK).</t>
        </is>
      </c>
      <c r="I709" s="2" t="inlineStr">
        <is>
          <t>S2</t>
        </is>
      </c>
      <c r="J709" s="2" t="n">
        <v>123</v>
      </c>
      <c r="K709" s="3" t="inlineStr">
        <is>
          <t>value in use calculation is based on a DCF model. The cash flows are derived from</t>
        </is>
      </c>
      <c r="L709" s="2" t="inlineStr">
        <is>
          <t>pend</t>
        </is>
      </c>
      <c r="M709" s="2" t="n"/>
      <c r="N709" s="2" t="n"/>
      <c r="O709" s="3" t="inlineStr">
        <is>
          <t>https://vanillabonds.com/dossier-data/pdf/fastned/fastned-2024-annual-report.pdf#page=123</t>
        </is>
      </c>
    </row>
    <row r="710">
      <c r="A710" s="2" t="inlineStr">
        <is>
          <t>F709</t>
        </is>
      </c>
      <c r="B710" s="2" t="inlineStr">
        <is>
          <t>management</t>
        </is>
      </c>
      <c r="C710" s="2" t="inlineStr">
        <is>
          <t>reporting_practice</t>
        </is>
      </c>
      <c r="D710" s="3" t="inlineStr">
        <is>
          <t>Monitoring: KPI reporting, frequency, budget process, controlling</t>
        </is>
      </c>
      <c r="E710" s="2" t="n"/>
      <c r="F710" s="2" t="n"/>
      <c r="G710" s="2" t="n"/>
      <c r="H710" s="3" t="inlineStr">
        <is>
          <t>Construction revenue under service concessions recognised over time (cost-to-cost) at a cost-plus-margin standalone selling price, margin a 'significant judgement'.</t>
        </is>
      </c>
      <c r="I710" s="2" t="inlineStr">
        <is>
          <t>S2</t>
        </is>
      </c>
      <c r="J710" s="2" t="n">
        <v>125</v>
      </c>
      <c r="K710" s="3" t="inlineStr">
        <is>
          <t>In line with IFRS 15, the expected cost plus a margin approach is used to estimate</t>
        </is>
      </c>
      <c r="L710" s="2" t="inlineStr">
        <is>
          <t>pend</t>
        </is>
      </c>
      <c r="M710" s="2" t="n"/>
      <c r="N710" s="2" t="n"/>
      <c r="O710" s="3" t="inlineStr">
        <is>
          <t>https://vanillabonds.com/dossier-data/pdf/fastned/fastned-2024-annual-report.pdf#page=125</t>
        </is>
      </c>
    </row>
    <row r="711">
      <c r="A711" s="2" t="inlineStr">
        <is>
          <t>F710</t>
        </is>
      </c>
      <c r="B711" s="2" t="inlineStr">
        <is>
          <t>management</t>
        </is>
      </c>
      <c r="C711" s="2" t="inlineStr">
        <is>
          <t>reporting_practice</t>
        </is>
      </c>
      <c r="D711" s="3" t="inlineStr">
        <is>
          <t>Monitoring: KPI reporting, frequency, budget process, controlling</t>
        </is>
      </c>
      <c r="E711" s="2" t="n"/>
      <c r="F711" s="2" t="n"/>
      <c r="G711" s="2" t="n"/>
      <c r="H711" s="3" t="inlineStr">
        <is>
          <t>CODM = CEO, CFO and COO; performance monitored on six geographical segments using EBITDA (non-IFRS); capex budget allocated at country level.</t>
        </is>
      </c>
      <c r="I711" s="2" t="inlineStr">
        <is>
          <t>S2</t>
        </is>
      </c>
      <c r="J711" s="2" t="n">
        <v>131</v>
      </c>
      <c r="K711" s="3" t="inlineStr">
        <is>
          <t>The CODM of Fastned primarily uses EBITDA10 as an alternative performance</t>
        </is>
      </c>
      <c r="L711" s="2" t="inlineStr">
        <is>
          <t>pend</t>
        </is>
      </c>
      <c r="M711" s="2" t="n"/>
      <c r="N711" s="2" t="n"/>
      <c r="O711" s="3" t="inlineStr">
        <is>
          <t>https://vanillabonds.com/dossier-data/pdf/fastned/fastned-2024-annual-report.pdf#page=131</t>
        </is>
      </c>
    </row>
    <row r="712">
      <c r="A712" s="2" t="inlineStr">
        <is>
          <t>F711</t>
        </is>
      </c>
      <c r="B712" s="2" t="inlineStr">
        <is>
          <t>management</t>
        </is>
      </c>
      <c r="C712" s="2" t="inlineStr">
        <is>
          <t>reporting_practice</t>
        </is>
      </c>
      <c r="D712" s="3" t="inlineStr">
        <is>
          <t>Monitoring: KPI reporting, frequency, budget process, controlling</t>
        </is>
      </c>
      <c r="E712" s="2" t="n"/>
      <c r="F712" s="2" t="n"/>
      <c r="G712" s="2" t="n"/>
      <c r="H712" s="3" t="inlineStr">
        <is>
          <t>Directly attributable staff costs capitalised in PP&amp;E since 2023 (policy note 2 says 'As of 2024'); EUR 3.5m capitalised in 2024 (2023: 2.9m).</t>
        </is>
      </c>
      <c r="I712" s="2" t="inlineStr">
        <is>
          <t>S2</t>
        </is>
      </c>
      <c r="J712" s="2" t="n">
        <v>142</v>
      </c>
      <c r="K712" s="3" t="inlineStr">
        <is>
          <t>Additions include the recognition of directly attributable staff costs for an amount of € 3.5 million (2023: € 2.9 million).</t>
        </is>
      </c>
      <c r="L712" s="2" t="inlineStr">
        <is>
          <t>pend</t>
        </is>
      </c>
      <c r="M712" s="2" t="n"/>
      <c r="N712" s="2" t="n"/>
      <c r="O712" s="3" t="inlineStr">
        <is>
          <t>https://vanillabonds.com/dossier-data/pdf/fastned/fastned-2024-annual-report.pdf#page=142</t>
        </is>
      </c>
    </row>
    <row r="713">
      <c r="A713" s="2" t="inlineStr">
        <is>
          <t>F712</t>
        </is>
      </c>
      <c r="B713" s="2" t="inlineStr">
        <is>
          <t>management</t>
        </is>
      </c>
      <c r="C713" s="2" t="inlineStr">
        <is>
          <t>reporting_practice</t>
        </is>
      </c>
      <c r="D713" s="3" t="inlineStr">
        <is>
          <t>Monitoring: KPI reporting, frequency, budget process, controlling</t>
        </is>
      </c>
      <c r="E713" s="2" t="n"/>
      <c r="F713" s="2" t="n"/>
      <c r="G713" s="2" t="n"/>
      <c r="H713" s="3" t="inlineStr">
        <is>
          <t>Liquidity planning tool used to monitor the risk of a shortage of funds; going-concern forecast horizon 18 months.</t>
        </is>
      </c>
      <c r="I713" s="2" t="inlineStr">
        <is>
          <t>S2</t>
        </is>
      </c>
      <c r="J713" s="2" t="n">
        <v>152</v>
      </c>
      <c r="K713" s="3" t="inlineStr">
        <is>
          <t>its risk of a shortage of funds using a liquidity planning tool. See also the going</t>
        </is>
      </c>
      <c r="L713" s="2" t="inlineStr">
        <is>
          <t>pend</t>
        </is>
      </c>
      <c r="M713" s="2" t="n"/>
      <c r="N713" s="2" t="n"/>
      <c r="O713" s="3" t="inlineStr">
        <is>
          <t>https://vanillabonds.com/dossier-data/pdf/fastned/fastned-2024-annual-report.pdf#page=152</t>
        </is>
      </c>
    </row>
    <row r="714">
      <c r="A714" s="2" t="inlineStr">
        <is>
          <t>F713</t>
        </is>
      </c>
      <c r="B714" s="2" t="inlineStr">
        <is>
          <t>management</t>
        </is>
      </c>
      <c r="C714" s="2" t="inlineStr">
        <is>
          <t>reporting_practice</t>
        </is>
      </c>
      <c r="D714" s="3" t="inlineStr">
        <is>
          <t>Monitoring: KPI reporting, frequency, budget process, controlling</t>
        </is>
      </c>
      <c r="E714" s="2" t="n"/>
      <c r="F714" s="2" t="n"/>
      <c r="G714" s="2" t="n"/>
      <c r="H714" s="3" t="inlineStr">
        <is>
          <t>Publicly available quarterly performance updates, investor conferences and non-deal roadshows for institutional investors.</t>
        </is>
      </c>
      <c r="I714" s="2" t="inlineStr">
        <is>
          <t>S2</t>
        </is>
      </c>
      <c r="J714" s="2" t="n">
        <v>202</v>
      </c>
      <c r="K714" s="3" t="inlineStr">
        <is>
          <t>Publicly available quarterly performance updates</t>
        </is>
      </c>
      <c r="L714" s="2" t="inlineStr">
        <is>
          <t>pend</t>
        </is>
      </c>
      <c r="M714" s="2" t="n"/>
      <c r="N714" s="2" t="n"/>
      <c r="O714" s="3" t="inlineStr">
        <is>
          <t>https://vanillabonds.com/dossier-data/pdf/fastned/fastned-2024-annual-report.pdf#page=202</t>
        </is>
      </c>
    </row>
    <row r="715">
      <c r="A715" s="2" t="inlineStr">
        <is>
          <t>F714</t>
        </is>
      </c>
      <c r="B715" s="2" t="inlineStr">
        <is>
          <t>management</t>
        </is>
      </c>
      <c r="C715" s="2" t="inlineStr">
        <is>
          <t>reporting_practice</t>
        </is>
      </c>
      <c r="D715" s="3" t="inlineStr">
        <is>
          <t>Monitoring: KPI reporting, frequency, budget process, controlling</t>
        </is>
      </c>
      <c r="E715" s="2" t="n"/>
      <c r="F715" s="2" t="n"/>
      <c r="G715" s="2" t="n"/>
      <c r="H715" s="3" t="inlineStr">
        <is>
          <t>Supervisory Board: quarterly update meetings and monthly Management Board calls; FAST Foundation: quarterly updates; topics include funding plan/budget and quarterly, half-year and annual results.</t>
        </is>
      </c>
      <c r="I715" s="2" t="inlineStr">
        <is>
          <t>S2</t>
        </is>
      </c>
      <c r="J715" s="2" t="n">
        <v>203</v>
      </c>
      <c r="K715" s="2" t="inlineStr">
        <is>
          <t>Monthly Management Board calls</t>
        </is>
      </c>
      <c r="L715" s="2" t="inlineStr">
        <is>
          <t>pend</t>
        </is>
      </c>
      <c r="M715" s="2" t="n"/>
      <c r="N715" s="2" t="n"/>
      <c r="O715" s="3" t="inlineStr">
        <is>
          <t>https://vanillabonds.com/dossier-data/pdf/fastned/fastned-2024-annual-report.pdf#page=203</t>
        </is>
      </c>
    </row>
    <row r="716">
      <c r="A716" s="2" t="inlineStr">
        <is>
          <t>F715</t>
        </is>
      </c>
      <c r="B716" s="2" t="inlineStr">
        <is>
          <t>market</t>
        </is>
      </c>
      <c r="C716" s="2" t="inlineStr">
        <is>
          <t>market_fact</t>
        </is>
      </c>
      <c r="D716" s="3" t="inlineStr">
        <is>
          <t>Market: size, growth, share, competitor capacity, regulation (source named)</t>
        </is>
      </c>
      <c r="E716" s="2" t="n"/>
      <c r="F716" s="2" t="n"/>
      <c r="G716" s="2" t="n"/>
      <c r="H716" s="3" t="inlineStr">
        <is>
          <t>cites European Commission: fully electric vehicles across the EU27 increased 30% year-on-year in 2024; over 6 million BEVs on EU27 roads at end-2024.</t>
        </is>
      </c>
      <c r="I716" s="2" t="inlineStr">
        <is>
          <t>S2</t>
        </is>
      </c>
      <c r="J716" s="2" t="n">
        <v>8</v>
      </c>
      <c r="K716" s="3" t="inlineStr">
        <is>
          <t>The European Commission has stated that the number of fully electric vehicles across the EU27 increased year-on-year in 2024 by 30%.</t>
        </is>
      </c>
      <c r="L716" s="2" t="inlineStr">
        <is>
          <t>pend</t>
        </is>
      </c>
      <c r="M716" s="2" t="n"/>
      <c r="N716" s="2" t="n"/>
      <c r="O716" s="3" t="inlineStr">
        <is>
          <t>https://vanillabonds.com/dossier-data/pdf/fastned/fastned-2024-annual-report.pdf#page=8</t>
        </is>
      </c>
    </row>
    <row r="717">
      <c r="A717" s="2" t="inlineStr">
        <is>
          <t>F716</t>
        </is>
      </c>
      <c r="B717" s="2" t="inlineStr">
        <is>
          <t>market</t>
        </is>
      </c>
      <c r="C717" s="2" t="inlineStr">
        <is>
          <t>market_fact</t>
        </is>
      </c>
      <c r="D717" s="3" t="inlineStr">
        <is>
          <t>Market: size, growth, share, competitor capacity, regulation (source named)</t>
        </is>
      </c>
      <c r="E717" s="2" t="n"/>
      <c r="F717" s="2" t="n"/>
      <c r="G717" s="2" t="n"/>
      <c r="H717" s="3" t="inlineStr">
        <is>
          <t>company statement: in Norway 89% of new cars sold in 2024 were fully electric; in the UK one in five.</t>
        </is>
      </c>
      <c r="I717" s="2" t="inlineStr">
        <is>
          <t>S2</t>
        </is>
      </c>
      <c r="J717" s="2" t="n">
        <v>8</v>
      </c>
      <c r="K717" s="3" t="inlineStr">
        <is>
          <t>in Norway for example 89% of new cars sold in 2024 were fully electric, aided by intelligent tax regimes and subsidies. In the UK one in five new cars sold in 2024 was fully electric</t>
        </is>
      </c>
      <c r="L717" s="2" t="inlineStr">
        <is>
          <t>pend</t>
        </is>
      </c>
      <c r="M717" s="2" t="n"/>
      <c r="N717" s="2" t="n"/>
      <c r="O717" s="3" t="inlineStr">
        <is>
          <t>https://vanillabonds.com/dossier-data/pdf/fastned/fastned-2024-annual-report.pdf#page=8</t>
        </is>
      </c>
    </row>
    <row r="718">
      <c r="A718" s="2" t="inlineStr">
        <is>
          <t>F717</t>
        </is>
      </c>
      <c r="B718" s="2" t="inlineStr">
        <is>
          <t>market</t>
        </is>
      </c>
      <c r="C718" s="2" t="inlineStr">
        <is>
          <t>market_fact</t>
        </is>
      </c>
      <c r="D718" s="3" t="inlineStr">
        <is>
          <t>Market: size, growth, share, competitor capacity, regulation (source named)</t>
        </is>
      </c>
      <c r="E718" s="2" t="n"/>
      <c r="F718" s="2" t="n"/>
      <c r="G718" s="2" t="n"/>
      <c r="H718" s="3" t="inlineStr">
        <is>
          <t>company statement: the EU BEV fleet has grown sixfold since 2020 and is expected to grow another fivefold to 30 million vehicles by 2030.</t>
        </is>
      </c>
      <c r="I718" s="2" t="inlineStr">
        <is>
          <t>S2</t>
        </is>
      </c>
      <c r="J718" s="2" t="n">
        <v>33</v>
      </c>
      <c r="K718" s="3" t="inlineStr">
        <is>
          <t>The BEV fleet in the EU has grown sixfold since 2020 and is expected to increase another fivefold by 2030 to reach 30 million vehicles.</t>
        </is>
      </c>
      <c r="L718" s="2" t="inlineStr">
        <is>
          <t>pend</t>
        </is>
      </c>
      <c r="M718" s="2" t="n"/>
      <c r="N718" s="2" t="n"/>
      <c r="O718" s="3" t="inlineStr">
        <is>
          <t>https://vanillabonds.com/dossier-data/pdf/fastned/fastned-2024-annual-report.pdf#page=33</t>
        </is>
      </c>
    </row>
    <row r="719">
      <c r="A719" s="2" t="inlineStr">
        <is>
          <t>F718</t>
        </is>
      </c>
      <c r="B719" s="2" t="inlineStr">
        <is>
          <t>market</t>
        </is>
      </c>
      <c r="C719" s="2" t="inlineStr">
        <is>
          <t>market_fact</t>
        </is>
      </c>
      <c r="D719" s="3" t="inlineStr">
        <is>
          <t>Market: size, growth, share, competitor capacity, regulation (source named)</t>
        </is>
      </c>
      <c r="E719" s="2" t="n"/>
      <c r="F719" s="2" t="n"/>
      <c r="G719" s="2" t="n"/>
      <c r="H719" s="3" t="inlineStr">
        <is>
          <t>company statement: the European charging market is forecast at over €30 billion by 2030 with an annual growth rate of 25-30%.</t>
        </is>
      </c>
      <c r="I719" s="2" t="inlineStr">
        <is>
          <t>S2</t>
        </is>
      </c>
      <c r="J719" s="2" t="n">
        <v>33</v>
      </c>
      <c r="K719" s="3" t="inlineStr">
        <is>
          <t>The European charging market is forecast to be worth over 30 billion by 2030, with a calculated annual growth rate of 25-30%.</t>
        </is>
      </c>
      <c r="L719" s="2" t="inlineStr">
        <is>
          <t>pend</t>
        </is>
      </c>
      <c r="M719" s="2" t="n"/>
      <c r="N719" s="2" t="n"/>
      <c r="O719" s="3" t="inlineStr">
        <is>
          <t>https://vanillabonds.com/dossier-data/pdf/fastned/fastned-2024-annual-report.pdf#page=33</t>
        </is>
      </c>
    </row>
    <row r="720">
      <c r="A720" s="2" t="inlineStr">
        <is>
          <t>F719</t>
        </is>
      </c>
      <c r="B720" s="2" t="inlineStr">
        <is>
          <t>market</t>
        </is>
      </c>
      <c r="C720" s="2" t="inlineStr">
        <is>
          <t>market_fact</t>
        </is>
      </c>
      <c r="D720" s="3" t="inlineStr">
        <is>
          <t>Market: size, growth, share, competitor capacity, regulation (source named)</t>
        </is>
      </c>
      <c r="E720" s="2" t="n"/>
      <c r="F720" s="2" t="n"/>
      <c r="G720" s="2" t="n"/>
      <c r="H720" s="3" t="inlineStr">
        <is>
          <t>cites European Commission estimate: over €500 billion of investment required to remove Europe's grid bottlenecks.</t>
        </is>
      </c>
      <c r="I720" s="2" t="inlineStr">
        <is>
          <t>S2</t>
        </is>
      </c>
      <c r="J720" s="2" t="n">
        <v>33</v>
      </c>
      <c r="K720" s="3" t="inlineStr">
        <is>
          <t>where the European Commission estimates over €500 billion in investment is required.</t>
        </is>
      </c>
      <c r="L720" s="2" t="inlineStr">
        <is>
          <t>pend</t>
        </is>
      </c>
      <c r="M720" s="2" t="n"/>
      <c r="N720" s="2" t="n"/>
      <c r="O720" s="3" t="inlineStr">
        <is>
          <t>https://vanillabonds.com/dossier-data/pdf/fastned/fastned-2024-annual-report.pdf#page=33</t>
        </is>
      </c>
    </row>
    <row r="721">
      <c r="A721" s="2" t="inlineStr">
        <is>
          <t>F720</t>
        </is>
      </c>
      <c r="B721" s="2" t="inlineStr">
        <is>
          <t>market</t>
        </is>
      </c>
      <c r="C721" s="2" t="inlineStr">
        <is>
          <t>market_fact</t>
        </is>
      </c>
      <c r="D721" s="3" t="inlineStr">
        <is>
          <t>Market: size, growth, share, competitor capacity, regulation (source named)</t>
        </is>
      </c>
      <c r="E721" s="2" t="n"/>
      <c r="F721" s="2" t="n"/>
      <c r="G721" s="2" t="n"/>
      <c r="H721" s="3" t="inlineStr">
        <is>
          <t>cites 'a December 2024 study' (unnamed): Europe's automotive industry is about 7% of EU GDP and supports about 14 million jobs.</t>
        </is>
      </c>
      <c r="I721" s="2" t="inlineStr">
        <is>
          <t>S2</t>
        </is>
      </c>
      <c r="J721" s="2" t="n">
        <v>33</v>
      </c>
      <c r="K721" s="3" t="inlineStr">
        <is>
          <t>A December 2024 study claims Europe's automotive industry is responsible for around 7% of EU GDP and supports around 14 million jobs.</t>
        </is>
      </c>
      <c r="L721" s="2" t="inlineStr">
        <is>
          <t>pend</t>
        </is>
      </c>
      <c r="M721" s="2" t="n"/>
      <c r="N721" s="2" t="n"/>
      <c r="O721" s="3" t="inlineStr">
        <is>
          <t>https://vanillabonds.com/dossier-data/pdf/fastned/fastned-2024-annual-report.pdf#page=33</t>
        </is>
      </c>
    </row>
    <row r="722">
      <c r="A722" s="2" t="inlineStr">
        <is>
          <t>F721</t>
        </is>
      </c>
      <c r="B722" s="2" t="inlineStr">
        <is>
          <t>market</t>
        </is>
      </c>
      <c r="C722" s="2" t="inlineStr">
        <is>
          <t>market_fact</t>
        </is>
      </c>
      <c r="D722" s="3" t="inlineStr">
        <is>
          <t>Market: size, growth, share, competitor capacity, regulation (source named)</t>
        </is>
      </c>
      <c r="E722" s="2" t="n"/>
      <c r="F722" s="2" t="n"/>
      <c r="G722" s="2" t="n"/>
      <c r="H722" s="3" t="inlineStr">
        <is>
          <t>company statement: 2024 BEV sales were affected by discontinued or modified subsidies, delayed lower-cost BEVs and negative sentiment; growth in H2 2024 in many countries.</t>
        </is>
      </c>
      <c r="I722" s="2" t="inlineStr">
        <is>
          <t>S2</t>
        </is>
      </c>
      <c r="J722" s="2" t="n">
        <v>33</v>
      </c>
      <c r="K722" s="3" t="inlineStr">
        <is>
          <t>Government subsidies in many countries were discontinued or modified, removing some of the incentives that had attracted buyers to date.</t>
        </is>
      </c>
      <c r="L722" s="2" t="inlineStr">
        <is>
          <t>pend</t>
        </is>
      </c>
      <c r="M722" s="2" t="n"/>
      <c r="N722" s="2" t="n"/>
      <c r="O722" s="3" t="inlineStr">
        <is>
          <t>https://vanillabonds.com/dossier-data/pdf/fastned/fastned-2024-annual-report.pdf#page=33</t>
        </is>
      </c>
    </row>
    <row r="723">
      <c r="A723" s="2" t="inlineStr">
        <is>
          <t>F722</t>
        </is>
      </c>
      <c r="B723" s="2" t="inlineStr">
        <is>
          <t>market</t>
        </is>
      </c>
      <c r="C723" s="2" t="inlineStr">
        <is>
          <t>market_fact</t>
        </is>
      </c>
      <c r="D723" s="3" t="inlineStr">
        <is>
          <t>Market: size, growth, share, competitor capacity, regulation (source named)</t>
        </is>
      </c>
      <c r="E723" s="2" t="n"/>
      <c r="F723" s="2" t="n"/>
      <c r="G723" s="2" t="n"/>
      <c r="H723" s="3" t="inlineStr">
        <is>
          <t>company statement: tender requirements are becoming stricter and competition fiercer; market competition listed as a new risk (low/moderate) in 2024.</t>
        </is>
      </c>
      <c r="I723" s="2" t="inlineStr">
        <is>
          <t>S2</t>
        </is>
      </c>
      <c r="J723" s="2" t="n">
        <v>66</v>
      </c>
      <c r="K723" s="3" t="inlineStr">
        <is>
          <t>As tender requirements become stricter and competition fiercer, we face greater pressure to win tenders at a high rate</t>
        </is>
      </c>
      <c r="L723" s="2" t="inlineStr">
        <is>
          <t>pend</t>
        </is>
      </c>
      <c r="M723" s="2" t="n"/>
      <c r="N723" s="2" t="n"/>
      <c r="O723" s="3" t="inlineStr">
        <is>
          <t>https://vanillabonds.com/dossier-data/pdf/fastned/fastned-2024-annual-report.pdf#page=66</t>
        </is>
      </c>
    </row>
    <row r="724">
      <c r="A724" s="2" t="inlineStr">
        <is>
          <t>F723</t>
        </is>
      </c>
      <c r="B724" s="2" t="inlineStr">
        <is>
          <t>market</t>
        </is>
      </c>
      <c r="C724" s="2" t="inlineStr">
        <is>
          <t>market_fact</t>
        </is>
      </c>
      <c r="D724" s="3" t="inlineStr">
        <is>
          <t>Market: size, growth, share, competitor capacity, regulation (source named)</t>
        </is>
      </c>
      <c r="E724" s="2" t="n"/>
      <c r="F724" s="2" t="n"/>
      <c r="G724" s="2" t="n"/>
      <c r="H724" s="3" t="inlineStr">
        <is>
          <t>company statement: the EV charging market is 'not sufficiently developed for long term margins in each of the countries to be known with any certainty'; management expects the same trends in each country at different stages of EV adoption.</t>
        </is>
      </c>
      <c r="I724" s="2" t="inlineStr">
        <is>
          <t>S2</t>
        </is>
      </c>
      <c r="J724" s="2" t="n">
        <v>130</v>
      </c>
      <c r="K724" s="3" t="inlineStr">
        <is>
          <t>The EV charging market is not sufficiently developed for long term margins in</t>
        </is>
      </c>
      <c r="L724" s="2" t="inlineStr">
        <is>
          <t>pend</t>
        </is>
      </c>
      <c r="M724" s="2" t="n"/>
      <c r="N724" s="2" t="n"/>
      <c r="O724" s="3" t="inlineStr">
        <is>
          <t>https://vanillabonds.com/dossier-data/pdf/fastned/fastned-2024-annual-report.pdf#page=130</t>
        </is>
      </c>
    </row>
    <row r="725">
      <c r="A725" s="2" t="inlineStr">
        <is>
          <t>F724</t>
        </is>
      </c>
      <c r="B725" s="2" t="inlineStr">
        <is>
          <t>market</t>
        </is>
      </c>
      <c r="C725" s="2" t="inlineStr">
        <is>
          <t>market_fact</t>
        </is>
      </c>
      <c r="D725" s="3" t="inlineStr">
        <is>
          <t>Market: size, growth, share, competitor capacity, regulation (source named)</t>
        </is>
      </c>
      <c r="E725" s="2" t="n"/>
      <c r="F725" s="2" t="n"/>
      <c r="G725" s="2" t="n"/>
      <c r="H725" s="3" t="inlineStr">
        <is>
          <t>company statement: long-term BEV fundamentals 'firmly in place' (battery technology, government targets) but updated BEV adoption forecasts lower than previous, especially near term.</t>
        </is>
      </c>
      <c r="I725" s="2" t="inlineStr">
        <is>
          <t>S2</t>
        </is>
      </c>
      <c r="J725" s="2" t="n">
        <v>143</v>
      </c>
      <c r="K725" s="3" t="inlineStr">
        <is>
          <t>Even though the long term fundamentals of the BEV transition are firmly in place</t>
        </is>
      </c>
      <c r="L725" s="2" t="inlineStr">
        <is>
          <t>pend</t>
        </is>
      </c>
      <c r="M725" s="2" t="n"/>
      <c r="N725" s="2" t="n"/>
      <c r="O725" s="3" t="inlineStr">
        <is>
          <t>https://vanillabonds.com/dossier-data/pdf/fastned/fastned-2024-annual-report.pdf#page=143</t>
        </is>
      </c>
    </row>
    <row r="726">
      <c r="A726" s="2" t="inlineStr">
        <is>
          <t>F725</t>
        </is>
      </c>
      <c r="B726" s="2" t="inlineStr">
        <is>
          <t>market</t>
        </is>
      </c>
      <c r="C726" s="2" t="inlineStr">
        <is>
          <t>concentration</t>
        </is>
      </c>
      <c r="D726" s="3" t="inlineStr">
        <is>
          <t>Concentration: top customers / suppliers share, key contracts, sites</t>
        </is>
      </c>
      <c r="E726" s="2" t="n"/>
      <c r="F726" s="2" t="n"/>
      <c r="G726" s="2" t="n"/>
      <c r="H726" s="3" t="inlineStr">
        <is>
          <t>Energy supplier Scholt Energy supports Fastned's PPAs; renewable supply via GoOs country by country.</t>
        </is>
      </c>
      <c r="I726" s="2" t="inlineStr">
        <is>
          <t>S2</t>
        </is>
      </c>
      <c r="J726" s="2" t="n">
        <v>58</v>
      </c>
      <c r="K726" s="3" t="inlineStr">
        <is>
          <t>The following agreements are supported by our energy supplier Scholt Energy, allowing Fastned to purchase electricity at a fixed price</t>
        </is>
      </c>
      <c r="L726" s="2" t="inlineStr">
        <is>
          <t>pend</t>
        </is>
      </c>
      <c r="M726" s="2" t="n"/>
      <c r="N726" s="2" t="n"/>
      <c r="O726" s="3" t="inlineStr">
        <is>
          <t>https://vanillabonds.com/dossier-data/pdf/fastned/fastned-2024-annual-report.pdf#page=58</t>
        </is>
      </c>
    </row>
    <row r="727">
      <c r="A727" s="2" t="inlineStr">
        <is>
          <t>F726</t>
        </is>
      </c>
      <c r="B727" s="2" t="inlineStr">
        <is>
          <t>market</t>
        </is>
      </c>
      <c r="C727" s="2" t="inlineStr">
        <is>
          <t>concentration</t>
        </is>
      </c>
      <c r="D727" s="3" t="inlineStr">
        <is>
          <t>Concentration: top customers / suppliers share, key contracts, sites</t>
        </is>
      </c>
      <c r="E727" s="2" t="n"/>
      <c r="F727" s="2" t="n"/>
      <c r="G727" s="2" t="n"/>
      <c r="H727" s="3" t="inlineStr">
        <is>
          <t>B2B is 'the largest sales segment for Fastned' (company statement); 181 of 346 stations are in the Netherlands.</t>
        </is>
      </c>
      <c r="I727" s="2" t="inlineStr">
        <is>
          <t>S2</t>
        </is>
      </c>
      <c r="J727" s="2" t="n">
        <v>67</v>
      </c>
      <c r="K727" s="3" t="inlineStr">
        <is>
          <t>Strengthening our B2B market position, the largest sales segment for Fastned, further enhanced our resilience.</t>
        </is>
      </c>
      <c r="L727" s="2" t="inlineStr">
        <is>
          <t>pend</t>
        </is>
      </c>
      <c r="M727" s="2" t="n"/>
      <c r="N727" s="2" t="n"/>
      <c r="O727" s="3" t="inlineStr">
        <is>
          <t>https://vanillabonds.com/dossier-data/pdf/fastned/fastned-2024-annual-report.pdf#page=67</t>
        </is>
      </c>
    </row>
    <row r="728">
      <c r="A728" s="2" t="inlineStr">
        <is>
          <t>F727</t>
        </is>
      </c>
      <c r="B728" s="2" t="inlineStr">
        <is>
          <t>market</t>
        </is>
      </c>
      <c r="C728" s="2" t="inlineStr">
        <is>
          <t>concentration</t>
        </is>
      </c>
      <c r="D728" s="3" t="inlineStr">
        <is>
          <t>Concentration: top customers / suppliers share, key contracts, sites</t>
        </is>
      </c>
      <c r="E728" s="2" t="n"/>
      <c r="F728" s="2" t="n"/>
      <c r="G728" s="2" t="n"/>
      <c r="H728" s="3" t="inlineStr">
        <is>
          <t>No customer accounts for 10% or more of revenue at 31 Dec 2024 and 2023.</t>
        </is>
      </c>
      <c r="I728" s="2" t="inlineStr">
        <is>
          <t>S2</t>
        </is>
      </c>
      <c r="J728" s="2" t="n">
        <v>133</v>
      </c>
      <c r="K728" s="3" t="inlineStr">
        <is>
          <t>10% or more of revenue as at December 31, 2024 and 2023.</t>
        </is>
      </c>
      <c r="L728" s="2" t="inlineStr">
        <is>
          <t>pend</t>
        </is>
      </c>
      <c r="M728" s="2" t="n"/>
      <c r="N728" s="2" t="n"/>
      <c r="O728" s="3" t="inlineStr">
        <is>
          <t>https://vanillabonds.com/dossier-data/pdf/fastned/fastned-2024-annual-report.pdf#page=133</t>
        </is>
      </c>
    </row>
    <row r="729">
      <c r="A729" s="2" t="inlineStr">
        <is>
          <t>F728</t>
        </is>
      </c>
      <c r="B729" s="2" t="inlineStr">
        <is>
          <t>market</t>
        </is>
      </c>
      <c r="C729" s="2" t="inlineStr">
        <is>
          <t>concentration</t>
        </is>
      </c>
      <c r="D729" s="3" t="inlineStr">
        <is>
          <t>Concentration: top customers / suppliers share, key contracts, sites</t>
        </is>
      </c>
      <c r="E729" s="2" t="n"/>
      <c r="F729" s="2" t="n"/>
      <c r="G729" s="2" t="n"/>
      <c r="H729" s="3" t="inlineStr">
        <is>
          <t>Netherlands: EUR 53.3m of EUR 86.7m group revenue 2024 (2023: 41.2m of 60.5m); NL non-current assets EUR 100.8m of 275.2m.</t>
        </is>
      </c>
      <c r="I729" s="2" t="inlineStr">
        <is>
          <t>S2</t>
        </is>
      </c>
      <c r="J729" s="2" t="n">
        <v>133</v>
      </c>
      <c r="K729" s="2" t="inlineStr">
        <is>
          <t>The Netherlands 53,280 41,190</t>
        </is>
      </c>
      <c r="L729" s="2" t="inlineStr">
        <is>
          <t>pend</t>
        </is>
      </c>
      <c r="M729" s="2" t="n"/>
      <c r="N729" s="2" t="n"/>
      <c r="O729" s="3" t="inlineStr">
        <is>
          <t>https://vanillabonds.com/dossier-data/pdf/fastned/fastned-2024-annual-report.pdf#page=133</t>
        </is>
      </c>
    </row>
    <row r="730">
      <c r="A730" s="2" t="inlineStr">
        <is>
          <t>F729</t>
        </is>
      </c>
      <c r="B730" s="2" t="inlineStr">
        <is>
          <t>market</t>
        </is>
      </c>
      <c r="C730" s="2" t="inlineStr">
        <is>
          <t>concentration</t>
        </is>
      </c>
      <c r="D730" s="3" t="inlineStr">
        <is>
          <t>Concentration: top customers / suppliers share, key contracts, sites</t>
        </is>
      </c>
      <c r="E730" s="2" t="n"/>
      <c r="F730" s="2" t="n"/>
      <c r="G730" s="2" t="n"/>
      <c r="H730" s="3" t="inlineStr">
        <is>
          <t>Cash and cash equivalents mainly concentrated at two banks under DNB supervision with an A or equivalent long-term rating (note 14.6 says one bank).</t>
        </is>
      </c>
      <c r="I730" s="2" t="inlineStr">
        <is>
          <t>S2</t>
        </is>
      </c>
      <c r="J730" s="2" t="n">
        <v>156</v>
      </c>
      <c r="K730" s="3" t="inlineStr">
        <is>
          <t>Cash and cash equivalents are current account balances, mainly concentrated at two banks under supervision of the Dutch Central Bank with an A or equivalent</t>
        </is>
      </c>
      <c r="L730" s="2" t="inlineStr">
        <is>
          <t>pend</t>
        </is>
      </c>
      <c r="M730" s="2" t="n"/>
      <c r="N730" s="2" t="n"/>
      <c r="O730" s="3" t="inlineStr">
        <is>
          <t>https://vanillabonds.com/dossier-data/pdf/fastned/fastned-2024-annual-report.pdf#page=156</t>
        </is>
      </c>
    </row>
    <row r="731">
      <c r="A731" s="2" t="inlineStr">
        <is>
          <t>F730</t>
        </is>
      </c>
      <c r="B731" s="2" t="inlineStr">
        <is>
          <t>market</t>
        </is>
      </c>
      <c r="C731" s="2" t="inlineStr">
        <is>
          <t>concentration</t>
        </is>
      </c>
      <c r="D731" s="3" t="inlineStr">
        <is>
          <t>Concentration: top customers / suppliers share, key contracts, sites</t>
        </is>
      </c>
      <c r="E731" s="2" t="n"/>
      <c r="F731" s="2" t="n"/>
      <c r="G731" s="2" t="n"/>
      <c r="H731" s="3" t="inlineStr">
        <is>
          <t>Suppliers: trade payables EUR 7.2m mainly construction related; supplier orders partly prepaid (prepayments EUR 9.9m at YE2024).</t>
        </is>
      </c>
      <c r="I731" s="2" t="inlineStr">
        <is>
          <t>S2</t>
        </is>
      </c>
      <c r="J731" s="2" t="n">
        <v>158</v>
      </c>
      <c r="K731" s="3" t="inlineStr">
        <is>
          <t>Trade payables include mainly construction related payables.</t>
        </is>
      </c>
      <c r="L731" s="2" t="inlineStr">
        <is>
          <t>pend</t>
        </is>
      </c>
      <c r="M731" s="2" t="n"/>
      <c r="N731" s="2" t="n"/>
      <c r="O731" s="3" t="inlineStr">
        <is>
          <t>https://vanillabonds.com/dossier-data/pdf/fastned/fastned-2024-annual-report.pdf#page=158</t>
        </is>
      </c>
    </row>
    <row r="732">
      <c r="A732" s="2" t="inlineStr">
        <is>
          <t>F731</t>
        </is>
      </c>
      <c r="B732" s="2" t="inlineStr">
        <is>
          <t>plan</t>
        </is>
      </c>
      <c r="C732" s="2" t="inlineStr">
        <is>
          <t>plan_item</t>
        </is>
      </c>
      <c r="D732" s="3" t="inlineStr">
        <is>
          <t>Investment plan item: what, amount, timing, contracted / ordered / planned</t>
        </is>
      </c>
      <c r="E732" s="2" t="n"/>
      <c r="F732" s="2" t="n"/>
      <c r="G732" s="2" t="n"/>
      <c r="H732" s="3" t="inlineStr">
        <is>
          <t>First stations in Spain and Italy planned for 2025 (eighth and ninth markets); stations near Barcelona confirmed to open in 2025: planned.</t>
        </is>
      </c>
      <c r="I732" s="2" t="inlineStr">
        <is>
          <t>S2</t>
        </is>
      </c>
      <c r="J732" s="2" t="n">
        <v>16</v>
      </c>
      <c r="K732" s="3" t="inlineStr">
        <is>
          <t>we proceeded towards our first stations in Spain and Italy, set to become our eighth and ninth active markets in 2025.</t>
        </is>
      </c>
      <c r="L732" s="2" t="inlineStr">
        <is>
          <t>pend</t>
        </is>
      </c>
      <c r="M732" s="2" t="n"/>
      <c r="N732" s="2" t="n"/>
      <c r="O732" s="3" t="inlineStr">
        <is>
          <t>https://vanillabonds.com/dossier-data/pdf/fastned/fastned-2024-annual-report.pdf#page=16</t>
        </is>
      </c>
    </row>
    <row r="733">
      <c r="A733" s="2" t="inlineStr">
        <is>
          <t>F732</t>
        </is>
      </c>
      <c r="B733" s="2" t="inlineStr">
        <is>
          <t>plan</t>
        </is>
      </c>
      <c r="C733" s="2" t="inlineStr">
        <is>
          <t>plan_item</t>
        </is>
      </c>
      <c r="D733" s="3" t="inlineStr">
        <is>
          <t>Investment plan item: what, amount, timing, contracted / ordered / planned</t>
        </is>
      </c>
      <c r="E733" s="2" t="n"/>
      <c r="F733" s="2" t="n"/>
      <c r="G733" s="2" t="n"/>
      <c r="H733" s="3" t="inlineStr">
        <is>
          <t>Network expansion staffing: employees dedicated to growing the network rose 52% in 2024 to raise the rate of new station realisation; network expansion costs €23.2m.</t>
        </is>
      </c>
      <c r="I733" s="2" t="inlineStr">
        <is>
          <t>S2</t>
        </is>
      </c>
      <c r="J733" s="2" t="n">
        <v>40</v>
      </c>
      <c r="K733" s="3" t="inlineStr">
        <is>
          <t>Network expansion costs increased 53%, mainly due to the 52% increase in the number of employees dedicated to growing the network.</t>
        </is>
      </c>
      <c r="L733" s="2" t="inlineStr">
        <is>
          <t>pend</t>
        </is>
      </c>
      <c r="M733" s="2" t="n"/>
      <c r="N733" s="2" t="n"/>
      <c r="O733" s="3" t="inlineStr">
        <is>
          <t>https://vanillabonds.com/dossier-data/pdf/fastned/fastned-2024-annual-report.pdf#page=40</t>
        </is>
      </c>
    </row>
    <row r="734">
      <c r="A734" s="2" t="inlineStr">
        <is>
          <t>F733</t>
        </is>
      </c>
      <c r="B734" s="2" t="inlineStr">
        <is>
          <t>plan</t>
        </is>
      </c>
      <c r="C734" s="2" t="inlineStr">
        <is>
          <t>plan_item</t>
        </is>
      </c>
      <c r="D734" s="3" t="inlineStr">
        <is>
          <t>Investment plan item: what, amount, timing, contracted / ordered / planned</t>
        </is>
      </c>
      <c r="E734" s="2" t="n"/>
      <c r="F734" s="2" t="n"/>
      <c r="G734" s="2" t="n"/>
      <c r="H734" s="3" t="inlineStr">
        <is>
          <t>Ecorus solar farm (43,000 panels, Den Helder) to start delivering renewable energy to Dutch stations in January 2026: contracted.</t>
        </is>
      </c>
      <c r="I734" s="2" t="inlineStr">
        <is>
          <t>S2</t>
        </is>
      </c>
      <c r="J734" s="2" t="n">
        <v>58</v>
      </c>
      <c r="K734" s="3" t="inlineStr">
        <is>
          <t>The production of renewable energy is due to start in January 2026.</t>
        </is>
      </c>
      <c r="L734" s="2" t="inlineStr">
        <is>
          <t>pend</t>
        </is>
      </c>
      <c r="M734" s="2" t="n"/>
      <c r="N734" s="2" t="n"/>
      <c r="O734" s="3" t="inlineStr">
        <is>
          <t>https://vanillabonds.com/dossier-data/pdf/fastned/fastned-2024-annual-report.pdf#page=58</t>
        </is>
      </c>
    </row>
    <row r="735">
      <c r="A735" s="2" t="inlineStr">
        <is>
          <t>F734</t>
        </is>
      </c>
      <c r="B735" s="2" t="inlineStr">
        <is>
          <t>plan</t>
        </is>
      </c>
      <c r="C735" s="2" t="inlineStr">
        <is>
          <t>plan_item</t>
        </is>
      </c>
      <c r="D735" s="3" t="inlineStr">
        <is>
          <t>Investment plan item: what, amount, timing, contracted / ordered / planned</t>
        </is>
      </c>
      <c r="E735" s="2" t="n"/>
      <c r="F735" s="2" t="n"/>
      <c r="G735" s="2" t="n"/>
      <c r="H735" s="3" t="inlineStr">
        <is>
          <t>More Fastned shops to be built in 2025 (three built in 2024): planned.</t>
        </is>
      </c>
      <c r="I735" s="2" t="inlineStr">
        <is>
          <t>S2</t>
        </is>
      </c>
      <c r="J735" s="2" t="n">
        <v>60</v>
      </c>
      <c r="K735" s="3" t="inlineStr">
        <is>
          <t>In 2024 we built three Fastned shops, and we plan to build more in 2025.</t>
        </is>
      </c>
      <c r="L735" s="2" t="inlineStr">
        <is>
          <t>pend</t>
        </is>
      </c>
      <c r="M735" s="2" t="n"/>
      <c r="N735" s="2" t="n"/>
      <c r="O735" s="3" t="inlineStr">
        <is>
          <t>https://vanillabonds.com/dossier-data/pdf/fastned/fastned-2024-annual-report.pdf#page=60</t>
        </is>
      </c>
    </row>
    <row r="736">
      <c r="A736" s="2" t="inlineStr">
        <is>
          <t>F735</t>
        </is>
      </c>
      <c r="B736" s="2" t="inlineStr">
        <is>
          <t>plan</t>
        </is>
      </c>
      <c r="C736" s="2" t="inlineStr">
        <is>
          <t>plan_item</t>
        </is>
      </c>
      <c r="D736" s="3" t="inlineStr">
        <is>
          <t>Investment plan item: what, amount, timing, contracted / ordered / planned</t>
        </is>
      </c>
      <c r="E736" s="2" t="n"/>
      <c r="F736" s="2" t="n"/>
      <c r="G736" s="2" t="n"/>
      <c r="H736" s="3" t="inlineStr">
        <is>
          <t>Battery installations to be piloted at several stations in 2025 to overcome grid constraints: planned.</t>
        </is>
      </c>
      <c r="I736" s="2" t="inlineStr">
        <is>
          <t>S2</t>
        </is>
      </c>
      <c r="J736" s="2" t="n">
        <v>70</v>
      </c>
      <c r="K736" s="3" t="inlineStr">
        <is>
          <t>In 2025, the company plans to pilot battery installations at several stations to help overcome grid constraints.</t>
        </is>
      </c>
      <c r="L736" s="2" t="inlineStr">
        <is>
          <t>pend</t>
        </is>
      </c>
      <c r="M736" s="2" t="n"/>
      <c r="N736" s="2" t="n"/>
      <c r="O736" s="3" t="inlineStr">
        <is>
          <t>https://vanillabonds.com/dossier-data/pdf/fastned/fastned-2024-annual-report.pdf#page=70</t>
        </is>
      </c>
    </row>
    <row r="737">
      <c r="A737" s="2" t="inlineStr">
        <is>
          <t>F736</t>
        </is>
      </c>
      <c r="B737" s="2" t="inlineStr">
        <is>
          <t>plan</t>
        </is>
      </c>
      <c r="C737" s="2" t="inlineStr">
        <is>
          <t>plan_item</t>
        </is>
      </c>
      <c r="D737" s="3" t="inlineStr">
        <is>
          <t>Investment plan item: what, amount, timing, contracted / ordered / planned</t>
        </is>
      </c>
      <c r="E737" s="2" t="n"/>
      <c r="F737" s="2" t="n"/>
      <c r="G737" s="2" t="n"/>
      <c r="H737" s="3" t="inlineStr">
        <is>
          <t>what: German Highway Tender HPC sites (34 sites); timing: planning and construction started 2024; contracted (IFRIC 12 concession)</t>
        </is>
      </c>
      <c r="I737" s="2" t="inlineStr">
        <is>
          <t>S2</t>
        </is>
      </c>
      <c r="J737" s="2" t="n">
        <v>125</v>
      </c>
      <c r="K737" s="3" t="inlineStr">
        <is>
          <t>In 2024 the company started planning &amp; construction work on sites included in</t>
        </is>
      </c>
      <c r="L737" s="2" t="inlineStr">
        <is>
          <t>pend</t>
        </is>
      </c>
      <c r="M737" s="2" t="n"/>
      <c r="N737" s="2" t="n"/>
      <c r="O737" s="3" t="inlineStr">
        <is>
          <t>https://vanillabonds.com/dossier-data/pdf/fastned/fastned-2024-annual-report.pdf#page=125</t>
        </is>
      </c>
    </row>
    <row r="738">
      <c r="A738" s="2" t="inlineStr">
        <is>
          <t>F737</t>
        </is>
      </c>
      <c r="B738" s="2" t="inlineStr">
        <is>
          <t>plan</t>
        </is>
      </c>
      <c r="C738" s="2" t="inlineStr">
        <is>
          <t>plan_item</t>
        </is>
      </c>
      <c r="D738" s="3" t="inlineStr">
        <is>
          <t>Investment plan item: what, amount, timing, contracted / ordered / planned</t>
        </is>
      </c>
      <c r="E738" s="2" t="n"/>
      <c r="F738" s="2" t="n">
        <v>1.1</v>
      </c>
      <c r="G738" s="2" t="n"/>
      <c r="H738" s="3" t="inlineStr">
        <is>
          <t>what: ultra-rapid charging hubs in London via JV Fast Places; amount: Fastned confirmed share of commitments EUR 1.07m (paid Feb 2025); timing: initial five sites, 25 sites by end of the decade; planned</t>
        </is>
      </c>
      <c r="I738" s="2" t="inlineStr">
        <is>
          <t>S2</t>
        </is>
      </c>
      <c r="J738" s="2" t="n">
        <v>127</v>
      </c>
      <c r="K738" s="3" t="inlineStr">
        <is>
          <t>charging hubs at an initial five sites in London, with plans to expand the network to</t>
        </is>
      </c>
      <c r="L738" s="2" t="inlineStr">
        <is>
          <t>pend</t>
        </is>
      </c>
      <c r="M738" s="2" t="n"/>
      <c r="N738" s="2" t="n"/>
      <c r="O738" s="3" t="inlineStr">
        <is>
          <t>https://vanillabonds.com/dossier-data/pdf/fastned/fastned-2024-annual-report.pdf#page=127</t>
        </is>
      </c>
    </row>
    <row r="739">
      <c r="A739" s="2" t="inlineStr">
        <is>
          <t>F738</t>
        </is>
      </c>
      <c r="B739" s="2" t="inlineStr">
        <is>
          <t>plan</t>
        </is>
      </c>
      <c r="C739" s="2" t="inlineStr">
        <is>
          <t>plan_item</t>
        </is>
      </c>
      <c r="D739" s="3" t="inlineStr">
        <is>
          <t>Investment plan item: what, amount, timing, contracted / ordered / planned</t>
        </is>
      </c>
      <c r="E739" s="2" t="n"/>
      <c r="F739" s="2" t="n">
        <v>35.3</v>
      </c>
      <c r="G739" s="2" t="n"/>
      <c r="H739" s="3" t="inlineStr">
        <is>
          <t>what: fast-charging stations under construction at 31 Dec 2024; amount: outstanding commitment EUR 35.26m; timing: realised in H1 2025; contracted (orders placed, partly prepaid)</t>
        </is>
      </c>
      <c r="I739" s="2" t="inlineStr">
        <is>
          <t>S2</t>
        </is>
      </c>
      <c r="J739" s="2" t="n">
        <v>162</v>
      </c>
      <c r="K739" s="3" t="inlineStr">
        <is>
          <t>At 31 December 2024, the Group had initiated the construction of several fast</t>
        </is>
      </c>
      <c r="L739" s="2" t="inlineStr">
        <is>
          <t>pend</t>
        </is>
      </c>
      <c r="M739" s="2" t="n"/>
      <c r="N739" s="2" t="n"/>
      <c r="O739" s="3" t="inlineStr">
        <is>
          <t>https://vanillabonds.com/dossier-data/pdf/fastned/fastned-2024-annual-report.pdf#page=162</t>
        </is>
      </c>
    </row>
    <row r="740">
      <c r="A740" s="2" t="inlineStr">
        <is>
          <t>F739</t>
        </is>
      </c>
      <c r="B740" s="2" t="inlineStr">
        <is>
          <t>plan</t>
        </is>
      </c>
      <c r="C740" s="2" t="inlineStr">
        <is>
          <t>debt_maturing</t>
        </is>
      </c>
      <c r="D740" s="2" t="inlineStr">
        <is>
          <t>Debt principal falling due in the period</t>
        </is>
      </c>
      <c r="E740" s="2" t="inlineStr">
        <is>
          <t>FY2025E</t>
        </is>
      </c>
      <c r="F740" s="2" t="n">
        <v>21.9</v>
      </c>
      <c r="G740" s="2" t="inlineStr">
        <is>
          <t>EUR m</t>
        </is>
      </c>
      <c r="H740" s="3" t="inlineStr">
        <is>
          <t>Contractual principal on interest-bearing borrowings due within 12 months of 31 Dec 2024 (3-12 months column; on demand and under 3 months nil): EUR 21,921k.</t>
        </is>
      </c>
      <c r="I740" s="2" t="inlineStr">
        <is>
          <t>S2</t>
        </is>
      </c>
      <c r="J740" s="2" t="n">
        <v>153</v>
      </c>
      <c r="K740" s="3" t="inlineStr">
        <is>
          <t>Interest-bearing loans and borrowings — — 21,921 204,539 226,460</t>
        </is>
      </c>
      <c r="L740" s="2" t="inlineStr">
        <is>
          <t>pend</t>
        </is>
      </c>
      <c r="M740" s="2" t="n"/>
      <c r="N740" s="2" t="n"/>
      <c r="O740" s="3" t="inlineStr">
        <is>
          <t>https://vanillabonds.com/dossier-data/pdf/fastned/fastned-2024-annual-report.pdf#page=153</t>
        </is>
      </c>
    </row>
    <row r="741">
      <c r="A741" s="2" t="inlineStr">
        <is>
          <t>F740</t>
        </is>
      </c>
      <c r="B741" s="2" t="inlineStr">
        <is>
          <t>plan</t>
        </is>
      </c>
      <c r="C741" s="2" t="inlineStr">
        <is>
          <t>debt_maturing</t>
        </is>
      </c>
      <c r="D741" s="2" t="inlineStr">
        <is>
          <t>Debt principal falling due in the period</t>
        </is>
      </c>
      <c r="E741" s="2" t="inlineStr">
        <is>
          <t>FY2026E</t>
        </is>
      </c>
      <c r="F741" s="2" t="n">
        <v>30.4</v>
      </c>
      <c r="G741" s="2" t="inlineStr">
        <is>
          <t>EUR m</t>
        </is>
      </c>
      <c r="H741" s="2" t="inlineStr">
        <is>
          <t>5.0% bond EUR 30.4m matures 12/12/2026.</t>
        </is>
      </c>
      <c r="I741" s="2" t="inlineStr">
        <is>
          <t>S2</t>
        </is>
      </c>
      <c r="J741" s="2" t="n">
        <v>146</v>
      </c>
      <c r="K741" s="2" t="inlineStr">
        <is>
          <t>5.0 12/12/2026 30,357 30,357</t>
        </is>
      </c>
      <c r="L741" s="2" t="inlineStr">
        <is>
          <t>pend</t>
        </is>
      </c>
      <c r="M741" s="2" t="n"/>
      <c r="N741" s="3" t="inlineStr">
        <is>
          <t>conflict: S2·p146 30.4 vs S3·p181 12.4 vs S4·p43 10.7</t>
        </is>
      </c>
      <c r="O741" s="3" t="inlineStr">
        <is>
          <t>https://vanillabonds.com/dossier-data/pdf/fastned/fastned-2024-annual-report.pdf#page=146</t>
        </is>
      </c>
    </row>
    <row r="742">
      <c r="A742" s="2" t="inlineStr">
        <is>
          <t>F741</t>
        </is>
      </c>
      <c r="B742" s="2" t="inlineStr">
        <is>
          <t>plan</t>
        </is>
      </c>
      <c r="C742" s="2" t="inlineStr">
        <is>
          <t>debt_maturing</t>
        </is>
      </c>
      <c r="D742" s="2" t="inlineStr">
        <is>
          <t>Debt principal falling due in the period</t>
        </is>
      </c>
      <c r="E742" s="2" t="inlineStr">
        <is>
          <t>FY2027E</t>
        </is>
      </c>
      <c r="F742" s="2" t="n">
        <v>13.2</v>
      </c>
      <c r="G742" s="2" t="inlineStr">
        <is>
          <t>EUR m</t>
        </is>
      </c>
      <c r="H742" s="2" t="inlineStr">
        <is>
          <t>5.0% bond EUR 13.2m matures 21/06/2027.</t>
        </is>
      </c>
      <c r="I742" s="2" t="inlineStr">
        <is>
          <t>S2</t>
        </is>
      </c>
      <c r="J742" s="2" t="n">
        <v>146</v>
      </c>
      <c r="K742" s="2" t="inlineStr">
        <is>
          <t>5.0 21/06/2027 13,248 13,248</t>
        </is>
      </c>
      <c r="L742" s="2" t="inlineStr">
        <is>
          <t>pend</t>
        </is>
      </c>
      <c r="M742" s="2" t="n"/>
      <c r="N742" s="3" t="inlineStr">
        <is>
          <t>conflict: S2·p146 13.2 vs S3·p172 7.3 vs S4·p43 5.2</t>
        </is>
      </c>
      <c r="O742" s="3" t="inlineStr">
        <is>
          <t>https://vanillabonds.com/dossier-data/pdf/fastned/fastned-2024-annual-report.pdf#page=146</t>
        </is>
      </c>
    </row>
    <row r="743">
      <c r="A743" s="2" t="inlineStr">
        <is>
          <t>F742</t>
        </is>
      </c>
      <c r="B743" s="2" t="inlineStr">
        <is>
          <t>plan</t>
        </is>
      </c>
      <c r="C743" s="2" t="inlineStr">
        <is>
          <t>bank_line</t>
        </is>
      </c>
      <c r="D743" s="3" t="inlineStr">
        <is>
          <t>Bank facility: lender, amount, maturity, renewal history</t>
        </is>
      </c>
      <c r="E743" s="2" t="n"/>
      <c r="F743" s="2" t="n"/>
      <c r="G743" s="2" t="n"/>
      <c r="H743" s="3" t="inlineStr">
        <is>
          <t>Caisse des Depots secured loan agreed 2022-2024: EUR 9.8m drawn in 2024, balance EUR 2.2m plus 12.1m at YE2024, 4% fixed capitalised for first three years then variable kWh-based component payable annually, maturity 01/12/2031.</t>
        </is>
      </c>
      <c r="I743" s="2" t="inlineStr">
        <is>
          <t>S2</t>
        </is>
      </c>
      <c r="J743" s="2" t="n">
        <v>147</v>
      </c>
      <c r="K743" s="3" t="inlineStr">
        <is>
          <t>Interest is a fixed component of 4% in the first three years and will be capitalised.</t>
        </is>
      </c>
      <c r="L743" s="2" t="inlineStr">
        <is>
          <t>pend</t>
        </is>
      </c>
      <c r="M743" s="2" t="n"/>
      <c r="N743" s="2" t="n"/>
      <c r="O743" s="3" t="inlineStr">
        <is>
          <t>https://vanillabonds.com/dossier-data/pdf/fastned/fastned-2024-annual-report.pdf#page=147</t>
        </is>
      </c>
    </row>
    <row r="744">
      <c r="A744" s="2" t="inlineStr">
        <is>
          <t>F743</t>
        </is>
      </c>
      <c r="B744" s="2" t="inlineStr">
        <is>
          <t>plan</t>
        </is>
      </c>
      <c r="C744" s="2" t="inlineStr">
        <is>
          <t>bank_line</t>
        </is>
      </c>
      <c r="D744" s="3" t="inlineStr">
        <is>
          <t>Bank facility: lender, amount, maturity, renewal history</t>
        </is>
      </c>
      <c r="E744" s="2" t="n"/>
      <c r="F744" s="2" t="n"/>
      <c r="G744" s="2" t="n"/>
      <c r="H744" s="3" t="inlineStr">
        <is>
          <t>Bank guarantee facility EUR 17.0m outstanding at 31 Dec 2024 (2023: 17.0m), EUR 15.0m drawn (2023: 13.4m); EUR 13.4m expires end 2029, EUR 1.6m open-ended; covenants apply and were met.</t>
        </is>
      </c>
      <c r="I744" s="2" t="inlineStr">
        <is>
          <t>S2</t>
        </is>
      </c>
      <c r="J744" s="2" t="n">
        <v>156</v>
      </c>
      <c r="K744" s="3" t="inlineStr">
        <is>
          <t>Bank guarantees amounting to €17.0 million are outstanding at 31 December</t>
        </is>
      </c>
      <c r="L744" s="2" t="inlineStr">
        <is>
          <t>pend</t>
        </is>
      </c>
      <c r="M744" s="2" t="n"/>
      <c r="N744" s="2" t="n"/>
      <c r="O744" s="3" t="inlineStr">
        <is>
          <t>https://vanillabonds.com/dossier-data/pdf/fastned/fastned-2024-annual-report.pdf#page=156</t>
        </is>
      </c>
    </row>
    <row r="745">
      <c r="A745" s="2" t="inlineStr">
        <is>
          <t>F744</t>
        </is>
      </c>
      <c r="B745" s="2" t="inlineStr">
        <is>
          <t>governance</t>
        </is>
      </c>
      <c r="C745" s="2" t="inlineStr">
        <is>
          <t>group_entity</t>
        </is>
      </c>
      <c r="D745" s="3" t="inlineStr">
        <is>
          <t>Group entity: entity; jurisdiction; revenue; ebitda; assets; debt; guarantor (yes / no)</t>
        </is>
      </c>
      <c r="E745" s="2" t="n"/>
      <c r="F745" s="2" t="n"/>
      <c r="G745" s="2" t="n"/>
      <c r="H745" s="3" t="inlineStr">
        <is>
          <t>entity: Fast Places (joint venture with Places for London, central London fast-charging network); guarantor: not stated</t>
        </is>
      </c>
      <c r="I745" s="2" t="inlineStr">
        <is>
          <t>S2</t>
        </is>
      </c>
      <c r="J745" s="2" t="n">
        <v>69</v>
      </c>
      <c r="K745" s="3" t="inlineStr">
        <is>
          <t>For our joint venture, Fast Places, cybercrime is covered under a mandatory insurance policy.</t>
        </is>
      </c>
      <c r="L745" s="2" t="inlineStr">
        <is>
          <t>pend</t>
        </is>
      </c>
      <c r="M745" s="2" t="n"/>
      <c r="N745" s="2" t="n"/>
      <c r="O745" s="3" t="inlineStr">
        <is>
          <t>https://vanillabonds.com/dossier-data/pdf/fastned/fastned-2024-annual-report.pdf#page=69</t>
        </is>
      </c>
    </row>
    <row r="746">
      <c r="A746" s="2" t="inlineStr">
        <is>
          <t>F745</t>
        </is>
      </c>
      <c r="B746" s="2" t="inlineStr">
        <is>
          <t>governance</t>
        </is>
      </c>
      <c r="C746" s="2" t="inlineStr">
        <is>
          <t>group_entity</t>
        </is>
      </c>
      <c r="D746" s="3" t="inlineStr">
        <is>
          <t>Group entity: entity; jurisdiction; revenue; ebitda; assets; debt; guarantor (yes / no)</t>
        </is>
      </c>
      <c r="E746" s="2" t="n"/>
      <c r="F746" s="2" t="n"/>
      <c r="G746" s="2" t="n"/>
      <c r="H746" s="3" t="inlineStr">
        <is>
          <t>entity: Fastned Verwaltungsgesellschaft mbH; jurisdiction: DE; 100% owned; general partner of Fastned Deutschland GmbH &amp; Co KG</t>
        </is>
      </c>
      <c r="I746" s="2" t="inlineStr">
        <is>
          <t>S2</t>
        </is>
      </c>
      <c r="J746" s="2" t="n">
        <v>126</v>
      </c>
      <c r="K746" s="3" t="inlineStr">
        <is>
          <t>Fastned Verwaltungsgesellschaft mbH General partner Fastned Deutschland GmbH &amp; Co KG Germany 100 100</t>
        </is>
      </c>
      <c r="L746" s="2" t="inlineStr">
        <is>
          <t>pend</t>
        </is>
      </c>
      <c r="M746" s="2" t="n"/>
      <c r="N746" s="2" t="n"/>
      <c r="O746" s="3" t="inlineStr">
        <is>
          <t>https://vanillabonds.com/dossier-data/pdf/fastned/fastned-2024-annual-report.pdf#page=126</t>
        </is>
      </c>
    </row>
    <row r="747">
      <c r="A747" s="2" t="inlineStr">
        <is>
          <t>F746</t>
        </is>
      </c>
      <c r="B747" s="2" t="inlineStr">
        <is>
          <t>governance</t>
        </is>
      </c>
      <c r="C747" s="2" t="inlineStr">
        <is>
          <t>group_entity</t>
        </is>
      </c>
      <c r="D747" s="3" t="inlineStr">
        <is>
          <t>Group entity: entity; jurisdiction; revenue; ebitda; assets; debt; guarantor (yes / no)</t>
        </is>
      </c>
      <c r="E747" s="2" t="n"/>
      <c r="F747" s="2" t="n"/>
      <c r="G747" s="2" t="n"/>
      <c r="H747" s="3" t="inlineStr">
        <is>
          <t>entity: Fastned Deutschland GmbH &amp; Co KG; jurisdiction: DE; 100% owned; construction and operation of charging stations; parent equity injection EUR 3.25m in 2024</t>
        </is>
      </c>
      <c r="I747" s="2" t="inlineStr">
        <is>
          <t>S2</t>
        </is>
      </c>
      <c r="J747" s="2" t="n">
        <v>126</v>
      </c>
      <c r="K747" s="3" t="inlineStr">
        <is>
          <t>Fastned Deutschland GmbH &amp; Co KG Construction and operating charging stations Germany 100 100</t>
        </is>
      </c>
      <c r="L747" s="2" t="inlineStr">
        <is>
          <t>pend</t>
        </is>
      </c>
      <c r="M747" s="2" t="n"/>
      <c r="N747" s="2" t="n"/>
      <c r="O747" s="3" t="inlineStr">
        <is>
          <t>https://vanillabonds.com/dossier-data/pdf/fastned/fastned-2024-annual-report.pdf#page=126</t>
        </is>
      </c>
    </row>
    <row r="748">
      <c r="A748" s="2" t="inlineStr">
        <is>
          <t>F747</t>
        </is>
      </c>
      <c r="B748" s="2" t="inlineStr">
        <is>
          <t>governance</t>
        </is>
      </c>
      <c r="C748" s="2" t="inlineStr">
        <is>
          <t>group_entity</t>
        </is>
      </c>
      <c r="D748" s="3" t="inlineStr">
        <is>
          <t>Group entity: entity; jurisdiction; revenue; ebitda; assets; debt; guarantor (yes / no)</t>
        </is>
      </c>
      <c r="E748" s="2" t="n"/>
      <c r="F748" s="2" t="n"/>
      <c r="G748" s="2" t="n"/>
      <c r="H748" s="3" t="inlineStr">
        <is>
          <t>entity: Fastned UK Ltd (Company Nr 11140404); jurisdiction: UK; 100% owned; construction and operation; holds 51% of JV Fast Places Limited</t>
        </is>
      </c>
      <c r="I748" s="2" t="inlineStr">
        <is>
          <t>S2</t>
        </is>
      </c>
      <c r="J748" s="2" t="n">
        <v>126</v>
      </c>
      <c r="K748" s="3" t="inlineStr">
        <is>
          <t>Fastned UK Ltd Construction and operating charging stations United Kingdom 100 100</t>
        </is>
      </c>
      <c r="L748" s="2" t="inlineStr">
        <is>
          <t>pend</t>
        </is>
      </c>
      <c r="M748" s="2" t="n"/>
      <c r="N748" s="2" t="n"/>
      <c r="O748" s="3" t="inlineStr">
        <is>
          <t>https://vanillabonds.com/dossier-data/pdf/fastned/fastned-2024-annual-report.pdf#page=126</t>
        </is>
      </c>
    </row>
    <row r="749">
      <c r="A749" s="2" t="inlineStr">
        <is>
          <t>F748</t>
        </is>
      </c>
      <c r="B749" s="2" t="inlineStr">
        <is>
          <t>governance</t>
        </is>
      </c>
      <c r="C749" s="2" t="inlineStr">
        <is>
          <t>group_entity</t>
        </is>
      </c>
      <c r="D749" s="3" t="inlineStr">
        <is>
          <t>Group entity: entity; jurisdiction; revenue; ebitda; assets; debt; guarantor (yes / no)</t>
        </is>
      </c>
      <c r="E749" s="2" t="n"/>
      <c r="F749" s="2" t="n"/>
      <c r="G749" s="2" t="n"/>
      <c r="H749" s="3" t="inlineStr">
        <is>
          <t>entity: Fastned Belgie BV (Company Nr 0702751835); jurisdiction: BE; 100% owned; construction and operation</t>
        </is>
      </c>
      <c r="I749" s="2" t="inlineStr">
        <is>
          <t>S2</t>
        </is>
      </c>
      <c r="J749" s="2" t="n">
        <v>126</v>
      </c>
      <c r="K749" s="3" t="inlineStr">
        <is>
          <t>Fastned Belgie BV Construction and operating charging stations Belgium 100 100</t>
        </is>
      </c>
      <c r="L749" s="2" t="inlineStr">
        <is>
          <t>pend</t>
        </is>
      </c>
      <c r="M749" s="2" t="n"/>
      <c r="N749" s="2" t="n"/>
      <c r="O749" s="3" t="inlineStr">
        <is>
          <t>https://vanillabonds.com/dossier-data/pdf/fastned/fastned-2024-annual-report.pdf#page=126</t>
        </is>
      </c>
    </row>
    <row r="750">
      <c r="A750" s="2" t="inlineStr">
        <is>
          <t>F749</t>
        </is>
      </c>
      <c r="B750" s="2" t="inlineStr">
        <is>
          <t>governance</t>
        </is>
      </c>
      <c r="C750" s="2" t="inlineStr">
        <is>
          <t>group_entity</t>
        </is>
      </c>
      <c r="D750" s="3" t="inlineStr">
        <is>
          <t>Group entity: entity; jurisdiction; revenue; ebitda; assets; debt; guarantor (yes / no)</t>
        </is>
      </c>
      <c r="E750" s="2" t="n"/>
      <c r="F750" s="2" t="n"/>
      <c r="G750" s="2" t="n"/>
      <c r="H750" s="3" t="inlineStr">
        <is>
          <t>entity: Fastned France SAS (Company Nr 853 300 010); jurisdiction: FR; 100% owned; construction and operation; parent equity injection EUR 7.5m in 2024</t>
        </is>
      </c>
      <c r="I750" s="2" t="inlineStr">
        <is>
          <t>S2</t>
        </is>
      </c>
      <c r="J750" s="2" t="n">
        <v>126</v>
      </c>
      <c r="K750" s="3" t="inlineStr">
        <is>
          <t>Fastned France SAS Construction and operating charging stations France 100 100</t>
        </is>
      </c>
      <c r="L750" s="2" t="inlineStr">
        <is>
          <t>pend</t>
        </is>
      </c>
      <c r="M750" s="2" t="n"/>
      <c r="N750" s="2" t="n"/>
      <c r="O750" s="3" t="inlineStr">
        <is>
          <t>https://vanillabonds.com/dossier-data/pdf/fastned/fastned-2024-annual-report.pdf#page=126</t>
        </is>
      </c>
    </row>
    <row r="751">
      <c r="A751" s="2" t="inlineStr">
        <is>
          <t>F750</t>
        </is>
      </c>
      <c r="B751" s="2" t="inlineStr">
        <is>
          <t>governance</t>
        </is>
      </c>
      <c r="C751" s="2" t="inlineStr">
        <is>
          <t>group_entity</t>
        </is>
      </c>
      <c r="D751" s="3" t="inlineStr">
        <is>
          <t>Group entity: entity; jurisdiction; revenue; ebitda; assets; debt; guarantor (yes / no)</t>
        </is>
      </c>
      <c r="E751" s="2" t="n"/>
      <c r="F751" s="2" t="n"/>
      <c r="G751" s="2" t="n"/>
      <c r="H751" s="3" t="inlineStr">
        <is>
          <t>entity: Fastned Switzerland AG (CHE-394.882.929); jurisdiction: CH; 100% owned; construction and operation; parent equity injection EUR 2.0m in 2024</t>
        </is>
      </c>
      <c r="I751" s="2" t="inlineStr">
        <is>
          <t>S2</t>
        </is>
      </c>
      <c r="J751" s="2" t="n">
        <v>126</v>
      </c>
      <c r="K751" s="3" t="inlineStr">
        <is>
          <t>Fastned Switzerland AG Construction and operating charging stations Switzerland 100 100</t>
        </is>
      </c>
      <c r="L751" s="2" t="inlineStr">
        <is>
          <t>pend</t>
        </is>
      </c>
      <c r="M751" s="2" t="n"/>
      <c r="N751" s="2" t="n"/>
      <c r="O751" s="3" t="inlineStr">
        <is>
          <t>https://vanillabonds.com/dossier-data/pdf/fastned/fastned-2024-annual-report.pdf#page=126</t>
        </is>
      </c>
    </row>
    <row r="752">
      <c r="A752" s="2" t="inlineStr">
        <is>
          <t>F751</t>
        </is>
      </c>
      <c r="B752" s="2" t="inlineStr">
        <is>
          <t>governance</t>
        </is>
      </c>
      <c r="C752" s="2" t="inlineStr">
        <is>
          <t>group_entity</t>
        </is>
      </c>
      <c r="D752" s="3" t="inlineStr">
        <is>
          <t>Group entity: entity; jurisdiction; revenue; ebitda; assets; debt; guarantor (yes / no)</t>
        </is>
      </c>
      <c r="E752" s="2" t="n"/>
      <c r="F752" s="2" t="n"/>
      <c r="G752" s="2" t="n"/>
      <c r="H752" s="3" t="inlineStr">
        <is>
          <t>entity: Fastned Products B.V.; jurisdiction: NL; 100% owned; currently inactive</t>
        </is>
      </c>
      <c r="I752" s="2" t="inlineStr">
        <is>
          <t>S2</t>
        </is>
      </c>
      <c r="J752" s="2" t="n">
        <v>126</v>
      </c>
      <c r="K752" s="3" t="inlineStr">
        <is>
          <t>Fastned Products B.V. Currently Inactive Netherlands 100 100</t>
        </is>
      </c>
      <c r="L752" s="2" t="inlineStr">
        <is>
          <t>pend</t>
        </is>
      </c>
      <c r="M752" s="2" t="n"/>
      <c r="N752" s="2" t="n"/>
      <c r="O752" s="3" t="inlineStr">
        <is>
          <t>https://vanillabonds.com/dossier-data/pdf/fastned/fastned-2024-annual-report.pdf#page=126</t>
        </is>
      </c>
    </row>
    <row r="753">
      <c r="A753" s="2" t="inlineStr">
        <is>
          <t>F752</t>
        </is>
      </c>
      <c r="B753" s="2" t="inlineStr">
        <is>
          <t>governance</t>
        </is>
      </c>
      <c r="C753" s="2" t="inlineStr">
        <is>
          <t>group_entity</t>
        </is>
      </c>
      <c r="D753" s="3" t="inlineStr">
        <is>
          <t>Group entity: entity; jurisdiction; revenue; ebitda; assets; debt; guarantor (yes / no)</t>
        </is>
      </c>
      <c r="E753" s="2" t="n"/>
      <c r="F753" s="2" t="n"/>
      <c r="G753" s="2" t="n"/>
      <c r="H753" s="3" t="inlineStr">
        <is>
          <t>entity: Fastned Beheer B.V.; jurisdiction: NL; 100% owned; management services</t>
        </is>
      </c>
      <c r="I753" s="2" t="inlineStr">
        <is>
          <t>S2</t>
        </is>
      </c>
      <c r="J753" s="2" t="n">
        <v>126</v>
      </c>
      <c r="K753" s="3" t="inlineStr">
        <is>
          <t>Fastned Beheer B.V. Management services Netherlands 100 100</t>
        </is>
      </c>
      <c r="L753" s="2" t="inlineStr">
        <is>
          <t>pend</t>
        </is>
      </c>
      <c r="M753" s="2" t="n"/>
      <c r="N753" s="2" t="n"/>
      <c r="O753" s="3" t="inlineStr">
        <is>
          <t>https://vanillabonds.com/dossier-data/pdf/fastned/fastned-2024-annual-report.pdf#page=126</t>
        </is>
      </c>
    </row>
    <row r="754">
      <c r="A754" s="2" t="inlineStr">
        <is>
          <t>F753</t>
        </is>
      </c>
      <c r="B754" s="2" t="inlineStr">
        <is>
          <t>governance</t>
        </is>
      </c>
      <c r="C754" s="2" t="inlineStr">
        <is>
          <t>group_entity</t>
        </is>
      </c>
      <c r="D754" s="3" t="inlineStr">
        <is>
          <t>Group entity: entity; jurisdiction; revenue; ebitda; assets; debt; guarantor (yes / no)</t>
        </is>
      </c>
      <c r="E754" s="2" t="n"/>
      <c r="F754" s="2" t="n"/>
      <c r="G754" s="2" t="n"/>
      <c r="H754" s="3" t="inlineStr">
        <is>
          <t>entity: The Fast Charging Network B.V.; jurisdiction: NL; 100% owned; construction and operation; paid EUR 1.9m dividend to parent in 2024</t>
        </is>
      </c>
      <c r="I754" s="2" t="inlineStr">
        <is>
          <t>S2</t>
        </is>
      </c>
      <c r="J754" s="2" t="n">
        <v>126</v>
      </c>
      <c r="K754" s="3" t="inlineStr">
        <is>
          <t>The Fast Charging Network B.V. Construction and operating charging stations Netherlands 100 100</t>
        </is>
      </c>
      <c r="L754" s="2" t="inlineStr">
        <is>
          <t>pend</t>
        </is>
      </c>
      <c r="M754" s="2" t="n"/>
      <c r="N754" s="2" t="n"/>
      <c r="O754" s="3" t="inlineStr">
        <is>
          <t>https://vanillabonds.com/dossier-data/pdf/fastned/fastned-2024-annual-report.pdf#page=126</t>
        </is>
      </c>
    </row>
    <row r="755">
      <c r="A755" s="2" t="inlineStr">
        <is>
          <t>F754</t>
        </is>
      </c>
      <c r="B755" s="2" t="inlineStr">
        <is>
          <t>governance</t>
        </is>
      </c>
      <c r="C755" s="2" t="inlineStr">
        <is>
          <t>group_entity</t>
        </is>
      </c>
      <c r="D755" s="3" t="inlineStr">
        <is>
          <t>Group entity: entity; jurisdiction; revenue; ebitda; assets; debt; guarantor (yes / no)</t>
        </is>
      </c>
      <c r="E755" s="2" t="n"/>
      <c r="F755" s="2" t="n"/>
      <c r="G755" s="2" t="n"/>
      <c r="H755" s="3" t="inlineStr">
        <is>
          <t>entity: Fastned Terra 2 B.V.; jurisdiction: NL; 100% owned; commercial operation of chargers</t>
        </is>
      </c>
      <c r="I755" s="2" t="inlineStr">
        <is>
          <t>S2</t>
        </is>
      </c>
      <c r="J755" s="2" t="n">
        <v>126</v>
      </c>
      <c r="K755" s="3" t="inlineStr">
        <is>
          <t>Fastned Terra 2 B.V. Commercial operation of chargers at charging stations Netherlands 100 100</t>
        </is>
      </c>
      <c r="L755" s="2" t="inlineStr">
        <is>
          <t>pend</t>
        </is>
      </c>
      <c r="M755" s="2" t="n"/>
      <c r="N755" s="2" t="n"/>
      <c r="O755" s="3" t="inlineStr">
        <is>
          <t>https://vanillabonds.com/dossier-data/pdf/fastned/fastned-2024-annual-report.pdf#page=126</t>
        </is>
      </c>
    </row>
    <row r="756">
      <c r="A756" s="2" t="inlineStr">
        <is>
          <t>F755</t>
        </is>
      </c>
      <c r="B756" s="2" t="inlineStr">
        <is>
          <t>governance</t>
        </is>
      </c>
      <c r="C756" s="2" t="inlineStr">
        <is>
          <t>group_entity</t>
        </is>
      </c>
      <c r="D756" s="3" t="inlineStr">
        <is>
          <t>Group entity: entity; jurisdiction; revenue; ebitda; assets; debt; guarantor (yes / no)</t>
        </is>
      </c>
      <c r="E756" s="2" t="n"/>
      <c r="F756" s="2" t="n"/>
      <c r="G756" s="2" t="n"/>
      <c r="H756" s="3" t="inlineStr">
        <is>
          <t>entity: Fastned Italia SRL (VAT 12443920967); jurisdiction: IT; 100% owned; construction and operation</t>
        </is>
      </c>
      <c r="I756" s="2" t="inlineStr">
        <is>
          <t>S2</t>
        </is>
      </c>
      <c r="J756" s="2" t="n">
        <v>126</v>
      </c>
      <c r="K756" s="3" t="inlineStr">
        <is>
          <t>Fastned Italia SRL Construction and operating charging stations Italy 100 100</t>
        </is>
      </c>
      <c r="L756" s="2" t="inlineStr">
        <is>
          <t>pend</t>
        </is>
      </c>
      <c r="M756" s="2" t="n"/>
      <c r="N756" s="2" t="n"/>
      <c r="O756" s="3" t="inlineStr">
        <is>
          <t>https://vanillabonds.com/dossier-data/pdf/fastned/fastned-2024-annual-report.pdf#page=126</t>
        </is>
      </c>
    </row>
    <row r="757">
      <c r="A757" s="2" t="inlineStr">
        <is>
          <t>F756</t>
        </is>
      </c>
      <c r="B757" s="2" t="inlineStr">
        <is>
          <t>governance</t>
        </is>
      </c>
      <c r="C757" s="2" t="inlineStr">
        <is>
          <t>group_entity</t>
        </is>
      </c>
      <c r="D757" s="3" t="inlineStr">
        <is>
          <t>Group entity: entity; jurisdiction; revenue; ebitda; assets; debt; guarantor (yes / no)</t>
        </is>
      </c>
      <c r="E757" s="2" t="n"/>
      <c r="F757" s="2" t="n"/>
      <c r="G757" s="2" t="n"/>
      <c r="H757" s="3" t="inlineStr">
        <is>
          <t>entity: Fastned France SPV 1; jurisdiction: FR; 100% owned; construction and operation</t>
        </is>
      </c>
      <c r="I757" s="2" t="inlineStr">
        <is>
          <t>S2</t>
        </is>
      </c>
      <c r="J757" s="2" t="n">
        <v>126</v>
      </c>
      <c r="K757" s="3" t="inlineStr">
        <is>
          <t>Fastned France SPV 1 Construction and operating charging stations France 100 100</t>
        </is>
      </c>
      <c r="L757" s="2" t="inlineStr">
        <is>
          <t>pend</t>
        </is>
      </c>
      <c r="M757" s="2" t="n"/>
      <c r="N757" s="2" t="n"/>
      <c r="O757" s="3" t="inlineStr">
        <is>
          <t>https://vanillabonds.com/dossier-data/pdf/fastned/fastned-2024-annual-report.pdf#page=126</t>
        </is>
      </c>
    </row>
    <row r="758">
      <c r="A758" s="2" t="inlineStr">
        <is>
          <t>F757</t>
        </is>
      </c>
      <c r="B758" s="2" t="inlineStr">
        <is>
          <t>governance</t>
        </is>
      </c>
      <c r="C758" s="2" t="inlineStr">
        <is>
          <t>group_entity</t>
        </is>
      </c>
      <c r="D758" s="3" t="inlineStr">
        <is>
          <t>Group entity: entity; jurisdiction; revenue; ebitda; assets; debt; guarantor (yes / no)</t>
        </is>
      </c>
      <c r="E758" s="2" t="n"/>
      <c r="F758" s="2" t="n"/>
      <c r="G758" s="2" t="n"/>
      <c r="H758" s="3" t="inlineStr">
        <is>
          <t>entity: Fastned España SL (NIF B13924253); jurisdiction: ES; 100% owned; construction and operation</t>
        </is>
      </c>
      <c r="I758" s="2" t="inlineStr">
        <is>
          <t>S2</t>
        </is>
      </c>
      <c r="J758" s="2" t="n">
        <v>126</v>
      </c>
      <c r="K758" s="3" t="inlineStr">
        <is>
          <t>Fastned España SL Construction and operating charging stations Spain 100 100</t>
        </is>
      </c>
      <c r="L758" s="2" t="inlineStr">
        <is>
          <t>pend</t>
        </is>
      </c>
      <c r="M758" s="2" t="n"/>
      <c r="N758" s="2" t="n"/>
      <c r="O758" s="3" t="inlineStr">
        <is>
          <t>https://vanillabonds.com/dossier-data/pdf/fastned/fastned-2024-annual-report.pdf#page=126</t>
        </is>
      </c>
    </row>
    <row r="759">
      <c r="A759" s="2" t="inlineStr">
        <is>
          <t>F758</t>
        </is>
      </c>
      <c r="B759" s="2" t="inlineStr">
        <is>
          <t>governance</t>
        </is>
      </c>
      <c r="C759" s="2" t="inlineStr">
        <is>
          <t>group_entity</t>
        </is>
      </c>
      <c r="D759" s="3" t="inlineStr">
        <is>
          <t>Group entity: entity; jurisdiction; revenue; ebitda; assets; debt; guarantor (yes / no)</t>
        </is>
      </c>
      <c r="E759" s="2" t="n"/>
      <c r="F759" s="2" t="n"/>
      <c r="G759" s="2" t="n"/>
      <c r="H759" s="3" t="inlineStr">
        <is>
          <t>entity: Fastned Denmark ApS; jurisdiction: DK; 100% owned; construction and operation</t>
        </is>
      </c>
      <c r="I759" s="2" t="inlineStr">
        <is>
          <t>S2</t>
        </is>
      </c>
      <c r="J759" s="2" t="n">
        <v>126</v>
      </c>
      <c r="K759" s="3" t="inlineStr">
        <is>
          <t>Fastned Denmark ApS Construction and operating charging stations Denmark 100 100</t>
        </is>
      </c>
      <c r="L759" s="2" t="inlineStr">
        <is>
          <t>pend</t>
        </is>
      </c>
      <c r="M759" s="2" t="n"/>
      <c r="N759" s="2" t="n"/>
      <c r="O759" s="3" t="inlineStr">
        <is>
          <t>https://vanillabonds.com/dossier-data/pdf/fastned/fastned-2024-annual-report.pdf#page=126</t>
        </is>
      </c>
    </row>
    <row r="760">
      <c r="A760" s="2" t="inlineStr">
        <is>
          <t>F759</t>
        </is>
      </c>
      <c r="B760" s="2" t="inlineStr">
        <is>
          <t>governance</t>
        </is>
      </c>
      <c r="C760" s="2" t="inlineStr">
        <is>
          <t>group_entity</t>
        </is>
      </c>
      <c r="D760" s="3" t="inlineStr">
        <is>
          <t>Group entity: entity; jurisdiction; revenue; ebitda; assets; debt; guarantor (yes / no)</t>
        </is>
      </c>
      <c r="E760" s="2" t="n"/>
      <c r="F760" s="2" t="n"/>
      <c r="G760" s="2" t="n"/>
      <c r="H760" s="3" t="inlineStr">
        <is>
          <t>entity: Fastned Terra 1 B.V.; jurisdiction: NL; 100% owned; commercial operation of chargers; 100% (2023: 91%)</t>
        </is>
      </c>
      <c r="I760" s="2" t="inlineStr">
        <is>
          <t>S2</t>
        </is>
      </c>
      <c r="J760" s="2" t="n">
        <v>126</v>
      </c>
      <c r="K760" s="3" t="inlineStr">
        <is>
          <t>Fastned Terra 1 B.V. Commercial operation of chargers at charging stations Netherlands 100 91</t>
        </is>
      </c>
      <c r="L760" s="2" t="inlineStr">
        <is>
          <t>pend</t>
        </is>
      </c>
      <c r="M760" s="2" t="n"/>
      <c r="N760" s="2" t="n"/>
      <c r="O760" s="3" t="inlineStr">
        <is>
          <t>https://vanillabonds.com/dossier-data/pdf/fastned/fastned-2024-annual-report.pdf#page=126</t>
        </is>
      </c>
    </row>
    <row r="761">
      <c r="A761" s="2" t="inlineStr">
        <is>
          <t>F760</t>
        </is>
      </c>
      <c r="B761" s="2" t="inlineStr">
        <is>
          <t>governance</t>
        </is>
      </c>
      <c r="C761" s="2" t="inlineStr">
        <is>
          <t>group_entity</t>
        </is>
      </c>
      <c r="D761" s="3" t="inlineStr">
        <is>
          <t>Group entity: entity; jurisdiction; revenue; ebitda; assets; debt; guarantor (yes / no)</t>
        </is>
      </c>
      <c r="E761" s="2" t="n"/>
      <c r="F761" s="2" t="n"/>
      <c r="G761" s="2" t="n"/>
      <c r="H761" s="3" t="inlineStr">
        <is>
          <t>entity: Fastned Austria GmbH; jurisdiction: AT; 100% owned; construction and operation; established 16 Feb 2024</t>
        </is>
      </c>
      <c r="I761" s="2" t="inlineStr">
        <is>
          <t>S2</t>
        </is>
      </c>
      <c r="J761" s="2" t="n">
        <v>126</v>
      </c>
      <c r="K761" s="3" t="inlineStr">
        <is>
          <t>Fastned Austria GmbH Construction and operating charging stations Austria 100</t>
        </is>
      </c>
      <c r="L761" s="2" t="inlineStr">
        <is>
          <t>pend</t>
        </is>
      </c>
      <c r="M761" s="2" t="n"/>
      <c r="N761" s="2" t="n"/>
      <c r="O761" s="3" t="inlineStr">
        <is>
          <t>https://vanillabonds.com/dossier-data/pdf/fastned/fastned-2024-annual-report.pdf#page=126</t>
        </is>
      </c>
    </row>
    <row r="762">
      <c r="A762" s="2" t="inlineStr">
        <is>
          <t>F761</t>
        </is>
      </c>
      <c r="B762" s="2" t="inlineStr">
        <is>
          <t>governance</t>
        </is>
      </c>
      <c r="C762" s="2" t="inlineStr">
        <is>
          <t>group_entity</t>
        </is>
      </c>
      <c r="D762" s="3" t="inlineStr">
        <is>
          <t>Group entity: entity; jurisdiction; revenue; ebitda; assets; debt; guarantor (yes / no)</t>
        </is>
      </c>
      <c r="E762" s="2" t="n"/>
      <c r="F762" s="2" t="n"/>
      <c r="G762" s="2" t="n"/>
      <c r="H762" s="3" t="inlineStr">
        <is>
          <t>entity: Fast Places Limited; jurisdiction: UK; 51% joint venture via Fastned UK, equity method, not consolidated</t>
        </is>
      </c>
      <c r="I762" s="2" t="inlineStr">
        <is>
          <t>S2</t>
        </is>
      </c>
      <c r="J762" s="2" t="n">
        <v>127</v>
      </c>
      <c r="K762" s="3" t="inlineStr">
        <is>
          <t>Fast Places Limited United Kingdom 51.0 —</t>
        </is>
      </c>
      <c r="L762" s="2" t="inlineStr">
        <is>
          <t>pend</t>
        </is>
      </c>
      <c r="M762" s="2" t="n"/>
      <c r="N762" s="2" t="n"/>
      <c r="O762" s="3" t="inlineStr">
        <is>
          <t>https://vanillabonds.com/dossier-data/pdf/fastned/fastned-2024-annual-report.pdf#page=127</t>
        </is>
      </c>
    </row>
    <row r="763">
      <c r="A763" s="2" t="inlineStr">
        <is>
          <t>F762</t>
        </is>
      </c>
      <c r="B763" s="2" t="inlineStr">
        <is>
          <t>governance</t>
        </is>
      </c>
      <c r="C763" s="2" t="inlineStr">
        <is>
          <t>board_member</t>
        </is>
      </c>
      <c r="D763" s="3" t="inlineStr">
        <is>
          <t>Board member: name; body (management / supervisory); role; since; independent (yes / no); committees</t>
        </is>
      </c>
      <c r="E763" s="2" t="n"/>
      <c r="F763" s="2" t="n"/>
      <c r="G763" s="2" t="n"/>
      <c r="H763" s="3" t="inlineStr">
        <is>
          <t>name: Liselotte Kooi; body: supervisory; role: Chair; since: 2023; independent: yes; committees: Audit Committee, Remuneration and Nomination Committee (all members sit on both); term ends 2027</t>
        </is>
      </c>
      <c r="I763" s="2" t="inlineStr">
        <is>
          <t>S2</t>
        </is>
      </c>
      <c r="J763" s="2" t="n">
        <v>89</v>
      </c>
      <c r="K763" s="3" t="inlineStr">
        <is>
          <t>Liselotte Kooi 1978 Chair 2023 2027 Dutch</t>
        </is>
      </c>
      <c r="L763" s="2" t="inlineStr">
        <is>
          <t>pend</t>
        </is>
      </c>
      <c r="M763" s="2" t="n"/>
      <c r="N763" s="2" t="n"/>
      <c r="O763" s="3" t="inlineStr">
        <is>
          <t>https://vanillabonds.com/dossier-data/pdf/fastned/fastned-2024-annual-report.pdf#page=89</t>
        </is>
      </c>
    </row>
    <row r="764">
      <c r="A764" s="2" t="inlineStr">
        <is>
          <t>F763</t>
        </is>
      </c>
      <c r="B764" s="2" t="inlineStr">
        <is>
          <t>governance</t>
        </is>
      </c>
      <c r="C764" s="2" t="inlineStr">
        <is>
          <t>board_member</t>
        </is>
      </c>
      <c r="D764" s="3" t="inlineStr">
        <is>
          <t>Board member: name; body (management / supervisory); role; since; independent (yes / no); committees</t>
        </is>
      </c>
      <c r="E764" s="2" t="n"/>
      <c r="F764" s="2" t="n"/>
      <c r="G764" s="2" t="n"/>
      <c r="H764" s="3" t="inlineStr">
        <is>
          <t>name: Bart Lubbers; body: supervisory; role: member, co-founder; since: 2019; independent: no; committees: Audit Committee, Remuneration and Nomination Committee; term ends 2027</t>
        </is>
      </c>
      <c r="I764" s="2" t="inlineStr">
        <is>
          <t>S2</t>
        </is>
      </c>
      <c r="J764" s="2" t="n">
        <v>89</v>
      </c>
      <c r="K764" s="2" t="inlineStr">
        <is>
          <t>Bart Lubbers 1965 Member 2019 2027 Dutch</t>
        </is>
      </c>
      <c r="L764" s="2" t="inlineStr">
        <is>
          <t>pend</t>
        </is>
      </c>
      <c r="M764" s="2" t="n"/>
      <c r="N764" s="2" t="n"/>
      <c r="O764" s="3" t="inlineStr">
        <is>
          <t>https://vanillabonds.com/dossier-data/pdf/fastned/fastned-2024-annual-report.pdf#page=89</t>
        </is>
      </c>
    </row>
    <row r="765">
      <c r="A765" s="2" t="inlineStr">
        <is>
          <t>F764</t>
        </is>
      </c>
      <c r="B765" s="2" t="inlineStr">
        <is>
          <t>governance</t>
        </is>
      </c>
      <c r="C765" s="2" t="inlineStr">
        <is>
          <t>board_member</t>
        </is>
      </c>
      <c r="D765" s="3" t="inlineStr">
        <is>
          <t>Board member: name; body (management / supervisory); role; since; independent (yes / no); committees</t>
        </is>
      </c>
      <c r="E765" s="2" t="n"/>
      <c r="F765" s="2" t="n"/>
      <c r="G765" s="2" t="n"/>
      <c r="H765" s="3" t="inlineStr">
        <is>
          <t>name: Jérôme Janssen; body: supervisory; role: member (Schroders Capital co-head infrastructure equity); since: 2022; independent: no; committees: Audit Committee, Remuneration and Nomination Committee; term ends 2026</t>
        </is>
      </c>
      <c r="I765" s="2" t="inlineStr">
        <is>
          <t>S2</t>
        </is>
      </c>
      <c r="J765" s="2" t="n">
        <v>89</v>
      </c>
      <c r="K765" s="3" t="inlineStr">
        <is>
          <t>Jérôme Janssen 1979 Member 2022 2026 French</t>
        </is>
      </c>
      <c r="L765" s="2" t="inlineStr">
        <is>
          <t>pend</t>
        </is>
      </c>
      <c r="M765" s="2" t="n"/>
      <c r="N765" s="2" t="n"/>
      <c r="O765" s="3" t="inlineStr">
        <is>
          <t>https://vanillabonds.com/dossier-data/pdf/fastned/fastned-2024-annual-report.pdf#page=89</t>
        </is>
      </c>
    </row>
    <row r="766">
      <c r="A766" s="2" t="inlineStr">
        <is>
          <t>F765</t>
        </is>
      </c>
      <c r="B766" s="2" t="inlineStr">
        <is>
          <t>governance</t>
        </is>
      </c>
      <c r="C766" s="2" t="inlineStr">
        <is>
          <t>board_member</t>
        </is>
      </c>
      <c r="D766" s="3" t="inlineStr">
        <is>
          <t>Board member: name; body (management / supervisory); role; since; independent (yes / no); committees</t>
        </is>
      </c>
      <c r="E766" s="2" t="n"/>
      <c r="F766" s="2" t="n"/>
      <c r="G766" s="2" t="n"/>
      <c r="H766" s="3" t="inlineStr">
        <is>
          <t>name: Nancy Kabalt; body: supervisory; role: member; since: 2021; independent: yes; committees: Audit Committee, Remuneration and Nomination Committee; term ends 2025</t>
        </is>
      </c>
      <c r="I766" s="2" t="inlineStr">
        <is>
          <t>S2</t>
        </is>
      </c>
      <c r="J766" s="2" t="n">
        <v>89</v>
      </c>
      <c r="K766" s="2" t="inlineStr">
        <is>
          <t>Nancy Kabalt 1974 Member 2021 2025 Dutch</t>
        </is>
      </c>
      <c r="L766" s="2" t="inlineStr">
        <is>
          <t>pend</t>
        </is>
      </c>
      <c r="M766" s="2" t="n"/>
      <c r="N766" s="2" t="n"/>
      <c r="O766" s="3" t="inlineStr">
        <is>
          <t>https://vanillabonds.com/dossier-data/pdf/fastned/fastned-2024-annual-report.pdf#page=89</t>
        </is>
      </c>
    </row>
    <row r="767">
      <c r="A767" s="2" t="inlineStr">
        <is>
          <t>F766</t>
        </is>
      </c>
      <c r="B767" s="2" t="inlineStr">
        <is>
          <t>governance</t>
        </is>
      </c>
      <c r="C767" s="2" t="inlineStr">
        <is>
          <t>board_member</t>
        </is>
      </c>
      <c r="D767" s="3" t="inlineStr">
        <is>
          <t>Board member: name; body (management / supervisory); role; since; independent (yes / no); committees</t>
        </is>
      </c>
      <c r="E767" s="2" t="n"/>
      <c r="F767" s="2" t="n"/>
      <c r="G767" s="2" t="n"/>
      <c r="H767" s="3" t="inlineStr">
        <is>
          <t>name: Maaike Veen; body: FAST Foundation board (trust office holding all shares); role: Chair; since: 2021; term ends 2025</t>
        </is>
      </c>
      <c r="I767" s="2" t="inlineStr">
        <is>
          <t>S2</t>
        </is>
      </c>
      <c r="J767" s="2" t="n">
        <v>91</v>
      </c>
      <c r="K767" s="2" t="inlineStr">
        <is>
          <t>Maaike Veen 1971 Chair 2021 2025 Dutch</t>
        </is>
      </c>
      <c r="L767" s="2" t="inlineStr">
        <is>
          <t>pend</t>
        </is>
      </c>
      <c r="M767" s="2" t="n"/>
      <c r="N767" s="2" t="n"/>
      <c r="O767" s="3" t="inlineStr">
        <is>
          <t>https://vanillabonds.com/dossier-data/pdf/fastned/fastned-2024-annual-report.pdf#page=91</t>
        </is>
      </c>
    </row>
    <row r="768">
      <c r="A768" s="2" t="inlineStr">
        <is>
          <t>F767</t>
        </is>
      </c>
      <c r="B768" s="2" t="inlineStr">
        <is>
          <t>governance</t>
        </is>
      </c>
      <c r="C768" s="2" t="inlineStr">
        <is>
          <t>board_member</t>
        </is>
      </c>
      <c r="D768" s="3" t="inlineStr">
        <is>
          <t>Board member: name; body (management / supervisory); role; since; independent (yes / no); committees</t>
        </is>
      </c>
      <c r="E768" s="2" t="n"/>
      <c r="F768" s="2" t="n"/>
      <c r="G768" s="2" t="n"/>
      <c r="H768" s="3" t="inlineStr">
        <is>
          <t>name: Henk Pals; body: FAST Foundation board; role: member (secretary); since: 2019; term ends 2027</t>
        </is>
      </c>
      <c r="I768" s="2" t="inlineStr">
        <is>
          <t>S2</t>
        </is>
      </c>
      <c r="J768" s="2" t="n">
        <v>91</v>
      </c>
      <c r="K768" s="2" t="inlineStr">
        <is>
          <t>Henk Pals 1959 Member 2019 2027 Dutch</t>
        </is>
      </c>
      <c r="L768" s="2" t="inlineStr">
        <is>
          <t>pend</t>
        </is>
      </c>
      <c r="M768" s="2" t="n"/>
      <c r="N768" s="2" t="n"/>
      <c r="O768" s="3" t="inlineStr">
        <is>
          <t>https://vanillabonds.com/dossier-data/pdf/fastned/fastned-2024-annual-report.pdf#page=91</t>
        </is>
      </c>
    </row>
    <row r="769">
      <c r="A769" s="2" t="inlineStr">
        <is>
          <t>F768</t>
        </is>
      </c>
      <c r="B769" s="2" t="inlineStr">
        <is>
          <t>governance</t>
        </is>
      </c>
      <c r="C769" s="2" t="inlineStr">
        <is>
          <t>board_member</t>
        </is>
      </c>
      <c r="D769" s="3" t="inlineStr">
        <is>
          <t>Board member: name; body (management / supervisory); role; since; independent (yes / no); committees</t>
        </is>
      </c>
      <c r="E769" s="2" t="n"/>
      <c r="F769" s="2" t="n"/>
      <c r="G769" s="2" t="n"/>
      <c r="H769" s="3" t="inlineStr">
        <is>
          <t>name: Michiel Weghs; body: FAST Foundation board; role: member; since: 2023; term ends 2027</t>
        </is>
      </c>
      <c r="I769" s="2" t="inlineStr">
        <is>
          <t>S2</t>
        </is>
      </c>
      <c r="J769" s="2" t="n">
        <v>91</v>
      </c>
      <c r="K769" s="3" t="inlineStr">
        <is>
          <t>Michiel Weghs 1983 Member 2023 2027 Dutch</t>
        </is>
      </c>
      <c r="L769" s="2" t="inlineStr">
        <is>
          <t>pend</t>
        </is>
      </c>
      <c r="M769" s="2" t="n"/>
      <c r="N769" s="2" t="n"/>
      <c r="O769" s="3" t="inlineStr">
        <is>
          <t>https://vanillabonds.com/dossier-data/pdf/fastned/fastned-2024-annual-report.pdf#page=91</t>
        </is>
      </c>
    </row>
    <row r="770">
      <c r="A770" s="2" t="inlineStr">
        <is>
          <t>F769</t>
        </is>
      </c>
      <c r="B770" s="2" t="inlineStr">
        <is>
          <t>governance</t>
        </is>
      </c>
      <c r="C770" s="2" t="inlineStr">
        <is>
          <t>board_member</t>
        </is>
      </c>
      <c r="D770" s="3" t="inlineStr">
        <is>
          <t>Board member: name; body (management / supervisory); role; since; independent (yes / no); committees</t>
        </is>
      </c>
      <c r="E770" s="2" t="n"/>
      <c r="F770" s="2" t="n"/>
      <c r="G770" s="2" t="n"/>
      <c r="H770" s="3" t="inlineStr">
        <is>
          <t>name: Michiel Langezaal; body: management; role: CEO, Chair of the Management Board, co-founder; since: 2012</t>
        </is>
      </c>
      <c r="I770" s="2" t="inlineStr">
        <is>
          <t>S2</t>
        </is>
      </c>
      <c r="J770" s="2" t="n">
        <v>93</v>
      </c>
      <c r="K770" s="3" t="inlineStr">
        <is>
          <t>Michiel Langezaal 1981 Chief Executive Officer 2012 Dutch</t>
        </is>
      </c>
      <c r="L770" s="2" t="inlineStr">
        <is>
          <t>pend</t>
        </is>
      </c>
      <c r="M770" s="2" t="n"/>
      <c r="N770" s="2" t="n"/>
      <c r="O770" s="3" t="inlineStr">
        <is>
          <t>https://vanillabonds.com/dossier-data/pdf/fastned/fastned-2024-annual-report.pdf#page=93</t>
        </is>
      </c>
    </row>
    <row r="771">
      <c r="A771" s="2" t="inlineStr">
        <is>
          <t>F770</t>
        </is>
      </c>
      <c r="B771" s="2" t="inlineStr">
        <is>
          <t>governance</t>
        </is>
      </c>
      <c r="C771" s="2" t="inlineStr">
        <is>
          <t>board_member</t>
        </is>
      </c>
      <c r="D771" s="3" t="inlineStr">
        <is>
          <t>Board member: name; body (management / supervisory); role; since; independent (yes / no); committees</t>
        </is>
      </c>
      <c r="E771" s="2" t="n"/>
      <c r="F771" s="2" t="n"/>
      <c r="G771" s="2" t="n"/>
      <c r="H771" s="3" t="inlineStr">
        <is>
          <t>name: Victor van Dijk; body: management; role: CFO; since: 2019</t>
        </is>
      </c>
      <c r="I771" s="2" t="inlineStr">
        <is>
          <t>S2</t>
        </is>
      </c>
      <c r="J771" s="2" t="n">
        <v>93</v>
      </c>
      <c r="K771" s="3" t="inlineStr">
        <is>
          <t>Victor van Dijk 1979 Chief Financial Officer 2019 Dutch</t>
        </is>
      </c>
      <c r="L771" s="2" t="inlineStr">
        <is>
          <t>pend</t>
        </is>
      </c>
      <c r="M771" s="2" t="n"/>
      <c r="N771" s="2" t="n"/>
      <c r="O771" s="3" t="inlineStr">
        <is>
          <t>https://vanillabonds.com/dossier-data/pdf/fastned/fastned-2024-annual-report.pdf#page=93</t>
        </is>
      </c>
    </row>
    <row r="772">
      <c r="A772" s="2" t="inlineStr">
        <is>
          <t>F771</t>
        </is>
      </c>
      <c r="B772" s="2" t="inlineStr">
        <is>
          <t>governance</t>
        </is>
      </c>
      <c r="C772" s="2" t="inlineStr">
        <is>
          <t>board_member</t>
        </is>
      </c>
      <c r="D772" s="3" t="inlineStr">
        <is>
          <t>Board member: name; body (management / supervisory); role; since; independent (yes / no); committees</t>
        </is>
      </c>
      <c r="E772" s="2" t="n"/>
      <c r="F772" s="2" t="n"/>
      <c r="G772" s="2" t="n"/>
      <c r="H772" s="3" t="inlineStr">
        <is>
          <t>name: Françoise Poggi; body: management; role: COO; since: 2024</t>
        </is>
      </c>
      <c r="I772" s="2" t="inlineStr">
        <is>
          <t>S2</t>
        </is>
      </c>
      <c r="J772" s="2" t="n">
        <v>93</v>
      </c>
      <c r="K772" s="3" t="inlineStr">
        <is>
          <t>Françoise Poggi 1973 Chief Operating Officer 2024 French</t>
        </is>
      </c>
      <c r="L772" s="2" t="inlineStr">
        <is>
          <t>pend</t>
        </is>
      </c>
      <c r="M772" s="2" t="n"/>
      <c r="N772" s="2" t="n"/>
      <c r="O772" s="3" t="inlineStr">
        <is>
          <t>https://vanillabonds.com/dossier-data/pdf/fastned/fastned-2024-annual-report.pdf#page=93</t>
        </is>
      </c>
    </row>
    <row r="773">
      <c r="A773" s="2" t="inlineStr">
        <is>
          <t>F772</t>
        </is>
      </c>
      <c r="B773" s="2" t="inlineStr">
        <is>
          <t>governance</t>
        </is>
      </c>
      <c r="C773" s="2" t="inlineStr">
        <is>
          <t>board_member</t>
        </is>
      </c>
      <c r="D773" s="3" t="inlineStr">
        <is>
          <t>Board member: name; body (management / supervisory); role; since; independent (yes / no); committees</t>
        </is>
      </c>
      <c r="E773" s="2" t="n"/>
      <c r="F773" s="2" t="n"/>
      <c r="G773" s="2" t="n"/>
      <c r="H773" s="3" t="inlineStr">
        <is>
          <t>name: Bart Lubbers; body: supervisory; role: member; holds 36.7% via Wilhelmina-Dok B.V. and 33% of Breesaap B.V. (5.8%)</t>
        </is>
      </c>
      <c r="I773" s="2" t="inlineStr">
        <is>
          <t>S2</t>
        </is>
      </c>
      <c r="J773" s="2" t="n">
        <v>127</v>
      </c>
      <c r="K773" s="3" t="inlineStr">
        <is>
          <t>consists of Liselotte Kooi (chair), Bart Lubbers, Jérôme Janssen and Nancy Kabalt.</t>
        </is>
      </c>
      <c r="L773" s="2" t="inlineStr">
        <is>
          <t>pend</t>
        </is>
      </c>
      <c r="M773" s="2" t="n"/>
      <c r="N773" s="2" t="n"/>
      <c r="O773" s="3" t="inlineStr">
        <is>
          <t>https://vanillabonds.com/dossier-data/pdf/fastned/fastned-2024-annual-report.pdf#page=127</t>
        </is>
      </c>
    </row>
    <row r="774">
      <c r="A774" s="2" t="inlineStr">
        <is>
          <t>F773</t>
        </is>
      </c>
      <c r="B774" s="2" t="inlineStr">
        <is>
          <t>governance</t>
        </is>
      </c>
      <c r="C774" s="2" t="inlineStr">
        <is>
          <t>board_member</t>
        </is>
      </c>
      <c r="D774" s="3" t="inlineStr">
        <is>
          <t>Board member: name; body (management / supervisory); role; since; independent (yes / no); committees</t>
        </is>
      </c>
      <c r="E774" s="2" t="n"/>
      <c r="F774" s="2" t="n"/>
      <c r="G774" s="2" t="n"/>
      <c r="H774" s="3" t="inlineStr">
        <is>
          <t>name: Nancy Kabalt; body: supervisory; role: member</t>
        </is>
      </c>
      <c r="I774" s="2" t="inlineStr">
        <is>
          <t>S2</t>
        </is>
      </c>
      <c r="J774" s="2" t="n">
        <v>127</v>
      </c>
      <c r="K774" s="3" t="inlineStr">
        <is>
          <t>consists of Liselotte Kooi (chair), Bart Lubbers, Jérôme Janssen and Nancy Kabalt.</t>
        </is>
      </c>
      <c r="L774" s="2" t="inlineStr">
        <is>
          <t>pend</t>
        </is>
      </c>
      <c r="M774" s="2" t="n"/>
      <c r="N774" s="2" t="n"/>
      <c r="O774" s="3" t="inlineStr">
        <is>
          <t>https://vanillabonds.com/dossier-data/pdf/fastned/fastned-2024-annual-report.pdf#page=127</t>
        </is>
      </c>
    </row>
    <row r="775">
      <c r="A775" s="2" t="inlineStr">
        <is>
          <t>F774</t>
        </is>
      </c>
      <c r="B775" s="2" t="inlineStr">
        <is>
          <t>governance</t>
        </is>
      </c>
      <c r="C775" s="2" t="inlineStr">
        <is>
          <t>board_member</t>
        </is>
      </c>
      <c r="D775" s="3" t="inlineStr">
        <is>
          <t>Board member: name; body (management / supervisory); role; since; independent (yes / no); committees</t>
        </is>
      </c>
      <c r="E775" s="2" t="n"/>
      <c r="F775" s="2" t="n"/>
      <c r="G775" s="2" t="n"/>
      <c r="H775" s="3" t="inlineStr">
        <is>
          <t>name: Francoise Poggi; body: management; role: COO; since: 2024-11-29</t>
        </is>
      </c>
      <c r="I775" s="2" t="inlineStr">
        <is>
          <t>S2</t>
        </is>
      </c>
      <c r="J775" s="2" t="n">
        <v>164</v>
      </c>
      <c r="K775" s="3" t="inlineStr">
        <is>
          <t>* Françoise Poggi was appointed as Group Chief Operating Officer on 29 November 2024.</t>
        </is>
      </c>
      <c r="L775" s="2" t="inlineStr">
        <is>
          <t>pend</t>
        </is>
      </c>
      <c r="M775" s="2" t="n"/>
      <c r="N775" s="2" t="n"/>
      <c r="O775" s="3" t="inlineStr">
        <is>
          <t>https://vanillabonds.com/dossier-data/pdf/fastned/fastned-2024-annual-report.pdf#page=164</t>
        </is>
      </c>
    </row>
    <row r="776">
      <c r="A776" s="2" t="inlineStr">
        <is>
          <t>F775</t>
        </is>
      </c>
      <c r="B776" s="2" t="inlineStr">
        <is>
          <t>governance</t>
        </is>
      </c>
      <c r="C776" s="2" t="inlineStr">
        <is>
          <t>board_member</t>
        </is>
      </c>
      <c r="D776" s="3" t="inlineStr">
        <is>
          <t>Board member: name; body (management / supervisory); role; since; independent (yes / no); committees</t>
        </is>
      </c>
      <c r="E776" s="2" t="n"/>
      <c r="F776" s="2" t="n"/>
      <c r="G776" s="2" t="n"/>
      <c r="H776" s="3" t="inlineStr">
        <is>
          <t>name: Maaike Veen; body: FAST Board (Fastned Administratie Stichting); role: member; fee EUR 17k 2024</t>
        </is>
      </c>
      <c r="I776" s="2" t="inlineStr">
        <is>
          <t>S2</t>
        </is>
      </c>
      <c r="J776" s="2" t="n">
        <v>165</v>
      </c>
      <c r="K776" s="2" t="inlineStr">
        <is>
          <t>Maaike Veen 17 16</t>
        </is>
      </c>
      <c r="L776" s="2" t="inlineStr">
        <is>
          <t>pend</t>
        </is>
      </c>
      <c r="M776" s="2" t="n"/>
      <c r="N776" s="2" t="n"/>
      <c r="O776" s="3" t="inlineStr">
        <is>
          <t>https://vanillabonds.com/dossier-data/pdf/fastned/fastned-2024-annual-report.pdf#page=165</t>
        </is>
      </c>
    </row>
    <row r="777">
      <c r="A777" s="2" t="inlineStr">
        <is>
          <t>F776</t>
        </is>
      </c>
      <c r="B777" s="2" t="inlineStr">
        <is>
          <t>governance</t>
        </is>
      </c>
      <c r="C777" s="2" t="inlineStr">
        <is>
          <t>board_member</t>
        </is>
      </c>
      <c r="D777" s="3" t="inlineStr">
        <is>
          <t>Board member: name; body (management / supervisory); role; since; independent (yes / no); committees</t>
        </is>
      </c>
      <c r="E777" s="2" t="n"/>
      <c r="F777" s="2" t="n"/>
      <c r="G777" s="2" t="n"/>
      <c r="H777" s="3" t="inlineStr">
        <is>
          <t>name: Henk Pals; body: FAST Board; role: member; fee EUR 11k 2024</t>
        </is>
      </c>
      <c r="I777" s="2" t="inlineStr">
        <is>
          <t>S2</t>
        </is>
      </c>
      <c r="J777" s="2" t="n">
        <v>165</v>
      </c>
      <c r="K777" s="2" t="inlineStr">
        <is>
          <t>Henk Pals 11 11</t>
        </is>
      </c>
      <c r="L777" s="2" t="inlineStr">
        <is>
          <t>pend</t>
        </is>
      </c>
      <c r="M777" s="2" t="n"/>
      <c r="N777" s="2" t="n"/>
      <c r="O777" s="3" t="inlineStr">
        <is>
          <t>https://vanillabonds.com/dossier-data/pdf/fastned/fastned-2024-annual-report.pdf#page=165</t>
        </is>
      </c>
    </row>
    <row r="778">
      <c r="A778" s="2" t="inlineStr">
        <is>
          <t>F777</t>
        </is>
      </c>
      <c r="B778" s="2" t="inlineStr">
        <is>
          <t>governance</t>
        </is>
      </c>
      <c r="C778" s="2" t="inlineStr">
        <is>
          <t>board_member</t>
        </is>
      </c>
      <c r="D778" s="3" t="inlineStr">
        <is>
          <t>Board member: name; body (management / supervisory); role; since; independent (yes / no); committees</t>
        </is>
      </c>
      <c r="E778" s="2" t="n"/>
      <c r="F778" s="2" t="n"/>
      <c r="G778" s="2" t="n"/>
      <c r="H778" s="3" t="inlineStr">
        <is>
          <t>name: Michiel Weghs; body: FAST Board; role: member; fee EUR 11k 2024 (2023: 6k)</t>
        </is>
      </c>
      <c r="I778" s="2" t="inlineStr">
        <is>
          <t>S2</t>
        </is>
      </c>
      <c r="J778" s="2" t="n">
        <v>165</v>
      </c>
      <c r="K778" s="2" t="inlineStr">
        <is>
          <t>Michiel Weghs 11 6</t>
        </is>
      </c>
      <c r="L778" s="2" t="inlineStr">
        <is>
          <t>pend</t>
        </is>
      </c>
      <c r="M778" s="2" t="n"/>
      <c r="N778" s="2" t="n"/>
      <c r="O778" s="3" t="inlineStr">
        <is>
          <t>https://vanillabonds.com/dossier-data/pdf/fastned/fastned-2024-annual-report.pdf#page=165</t>
        </is>
      </c>
    </row>
    <row r="779">
      <c r="A779" s="2" t="inlineStr">
        <is>
          <t>F778</t>
        </is>
      </c>
      <c r="B779" s="2" t="inlineStr">
        <is>
          <t>governance</t>
        </is>
      </c>
      <c r="C779" s="2" t="inlineStr">
        <is>
          <t>board_member</t>
        </is>
      </c>
      <c r="D779" s="3" t="inlineStr">
        <is>
          <t>Board member: name; body (management / supervisory); role; since; independent (yes / no); committees</t>
        </is>
      </c>
      <c r="E779" s="2" t="n"/>
      <c r="F779" s="2" t="n"/>
      <c r="G779" s="2" t="n"/>
      <c r="H779" s="3" t="inlineStr">
        <is>
          <t>name: Liselotte Kooi; body: supervisory; role: chair; since: 2023-06-08 as chair (moved from FAST Board to Supervisory Board in 2023)</t>
        </is>
      </c>
      <c r="I779" s="2" t="inlineStr">
        <is>
          <t>S2</t>
        </is>
      </c>
      <c r="J779" s="2" t="n">
        <v>166</v>
      </c>
      <c r="K779" s="3" t="inlineStr">
        <is>
          <t>Liselotte Kooi was appointed chair of the Supervisory Board at the same date.</t>
        </is>
      </c>
      <c r="L779" s="2" t="inlineStr">
        <is>
          <t>pend</t>
        </is>
      </c>
      <c r="M779" s="2" t="n"/>
      <c r="N779" s="2" t="n"/>
      <c r="O779" s="3" t="inlineStr">
        <is>
          <t>https://vanillabonds.com/dossier-data/pdf/fastned/fastned-2024-annual-report.pdf#page=166</t>
        </is>
      </c>
    </row>
    <row r="780">
      <c r="A780" s="2" t="inlineStr">
        <is>
          <t>F779</t>
        </is>
      </c>
      <c r="B780" s="2" t="inlineStr">
        <is>
          <t>governance</t>
        </is>
      </c>
      <c r="C780" s="2" t="inlineStr">
        <is>
          <t>board_member</t>
        </is>
      </c>
      <c r="D780" s="3" t="inlineStr">
        <is>
          <t>Board member: name; body (management / supervisory); role; since; independent (yes / no); committees</t>
        </is>
      </c>
      <c r="E780" s="2" t="n"/>
      <c r="F780" s="2" t="n"/>
      <c r="G780" s="2" t="n"/>
      <c r="H780" s="3" t="inlineStr">
        <is>
          <t>name: Jerome Janssen; body: supervisory; role: member; since: 2022; receives no remuneration, travel expenses up to EUR 7.5k</t>
        </is>
      </c>
      <c r="I780" s="2" t="inlineStr">
        <is>
          <t>S2</t>
        </is>
      </c>
      <c r="J780" s="2" t="n">
        <v>166</v>
      </c>
      <c r="K780" s="3" t="inlineStr">
        <is>
          <t>In 2022, Jérôme Janssen was appointed member of the Supervisory Board. He</t>
        </is>
      </c>
      <c r="L780" s="2" t="inlineStr">
        <is>
          <t>pend</t>
        </is>
      </c>
      <c r="M780" s="2" t="n"/>
      <c r="N780" s="2" t="n"/>
      <c r="O780" s="3" t="inlineStr">
        <is>
          <t>https://vanillabonds.com/dossier-data/pdf/fastned/fastned-2024-annual-report.pdf#page=166</t>
        </is>
      </c>
    </row>
    <row r="781">
      <c r="A781" s="2" t="inlineStr">
        <is>
          <t>F780</t>
        </is>
      </c>
      <c r="B781" s="2" t="inlineStr">
        <is>
          <t>governance</t>
        </is>
      </c>
      <c r="C781" s="2" t="inlineStr">
        <is>
          <t>board_member</t>
        </is>
      </c>
      <c r="D781" s="3" t="inlineStr">
        <is>
          <t>Board member: name; body (management / supervisory); role; since; independent (yes / no); committees</t>
        </is>
      </c>
      <c r="E781" s="2" t="n"/>
      <c r="F781" s="2" t="n"/>
      <c r="G781" s="2" t="n"/>
      <c r="H781" s="3" t="inlineStr">
        <is>
          <t>name: Michiel Langezaal; body: management; role: CEO; holds 21.3% via Carraig Aonair Holding B.V.</t>
        </is>
      </c>
      <c r="I781" s="2" t="inlineStr">
        <is>
          <t>S2</t>
        </is>
      </c>
      <c r="J781" s="2" t="n">
        <v>185</v>
      </c>
      <c r="K781" s="3" t="inlineStr">
        <is>
          <t>Management Board Michiel Langezaal Victor van Dijk Françoise Poggi CEO CFO COO</t>
        </is>
      </c>
      <c r="L781" s="2" t="inlineStr">
        <is>
          <t>pend</t>
        </is>
      </c>
      <c r="M781" s="2" t="n"/>
      <c r="N781" s="2" t="n"/>
      <c r="O781" s="3" t="inlineStr">
        <is>
          <t>https://vanillabonds.com/dossier-data/pdf/fastned/fastned-2024-annual-report.pdf#page=185</t>
        </is>
      </c>
    </row>
    <row r="782">
      <c r="A782" s="2" t="inlineStr">
        <is>
          <t>F781</t>
        </is>
      </c>
      <c r="B782" s="2" t="inlineStr">
        <is>
          <t>governance</t>
        </is>
      </c>
      <c r="C782" s="2" t="inlineStr">
        <is>
          <t>board_member</t>
        </is>
      </c>
      <c r="D782" s="3" t="inlineStr">
        <is>
          <t>Board member: name; body (management / supervisory); role; since; independent (yes / no); committees</t>
        </is>
      </c>
      <c r="E782" s="2" t="n"/>
      <c r="F782" s="2" t="n"/>
      <c r="G782" s="2" t="n"/>
      <c r="H782" s="3" t="inlineStr">
        <is>
          <t>name: Victor van Dijk; body: management; role: CFO; holds 14,105 options</t>
        </is>
      </c>
      <c r="I782" s="2" t="inlineStr">
        <is>
          <t>S2</t>
        </is>
      </c>
      <c r="J782" s="2" t="n">
        <v>185</v>
      </c>
      <c r="K782" s="3" t="inlineStr">
        <is>
          <t>Management Board Michiel Langezaal Victor van Dijk Françoise Poggi CEO CFO COO</t>
        </is>
      </c>
      <c r="L782" s="2" t="inlineStr">
        <is>
          <t>pend</t>
        </is>
      </c>
      <c r="M782" s="2" t="n"/>
      <c r="N782" s="2" t="n"/>
      <c r="O782" s="3" t="inlineStr">
        <is>
          <t>https://vanillabonds.com/dossier-data/pdf/fastned/fastned-2024-annual-report.pdf#page=185</t>
        </is>
      </c>
    </row>
    <row r="783">
      <c r="A783" s="2" t="inlineStr">
        <is>
          <t>F782</t>
        </is>
      </c>
      <c r="B783" s="2" t="inlineStr">
        <is>
          <t>governance</t>
        </is>
      </c>
      <c r="C783" s="2" t="inlineStr">
        <is>
          <t>related_party_flow</t>
        </is>
      </c>
      <c r="D783" s="3" t="inlineStr">
        <is>
          <t>Related-party flow: counterparty; kind (fee, rent, dividend, buyback, loan); amount; year; terms</t>
        </is>
      </c>
      <c r="E783" s="2" t="n"/>
      <c r="F783" s="2" t="n"/>
      <c r="G783" s="2" t="n"/>
      <c r="H783" s="3" t="inlineStr">
        <is>
          <t>counterparty: Fast Places Limited (51% joint venture); kind: fee for operational services (accounting, planning, design, operations); year: 2024; terms: reimbursable basis</t>
        </is>
      </c>
      <c r="I783" s="2" t="inlineStr">
        <is>
          <t>S2</t>
        </is>
      </c>
      <c r="J783" s="2" t="n">
        <v>127</v>
      </c>
      <c r="K783" s="3" t="inlineStr">
        <is>
          <t>Fastned UK will provide operational services, such as accounting, planning, design, and operations, to Fast Places Limited on a reimbursable basis.</t>
        </is>
      </c>
      <c r="L783" s="2" t="inlineStr">
        <is>
          <t>pend</t>
        </is>
      </c>
      <c r="M783" s="2" t="n"/>
      <c r="N783" s="2" t="n"/>
      <c r="O783" s="3" t="inlineStr">
        <is>
          <t>https://vanillabonds.com/dossier-data/pdf/fastned/fastned-2024-annual-report.pdf#page=127</t>
        </is>
      </c>
    </row>
    <row r="784">
      <c r="A784" s="2" t="inlineStr">
        <is>
          <t>F783</t>
        </is>
      </c>
      <c r="B784" s="2" t="inlineStr">
        <is>
          <t>governance</t>
        </is>
      </c>
      <c r="C784" s="2" t="inlineStr">
        <is>
          <t>related_party_flow</t>
        </is>
      </c>
      <c r="D784" s="3" t="inlineStr">
        <is>
          <t>Related-party flow: counterparty; kind (fee, rent, dividend, buyback, loan); amount; year; terms</t>
        </is>
      </c>
      <c r="E784" s="2" t="n"/>
      <c r="F784" s="2" t="n"/>
      <c r="G784" s="2" t="n"/>
      <c r="H784" s="3" t="inlineStr">
        <is>
          <t>counterparty: family members of key management personnel (Founders Club members); kind: free charging; amount: 434 kWh (2023: 614 kWh); year: 2024</t>
        </is>
      </c>
      <c r="I784" s="2" t="inlineStr">
        <is>
          <t>S2</t>
        </is>
      </c>
      <c r="J784" s="2" t="n">
        <v>166</v>
      </c>
      <c r="K784" s="3" t="inlineStr">
        <is>
          <t>Founders Cub. In 2024, a total of 434 kWh (2023: 614 kWh) were charged for free</t>
        </is>
      </c>
      <c r="L784" s="2" t="inlineStr">
        <is>
          <t>pend</t>
        </is>
      </c>
      <c r="M784" s="2" t="n"/>
      <c r="N784" s="2" t="n"/>
      <c r="O784" s="3" t="inlineStr">
        <is>
          <t>https://vanillabonds.com/dossier-data/pdf/fastned/fastned-2024-annual-report.pdf#page=166</t>
        </is>
      </c>
    </row>
    <row r="785">
      <c r="A785" s="2" t="inlineStr">
        <is>
          <t>F784</t>
        </is>
      </c>
      <c r="B785" s="2" t="inlineStr">
        <is>
          <t>governance</t>
        </is>
      </c>
      <c r="C785" s="2" t="inlineStr">
        <is>
          <t>related_party_flow</t>
        </is>
      </c>
      <c r="D785" s="3" t="inlineStr">
        <is>
          <t>Related-party flow: counterparty; kind (fee, rent, dividend, buyback, loan); amount; year; terms</t>
        </is>
      </c>
      <c r="E785" s="2" t="n"/>
      <c r="F785" s="2" t="n">
        <v>9.5</v>
      </c>
      <c r="G785" s="2" t="n"/>
      <c r="H785" s="3" t="inlineStr">
        <is>
          <t>counterparty: subsidiaries (intercompany); kind: interest income on intercompany loans at parent; amount: 9.5 (2023: 6.1); year: 2024</t>
        </is>
      </c>
      <c r="I785" s="2" t="inlineStr">
        <is>
          <t>S2</t>
        </is>
      </c>
      <c r="J785" s="2" t="n">
        <v>173</v>
      </c>
      <c r="K785" s="2" t="inlineStr">
        <is>
          <t>Intercompany 9,495 6,095</t>
        </is>
      </c>
      <c r="L785" s="2" t="inlineStr">
        <is>
          <t>pend</t>
        </is>
      </c>
      <c r="M785" s="2" t="n"/>
      <c r="N785" s="2" t="n"/>
      <c r="O785" s="3" t="inlineStr">
        <is>
          <t>https://vanillabonds.com/dossier-data/pdf/fastned/fastned-2024-annual-report.pdf#page=173</t>
        </is>
      </c>
    </row>
    <row r="786">
      <c r="A786" s="2" t="inlineStr">
        <is>
          <t>F785</t>
        </is>
      </c>
      <c r="B786" s="2" t="inlineStr">
        <is>
          <t>governance</t>
        </is>
      </c>
      <c r="C786" s="2" t="inlineStr">
        <is>
          <t>related_party_flow</t>
        </is>
      </c>
      <c r="D786" s="3" t="inlineStr">
        <is>
          <t>Related-party flow: counterparty; kind (fee, rent, dividend, buyback, loan); amount; year; terms</t>
        </is>
      </c>
      <c r="E786" s="2" t="n"/>
      <c r="F786" s="2" t="n">
        <v>1.9</v>
      </c>
      <c r="G786" s="2" t="n"/>
      <c r="H786" s="3" t="inlineStr">
        <is>
          <t>counterparty: The Fast Charging Network B.V. (100% subsidiary); kind: dividend to parent Fastned B.V.; amount: 1.9; year: 2024</t>
        </is>
      </c>
      <c r="I786" s="2" t="inlineStr">
        <is>
          <t>S2</t>
        </is>
      </c>
      <c r="J786" s="2" t="n">
        <v>178</v>
      </c>
      <c r="K786" s="3" t="inlineStr">
        <is>
          <t>The Fast Charging Network B.V. 2,894 — (1,900) — 571 — 1,565</t>
        </is>
      </c>
      <c r="L786" s="2" t="inlineStr">
        <is>
          <t>pend</t>
        </is>
      </c>
      <c r="M786" s="2" t="n"/>
      <c r="N786" s="2" t="n"/>
      <c r="O786" s="3" t="inlineStr">
        <is>
          <t>https://vanillabonds.com/dossier-data/pdf/fastned/fastned-2024-annual-report.pdf#page=178</t>
        </is>
      </c>
    </row>
    <row r="787">
      <c r="A787" s="2" t="inlineStr">
        <is>
          <t>F786</t>
        </is>
      </c>
      <c r="B787" s="2" t="inlineStr">
        <is>
          <t>governance</t>
        </is>
      </c>
      <c r="C787" s="2" t="inlineStr">
        <is>
          <t>related_party_flow</t>
        </is>
      </c>
      <c r="D787" s="3" t="inlineStr">
        <is>
          <t>Related-party flow: counterparty; kind (fee, rent, dividend, buyback, loan); amount; year; terms</t>
        </is>
      </c>
      <c r="E787" s="2" t="n"/>
      <c r="F787" s="2" t="n">
        <v>34.4</v>
      </c>
      <c r="G787" s="2" t="n"/>
      <c r="H787" s="3" t="inlineStr">
        <is>
          <t>counterparty: Fastned UK Ltd; kind: intercompany loan at 6.15%, maturity 31/12/2029; amount: 34.4 net (nominal 50.0, provision 15.6; 2023: 20.1); year: 2024</t>
        </is>
      </c>
      <c r="I787" s="2" t="inlineStr">
        <is>
          <t>S2</t>
        </is>
      </c>
      <c r="J787" s="2" t="n">
        <v>180</v>
      </c>
      <c r="K787" s="3" t="inlineStr">
        <is>
          <t>Loan account Fastned UK Ltd 6.15 31/12/2029 49,986 (15,627) 34,359 20,064</t>
        </is>
      </c>
      <c r="L787" s="2" t="inlineStr">
        <is>
          <t>pend</t>
        </is>
      </c>
      <c r="M787" s="2" t="n"/>
      <c r="N787" s="2" t="n"/>
      <c r="O787" s="3" t="inlineStr">
        <is>
          <t>https://vanillabonds.com/dossier-data/pdf/fastned/fastned-2024-annual-report.pdf#page=180</t>
        </is>
      </c>
    </row>
    <row r="788">
      <c r="A788" s="2" t="inlineStr">
        <is>
          <t>F787</t>
        </is>
      </c>
      <c r="B788" s="2" t="inlineStr">
        <is>
          <t>governance</t>
        </is>
      </c>
      <c r="C788" s="2" t="inlineStr">
        <is>
          <t>related_party_flow</t>
        </is>
      </c>
      <c r="D788" s="3" t="inlineStr">
        <is>
          <t>Related-party flow: counterparty; kind (fee, rent, dividend, buyback, loan); amount; year; terms</t>
        </is>
      </c>
      <c r="E788" s="2" t="n"/>
      <c r="F788" s="2" t="n">
        <v>31.9</v>
      </c>
      <c r="G788" s="2" t="n"/>
      <c r="H788" s="3" t="inlineStr">
        <is>
          <t>counterparty: Fastned Belgie BV; kind: intercompany loan at 6.15%, maturity 31/12/2030; amount: 31.9 net (nominal 35.9, provision 4.1; 2023: 20.3); year: 2024</t>
        </is>
      </c>
      <c r="I788" s="2" t="inlineStr">
        <is>
          <t>S2</t>
        </is>
      </c>
      <c r="J788" s="2" t="n">
        <v>180</v>
      </c>
      <c r="K788" s="3" t="inlineStr">
        <is>
          <t>Loan account Fastned Belgie BV 6.15 31/12/2030 35,942 (4,059) 31,883 20,325</t>
        </is>
      </c>
      <c r="L788" s="2" t="inlineStr">
        <is>
          <t>pend</t>
        </is>
      </c>
      <c r="M788" s="2" t="n"/>
      <c r="N788" s="2" t="n"/>
      <c r="O788" s="3" t="inlineStr">
        <is>
          <t>https://vanillabonds.com/dossier-data/pdf/fastned/fastned-2024-annual-report.pdf#page=180</t>
        </is>
      </c>
    </row>
    <row r="789">
      <c r="A789" s="2" t="inlineStr">
        <is>
          <t>F788</t>
        </is>
      </c>
      <c r="B789" s="2" t="inlineStr">
        <is>
          <t>governance</t>
        </is>
      </c>
      <c r="C789" s="2" t="inlineStr">
        <is>
          <t>related_party_flow</t>
        </is>
      </c>
      <c r="D789" s="3" t="inlineStr">
        <is>
          <t>Related-party flow: counterparty; kind (fee, rent, dividend, buyback, loan); amount; year; terms</t>
        </is>
      </c>
      <c r="E789" s="2" t="n"/>
      <c r="F789" s="2" t="n">
        <v>21.8</v>
      </c>
      <c r="G789" s="2" t="n"/>
      <c r="H789" s="3" t="inlineStr">
        <is>
          <t>counterparty: Fastned Deutschland GmbH &amp; Co KG; kind: intercompany loan at 6.15%, maturity 31/12/2030; amount: 21.8 (2023: 21.1); year: 2024</t>
        </is>
      </c>
      <c r="I789" s="2" t="inlineStr">
        <is>
          <t>S2</t>
        </is>
      </c>
      <c r="J789" s="2" t="n">
        <v>180</v>
      </c>
      <c r="K789" s="3" t="inlineStr">
        <is>
          <t>Loan account Fastned Deutschland GmbH &amp; Co KG 6.15 31/12/2030 21,773 — 21,773 21,120</t>
        </is>
      </c>
      <c r="L789" s="2" t="inlineStr">
        <is>
          <t>pend</t>
        </is>
      </c>
      <c r="M789" s="2" t="n"/>
      <c r="N789" s="2" t="n"/>
      <c r="O789" s="3" t="inlineStr">
        <is>
          <t>https://vanillabonds.com/dossier-data/pdf/fastned/fastned-2024-annual-report.pdf#page=180</t>
        </is>
      </c>
    </row>
    <row r="790">
      <c r="A790" s="2" t="inlineStr">
        <is>
          <t>F789</t>
        </is>
      </c>
      <c r="B790" s="2" t="inlineStr">
        <is>
          <t>governance</t>
        </is>
      </c>
      <c r="C790" s="2" t="inlineStr">
        <is>
          <t>related_party_flow</t>
        </is>
      </c>
      <c r="D790" s="3" t="inlineStr">
        <is>
          <t>Related-party flow: counterparty; kind (fee, rent, dividend, buyback, loan); amount; year; terms</t>
        </is>
      </c>
      <c r="E790" s="2" t="n"/>
      <c r="F790" s="2" t="n">
        <v>17.9</v>
      </c>
      <c r="G790" s="2" t="n"/>
      <c r="H790" s="3" t="inlineStr">
        <is>
          <t>counterparty: Fastned France SAS; kind: intercompany loan at 6.15%, maturity 31/12/2027; amount: 17.9 (2023: 35.6); year: 2024</t>
        </is>
      </c>
      <c r="I790" s="2" t="inlineStr">
        <is>
          <t>S2</t>
        </is>
      </c>
      <c r="J790" s="2" t="n">
        <v>180</v>
      </c>
      <c r="K790" s="3" t="inlineStr">
        <is>
          <t>Loan account Fastned France SAS 6.15 31/12/2027 17,900 — 17,900 35,595</t>
        </is>
      </c>
      <c r="L790" s="2" t="inlineStr">
        <is>
          <t>pend</t>
        </is>
      </c>
      <c r="M790" s="2" t="n"/>
      <c r="N790" s="2" t="n"/>
      <c r="O790" s="3" t="inlineStr">
        <is>
          <t>https://vanillabonds.com/dossier-data/pdf/fastned/fastned-2024-annual-report.pdf#page=180</t>
        </is>
      </c>
    </row>
    <row r="791">
      <c r="A791" s="2" t="inlineStr">
        <is>
          <t>F790</t>
        </is>
      </c>
      <c r="B791" s="2" t="inlineStr">
        <is>
          <t>governance</t>
        </is>
      </c>
      <c r="C791" s="2" t="inlineStr">
        <is>
          <t>related_party_flow</t>
        </is>
      </c>
      <c r="D791" s="3" t="inlineStr">
        <is>
          <t>Related-party flow: counterparty; kind (fee, rent, dividend, buyback, loan); amount; year; terms</t>
        </is>
      </c>
      <c r="E791" s="2" t="n"/>
      <c r="F791" s="2" t="n">
        <v>6.1</v>
      </c>
      <c r="G791" s="2" t="n"/>
      <c r="H791" s="3" t="inlineStr">
        <is>
          <t>counterparty: Fastned France SPV; kind: intercompany loan at 6.15%, maturity 31/12/2027; amount: 6.1 (2023: 6.0); year: 2024</t>
        </is>
      </c>
      <c r="I791" s="2" t="inlineStr">
        <is>
          <t>S2</t>
        </is>
      </c>
      <c r="J791" s="2" t="n">
        <v>180</v>
      </c>
      <c r="K791" s="3" t="inlineStr">
        <is>
          <t>Loan account Fastned France SPV 6.15 31/12/2027 6,125 — 6,125 6,045</t>
        </is>
      </c>
      <c r="L791" s="2" t="inlineStr">
        <is>
          <t>pend</t>
        </is>
      </c>
      <c r="M791" s="2" t="n"/>
      <c r="N791" s="2" t="n"/>
      <c r="O791" s="3" t="inlineStr">
        <is>
          <t>https://vanillabonds.com/dossier-data/pdf/fastned/fastned-2024-annual-report.pdf#page=180</t>
        </is>
      </c>
    </row>
    <row r="792">
      <c r="A792" s="2" t="inlineStr">
        <is>
          <t>F791</t>
        </is>
      </c>
      <c r="B792" s="2" t="inlineStr">
        <is>
          <t>governance</t>
        </is>
      </c>
      <c r="C792" s="2" t="inlineStr">
        <is>
          <t>related_party_flow</t>
        </is>
      </c>
      <c r="D792" s="3" t="inlineStr">
        <is>
          <t>Related-party flow: counterparty; kind (fee, rent, dividend, buyback, loan); amount; year; terms</t>
        </is>
      </c>
      <c r="E792" s="2" t="n"/>
      <c r="F792" s="2" t="n">
        <v>9.4</v>
      </c>
      <c r="G792" s="2" t="n"/>
      <c r="H792" s="3" t="inlineStr">
        <is>
          <t>counterparty: Fastned Switzerland AG; kind: intercompany loan at 6.15%, maturity 31.12.2025; amount: 9.4 (2023: 5.2); year: 2024</t>
        </is>
      </c>
      <c r="I792" s="2" t="inlineStr">
        <is>
          <t>S2</t>
        </is>
      </c>
      <c r="J792" s="2" t="n">
        <v>180</v>
      </c>
      <c r="K792" s="3" t="inlineStr">
        <is>
          <t>Loan account Fastned Switzerland AG 6.15 31.12.2025 9,360 — 9,360 5,156</t>
        </is>
      </c>
      <c r="L792" s="2" t="inlineStr">
        <is>
          <t>pend</t>
        </is>
      </c>
      <c r="M792" s="2" t="n"/>
      <c r="N792" s="2" t="n"/>
      <c r="O792" s="3" t="inlineStr">
        <is>
          <t>https://vanillabonds.com/dossier-data/pdf/fastned/fastned-2024-annual-report.pdf#page=180</t>
        </is>
      </c>
    </row>
    <row r="793">
      <c r="A793" s="2" t="inlineStr">
        <is>
          <t>F792</t>
        </is>
      </c>
      <c r="B793" s="2" t="inlineStr">
        <is>
          <t>governance</t>
        </is>
      </c>
      <c r="C793" s="2" t="inlineStr">
        <is>
          <t>related_party_flow</t>
        </is>
      </c>
      <c r="D793" s="3" t="inlineStr">
        <is>
          <t>Related-party flow: counterparty; kind (fee, rent, dividend, buyback, loan); amount; year; terms</t>
        </is>
      </c>
      <c r="E793" s="2" t="n"/>
      <c r="F793" s="2" t="n">
        <v>2.5</v>
      </c>
      <c r="G793" s="2" t="n"/>
      <c r="H793" s="3" t="inlineStr">
        <is>
          <t>counterparty: Fastned Italia SRL; kind: intercompany loan at 6.15%, maturity 31.12.2028; amount: 2.5 (2023: 0.1); year: 2024</t>
        </is>
      </c>
      <c r="I793" s="2" t="inlineStr">
        <is>
          <t>S2</t>
        </is>
      </c>
      <c r="J793" s="2" t="n">
        <v>180</v>
      </c>
      <c r="K793" s="3" t="inlineStr">
        <is>
          <t>Loan account Fastned Italia SRL 6.15 31.12.2028 2,499 — 2,499 135</t>
        </is>
      </c>
      <c r="L793" s="2" t="inlineStr">
        <is>
          <t>pend</t>
        </is>
      </c>
      <c r="M793" s="2" t="n"/>
      <c r="N793" s="2" t="n"/>
      <c r="O793" s="3" t="inlineStr">
        <is>
          <t>https://vanillabonds.com/dossier-data/pdf/fastned/fastned-2024-annual-report.pdf#page=180</t>
        </is>
      </c>
    </row>
    <row r="794">
      <c r="A794" s="2" t="inlineStr">
        <is>
          <t>F793</t>
        </is>
      </c>
      <c r="B794" s="2" t="inlineStr">
        <is>
          <t>governance</t>
        </is>
      </c>
      <c r="C794" s="2" t="inlineStr">
        <is>
          <t>related_party_flow</t>
        </is>
      </c>
      <c r="D794" s="3" t="inlineStr">
        <is>
          <t>Related-party flow: counterparty; kind (fee, rent, dividend, buyback, loan); amount; year; terms</t>
        </is>
      </c>
      <c r="E794" s="2" t="n"/>
      <c r="F794" s="2" t="n">
        <v>130.7</v>
      </c>
      <c r="G794" s="2" t="n"/>
      <c r="H794" s="3" t="inlineStr">
        <is>
          <t>counterparty: subsidiaries (intercompany); kind: loans from Fastned B.V. at 6.15%; amount: 130.7 net at YE2024 (2023: 110.5), after provisions on UK (15.6) and Belgium (4.1) loans; year: 2024</t>
        </is>
      </c>
      <c r="I794" s="2" t="inlineStr">
        <is>
          <t>S2</t>
        </is>
      </c>
      <c r="J794" s="2" t="n">
        <v>181</v>
      </c>
      <c r="K794" s="3" t="inlineStr">
        <is>
          <t>Total loans to subsidiaries 130,652 110,525</t>
        </is>
      </c>
      <c r="L794" s="2" t="inlineStr">
        <is>
          <t>pend</t>
        </is>
      </c>
      <c r="M794" s="2" t="n"/>
      <c r="N794" s="2" t="n"/>
      <c r="O794" s="3" t="inlineStr">
        <is>
          <t>https://vanillabonds.com/dossier-data/pdf/fastned/fastned-2024-annual-report.pdf#page=181</t>
        </is>
      </c>
    </row>
    <row r="795">
      <c r="A795" s="2" t="inlineStr">
        <is>
          <t>F794</t>
        </is>
      </c>
      <c r="B795" s="2" t="inlineStr">
        <is>
          <t>governance</t>
        </is>
      </c>
      <c r="C795" s="2" t="inlineStr">
        <is>
          <t>related_party_flow</t>
        </is>
      </c>
      <c r="D795" s="3" t="inlineStr">
        <is>
          <t>Related-party flow: counterparty; kind (fee, rent, dividend, buyback, loan); amount; year; terms</t>
        </is>
      </c>
      <c r="E795" s="2" t="n"/>
      <c r="F795" s="2" t="n">
        <v>2.5</v>
      </c>
      <c r="G795" s="2" t="n"/>
      <c r="H795" s="3" t="inlineStr">
        <is>
          <t>counterparty: Fastned Espana SL; kind: intercompany loan at 6.15%, maturity 31.12.2028; amount: 2.5 (2023: 0.4); year: 2024</t>
        </is>
      </c>
      <c r="I795" s="2" t="inlineStr">
        <is>
          <t>S2</t>
        </is>
      </c>
      <c r="J795" s="2" t="n">
        <v>181</v>
      </c>
      <c r="K795" s="3" t="inlineStr">
        <is>
          <t>Loan account Fastned España SL 6.15 31.12.2028 2,532 — 2,532 411</t>
        </is>
      </c>
      <c r="L795" s="2" t="inlineStr">
        <is>
          <t>pend</t>
        </is>
      </c>
      <c r="M795" s="2" t="n"/>
      <c r="N795" s="2" t="n"/>
      <c r="O795" s="3" t="inlineStr">
        <is>
          <t>https://vanillabonds.com/dossier-data/pdf/fastned/fastned-2024-annual-report.pdf#page=181</t>
        </is>
      </c>
    </row>
    <row r="796">
      <c r="A796" s="2" t="inlineStr">
        <is>
          <t>F795</t>
        </is>
      </c>
      <c r="B796" s="2" t="inlineStr">
        <is>
          <t>governance</t>
        </is>
      </c>
      <c r="C796" s="2" t="inlineStr">
        <is>
          <t>related_party_flow</t>
        </is>
      </c>
      <c r="D796" s="3" t="inlineStr">
        <is>
          <t>Related-party flow: counterparty; kind (fee, rent, dividend, buyback, loan); amount; year; terms</t>
        </is>
      </c>
      <c r="E796" s="2" t="n"/>
      <c r="F796" s="2" t="n">
        <v>2.7</v>
      </c>
      <c r="G796" s="2" t="n"/>
      <c r="H796" s="3" t="inlineStr">
        <is>
          <t>counterparty: Fastned Denmark ApS; kind: intercompany loan at 6.15%, maturity 31.12.2028; amount: 2.7 (2023: 0.5); year: 2024</t>
        </is>
      </c>
      <c r="I796" s="2" t="inlineStr">
        <is>
          <t>S2</t>
        </is>
      </c>
      <c r="J796" s="2" t="n">
        <v>181</v>
      </c>
      <c r="K796" s="3" t="inlineStr">
        <is>
          <t>Loan account Fastned Denmark ApS 6.15 31.12.2028 2,708 — 2,708 525</t>
        </is>
      </c>
      <c r="L796" s="2" t="inlineStr">
        <is>
          <t>pend</t>
        </is>
      </c>
      <c r="M796" s="2" t="n"/>
      <c r="N796" s="2" t="n"/>
      <c r="O796" s="3" t="inlineStr">
        <is>
          <t>https://vanillabonds.com/dossier-data/pdf/fastned/fastned-2024-annual-report.pdf#page=181</t>
        </is>
      </c>
    </row>
    <row r="797">
      <c r="A797" s="2" t="inlineStr">
        <is>
          <t>F796</t>
        </is>
      </c>
      <c r="B797" s="2" t="inlineStr">
        <is>
          <t>governance</t>
        </is>
      </c>
      <c r="C797" s="2" t="inlineStr">
        <is>
          <t>owner_stake</t>
        </is>
      </c>
      <c r="D797" s="3" t="inlineStr">
        <is>
          <t>Owner's stake as stated: personal guarantee, pledged shares, family charter</t>
        </is>
      </c>
      <c r="E797" s="2" t="n"/>
      <c r="F797" s="2" t="n"/>
      <c r="G797" s="2" t="n"/>
      <c r="H797" s="3" t="inlineStr">
        <is>
          <t>Schroders Capital holds DRs (10% or more per the independence note) under an agreement with a lock-up until 31 December 2024; SB member Janssen represents Schroders.</t>
        </is>
      </c>
      <c r="I797" s="2" t="inlineStr">
        <is>
          <t>S2</t>
        </is>
      </c>
      <c r="J797" s="2" t="n">
        <v>75</v>
      </c>
      <c r="K797" s="3" t="inlineStr">
        <is>
          <t>agreements on limitations of the transfer of DRs (other than the agreement with Schroders Capital)</t>
        </is>
      </c>
      <c r="L797" s="2" t="inlineStr">
        <is>
          <t>pend</t>
        </is>
      </c>
      <c r="M797" s="2" t="n"/>
      <c r="N797" s="2" t="n"/>
      <c r="O797" s="3" t="inlineStr">
        <is>
          <t>https://vanillabonds.com/dossier-data/pdf/fastned/fastned-2024-annual-report.pdf#page=75</t>
        </is>
      </c>
    </row>
    <row r="798">
      <c r="A798" s="2" t="inlineStr">
        <is>
          <t>F797</t>
        </is>
      </c>
      <c r="B798" s="2" t="inlineStr">
        <is>
          <t>governance</t>
        </is>
      </c>
      <c r="C798" s="2" t="inlineStr">
        <is>
          <t>owner_stake</t>
        </is>
      </c>
      <c r="D798" s="3" t="inlineStr">
        <is>
          <t>Owner's stake as stated: personal guarantee, pledged shares, family charter</t>
        </is>
      </c>
      <c r="E798" s="2" t="n"/>
      <c r="F798" s="2" t="n"/>
      <c r="G798" s="2" t="n"/>
      <c r="H798" s="3" t="inlineStr">
        <is>
          <t>CEO Langezaal holds more than 10% of shares/DRs as stated through the pension-scheme exclusion for major DR holders; founders Langezaal and Lubbers hold DRs via FAST.</t>
        </is>
      </c>
      <c r="I798" s="2" t="inlineStr">
        <is>
          <t>S2</t>
        </is>
      </c>
      <c r="J798" s="2" t="n">
        <v>79</v>
      </c>
      <c r="K798" s="3" t="inlineStr">
        <is>
          <t>Mr. Langezaal is therefore not eligible to participate in the pension scheme.</t>
        </is>
      </c>
      <c r="L798" s="2" t="inlineStr">
        <is>
          <t>pend</t>
        </is>
      </c>
      <c r="M798" s="2" t="n"/>
      <c r="N798" s="2" t="n"/>
      <c r="O798" s="3" t="inlineStr">
        <is>
          <t>https://vanillabonds.com/dossier-data/pdf/fastned/fastned-2024-annual-report.pdf#page=79</t>
        </is>
      </c>
    </row>
    <row r="799">
      <c r="A799" s="2" t="inlineStr">
        <is>
          <t>F798</t>
        </is>
      </c>
      <c r="B799" s="2" t="inlineStr">
        <is>
          <t>market</t>
        </is>
      </c>
      <c r="C799" s="2" t="inlineStr">
        <is>
          <t>market_series</t>
        </is>
      </c>
      <c r="D799" s="3" t="inlineStr">
        <is>
          <t>Market variable: variable; year; value; unit; source (a distribution adds n; median; spread; p10; p25; p75; p90)</t>
        </is>
      </c>
      <c r="E799" s="2" t="n"/>
      <c r="F799" s="2" t="n">
        <v>28.5</v>
      </c>
      <c r="G799" s="2" t="n"/>
      <c r="H799" s="3" t="inlineStr">
        <is>
          <t>variable: BEV share of new car registrations, Belgium; year: 2024; value: 28.5; unit: %; source: ACEA (2023: 19.6%)</t>
        </is>
      </c>
      <c r="I799" s="2" t="inlineStr">
        <is>
          <t>S2</t>
        </is>
      </c>
      <c r="J799" s="2" t="n">
        <v>32</v>
      </c>
      <c r="K799" s="2" t="inlineStr">
        <is>
          <t>Belgium 19.6 28.5</t>
        </is>
      </c>
      <c r="L799" s="2" t="inlineStr">
        <is>
          <t>pend</t>
        </is>
      </c>
      <c r="M799" s="2" t="n"/>
      <c r="N799" s="2" t="n"/>
      <c r="O799" s="3" t="inlineStr">
        <is>
          <t>https://vanillabonds.com/dossier-data/pdf/fastned/fastned-2024-annual-report.pdf#page=32</t>
        </is>
      </c>
    </row>
    <row r="800">
      <c r="A800" s="2" t="inlineStr">
        <is>
          <t>F799</t>
        </is>
      </c>
      <c r="B800" s="2" t="inlineStr">
        <is>
          <t>market</t>
        </is>
      </c>
      <c r="C800" s="2" t="inlineStr">
        <is>
          <t>market_series</t>
        </is>
      </c>
      <c r="D800" s="3" t="inlineStr">
        <is>
          <t>Market variable: variable; year; value; unit; source (a distribution adds n; median; spread; p10; p25; p75; p90)</t>
        </is>
      </c>
      <c r="E800" s="2" t="n"/>
      <c r="F800" s="2" t="n">
        <v>51.5</v>
      </c>
      <c r="G800" s="2" t="n"/>
      <c r="H800" s="3" t="inlineStr">
        <is>
          <t>variable: BEV share of new car registrations, Denmark; year: 2024; value: 51.5; unit: %; source: ACEA (2023: 36.3%)</t>
        </is>
      </c>
      <c r="I800" s="2" t="inlineStr">
        <is>
          <t>S2</t>
        </is>
      </c>
      <c r="J800" s="2" t="n">
        <v>32</v>
      </c>
      <c r="K800" s="2" t="inlineStr">
        <is>
          <t>Denmark 36.3 51.5</t>
        </is>
      </c>
      <c r="L800" s="2" t="inlineStr">
        <is>
          <t>pend</t>
        </is>
      </c>
      <c r="M800" s="2" t="n"/>
      <c r="N800" s="2" t="n"/>
      <c r="O800" s="3" t="inlineStr">
        <is>
          <t>https://vanillabonds.com/dossier-data/pdf/fastned/fastned-2024-annual-report.pdf#page=32</t>
        </is>
      </c>
    </row>
    <row r="801">
      <c r="A801" s="2" t="inlineStr">
        <is>
          <t>F800</t>
        </is>
      </c>
      <c r="B801" s="2" t="inlineStr">
        <is>
          <t>market</t>
        </is>
      </c>
      <c r="C801" s="2" t="inlineStr">
        <is>
          <t>market_series</t>
        </is>
      </c>
      <c r="D801" s="3" t="inlineStr">
        <is>
          <t>Market variable: variable; year; value; unit; source (a distribution adds n; median; spread; p10; p25; p75; p90)</t>
        </is>
      </c>
      <c r="E801" s="2" t="n"/>
      <c r="F801" s="2" t="n">
        <v>16.9</v>
      </c>
      <c r="G801" s="2" t="n"/>
      <c r="H801" s="3" t="inlineStr">
        <is>
          <t>variable: BEV share of new car registrations, France; year: 2024; value: 16.9; unit: %; source: ACEA (2023: 16.8%)</t>
        </is>
      </c>
      <c r="I801" s="2" t="inlineStr">
        <is>
          <t>S2</t>
        </is>
      </c>
      <c r="J801" s="2" t="n">
        <v>32</v>
      </c>
      <c r="K801" s="2" t="inlineStr">
        <is>
          <t>France 16.8 16.9</t>
        </is>
      </c>
      <c r="L801" s="2" t="inlineStr">
        <is>
          <t>pend</t>
        </is>
      </c>
      <c r="M801" s="2" t="n"/>
      <c r="N801" s="2" t="n"/>
      <c r="O801" s="3" t="inlineStr">
        <is>
          <t>https://vanillabonds.com/dossier-data/pdf/fastned/fastned-2024-annual-report.pdf#page=32</t>
        </is>
      </c>
    </row>
    <row r="802">
      <c r="A802" s="2" t="inlineStr">
        <is>
          <t>F801</t>
        </is>
      </c>
      <c r="B802" s="2" t="inlineStr">
        <is>
          <t>market</t>
        </is>
      </c>
      <c r="C802" s="2" t="inlineStr">
        <is>
          <t>market_series</t>
        </is>
      </c>
      <c r="D802" s="3" t="inlineStr">
        <is>
          <t>Market variable: variable; year; value; unit; source (a distribution adds n; median; spread; p10; p25; p75; p90)</t>
        </is>
      </c>
      <c r="E802" s="2" t="n"/>
      <c r="F802" s="2" t="n">
        <v>13.5</v>
      </c>
      <c r="G802" s="2" t="n"/>
      <c r="H802" s="3" t="inlineStr">
        <is>
          <t>variable: BEV share of new car registrations, Germany; year: 2024; value: 13.5; unit: %; source: ACEA (2023: 18.4%)</t>
        </is>
      </c>
      <c r="I802" s="2" t="inlineStr">
        <is>
          <t>S2</t>
        </is>
      </c>
      <c r="J802" s="2" t="n">
        <v>32</v>
      </c>
      <c r="K802" s="2" t="inlineStr">
        <is>
          <t>Germany 18.4 13.5</t>
        </is>
      </c>
      <c r="L802" s="2" t="inlineStr">
        <is>
          <t>pend</t>
        </is>
      </c>
      <c r="M802" s="2" t="n"/>
      <c r="N802" s="2" t="n"/>
      <c r="O802" s="3" t="inlineStr">
        <is>
          <t>https://vanillabonds.com/dossier-data/pdf/fastned/fastned-2024-annual-report.pdf#page=32</t>
        </is>
      </c>
    </row>
    <row r="803">
      <c r="A803" s="2" t="inlineStr">
        <is>
          <t>F802</t>
        </is>
      </c>
      <c r="B803" s="2" t="inlineStr">
        <is>
          <t>market</t>
        </is>
      </c>
      <c r="C803" s="2" t="inlineStr">
        <is>
          <t>market_series</t>
        </is>
      </c>
      <c r="D803" s="3" t="inlineStr">
        <is>
          <t>Market variable: variable; year; value; unit; source (a distribution adds n; median; spread; p10; p25; p75; p90)</t>
        </is>
      </c>
      <c r="E803" s="2" t="n"/>
      <c r="F803" s="2" t="n">
        <v>4.2</v>
      </c>
      <c r="G803" s="2" t="n"/>
      <c r="H803" s="3" t="inlineStr">
        <is>
          <t>variable: BEV share of new car registrations, Italy; year: 2024; value: 4.2; unit: %; source: ACEA (2023: 4.2%)</t>
        </is>
      </c>
      <c r="I803" s="2" t="inlineStr">
        <is>
          <t>S2</t>
        </is>
      </c>
      <c r="J803" s="2" t="n">
        <v>32</v>
      </c>
      <c r="K803" s="2" t="inlineStr">
        <is>
          <t>Italy 4.2 4.2</t>
        </is>
      </c>
      <c r="L803" s="2" t="inlineStr">
        <is>
          <t>pend</t>
        </is>
      </c>
      <c r="M803" s="2" t="n"/>
      <c r="N803" s="2" t="n"/>
      <c r="O803" s="3" t="inlineStr">
        <is>
          <t>https://vanillabonds.com/dossier-data/pdf/fastned/fastned-2024-annual-report.pdf#page=32</t>
        </is>
      </c>
    </row>
    <row r="804">
      <c r="A804" s="2" t="inlineStr">
        <is>
          <t>F803</t>
        </is>
      </c>
      <c r="B804" s="2" t="inlineStr">
        <is>
          <t>market</t>
        </is>
      </c>
      <c r="C804" s="2" t="inlineStr">
        <is>
          <t>market_series</t>
        </is>
      </c>
      <c r="D804" s="3" t="inlineStr">
        <is>
          <t>Market variable: variable; year; value; unit; source (a distribution adds n; median; spread; p10; p25; p75; p90)</t>
        </is>
      </c>
      <c r="E804" s="2" t="n"/>
      <c r="F804" s="2" t="n">
        <v>34.7</v>
      </c>
      <c r="G804" s="2" t="n"/>
      <c r="H804" s="3" t="inlineStr">
        <is>
          <t>variable: BEV share of new car registrations, Netherlands; year: 2024; value: 34.7; unit: %; source: ACEA (2023: 30.8%)</t>
        </is>
      </c>
      <c r="I804" s="2" t="inlineStr">
        <is>
          <t>S2</t>
        </is>
      </c>
      <c r="J804" s="2" t="n">
        <v>32</v>
      </c>
      <c r="K804" s="2" t="inlineStr">
        <is>
          <t>The Netherlands 30.8 34.7</t>
        </is>
      </c>
      <c r="L804" s="2" t="inlineStr">
        <is>
          <t>pend</t>
        </is>
      </c>
      <c r="M804" s="2" t="n"/>
      <c r="N804" s="2" t="n"/>
      <c r="O804" s="3" t="inlineStr">
        <is>
          <t>https://vanillabonds.com/dossier-data/pdf/fastned/fastned-2024-annual-report.pdf#page=32</t>
        </is>
      </c>
    </row>
    <row r="805">
      <c r="A805" s="2" t="inlineStr">
        <is>
          <t>F804</t>
        </is>
      </c>
      <c r="B805" s="2" t="inlineStr">
        <is>
          <t>market</t>
        </is>
      </c>
      <c r="C805" s="2" t="inlineStr">
        <is>
          <t>market_series</t>
        </is>
      </c>
      <c r="D805" s="3" t="inlineStr">
        <is>
          <t>Market variable: variable; year; value; unit; source (a distribution adds n; median; spread; p10; p25; p75; p90)</t>
        </is>
      </c>
      <c r="E805" s="2" t="n"/>
      <c r="F805" s="2" t="n">
        <v>5.6</v>
      </c>
      <c r="G805" s="2" t="n"/>
      <c r="H805" s="3" t="inlineStr">
        <is>
          <t>variable: BEV share of new car registrations, Spain; year: 2024; value: 5.6; unit: %; source: ACEA (2023: 5.4%)</t>
        </is>
      </c>
      <c r="I805" s="2" t="inlineStr">
        <is>
          <t>S2</t>
        </is>
      </c>
      <c r="J805" s="2" t="n">
        <v>32</v>
      </c>
      <c r="K805" s="2" t="inlineStr">
        <is>
          <t>Spain 5.4 5.6</t>
        </is>
      </c>
      <c r="L805" s="2" t="inlineStr">
        <is>
          <t>pend</t>
        </is>
      </c>
      <c r="M805" s="2" t="n"/>
      <c r="N805" s="2" t="n"/>
      <c r="O805" s="3" t="inlineStr">
        <is>
          <t>https://vanillabonds.com/dossier-data/pdf/fastned/fastned-2024-annual-report.pdf#page=32</t>
        </is>
      </c>
    </row>
    <row r="806">
      <c r="A806" s="2" t="inlineStr">
        <is>
          <t>F805</t>
        </is>
      </c>
      <c r="B806" s="2" t="inlineStr">
        <is>
          <t>market</t>
        </is>
      </c>
      <c r="C806" s="2" t="inlineStr">
        <is>
          <t>market_series</t>
        </is>
      </c>
      <c r="D806" s="3" t="inlineStr">
        <is>
          <t>Market variable: variable; year; value; unit; source (a distribution adds n; median; spread; p10; p25; p75; p90)</t>
        </is>
      </c>
      <c r="E806" s="2" t="n"/>
      <c r="F806" s="2" t="n">
        <v>19.3</v>
      </c>
      <c r="G806" s="2" t="n"/>
      <c r="H806" s="3" t="inlineStr">
        <is>
          <t>variable: BEV share of new car registrations, Switzerland; year: 2024; value: 19.3; unit: %; source: ACEA (2023: 20.9%)</t>
        </is>
      </c>
      <c r="I806" s="2" t="inlineStr">
        <is>
          <t>S2</t>
        </is>
      </c>
      <c r="J806" s="2" t="n">
        <v>32</v>
      </c>
      <c r="K806" s="2" t="inlineStr">
        <is>
          <t>Switzerland 20.9 19.3</t>
        </is>
      </c>
      <c r="L806" s="2" t="inlineStr">
        <is>
          <t>pend</t>
        </is>
      </c>
      <c r="M806" s="2" t="n"/>
      <c r="N806" s="2" t="n"/>
      <c r="O806" s="3" t="inlineStr">
        <is>
          <t>https://vanillabonds.com/dossier-data/pdf/fastned/fastned-2024-annual-report.pdf#page=32</t>
        </is>
      </c>
    </row>
    <row r="807">
      <c r="A807" s="2" t="inlineStr">
        <is>
          <t>F806</t>
        </is>
      </c>
      <c r="B807" s="2" t="inlineStr">
        <is>
          <t>market</t>
        </is>
      </c>
      <c r="C807" s="2" t="inlineStr">
        <is>
          <t>market_series</t>
        </is>
      </c>
      <c r="D807" s="3" t="inlineStr">
        <is>
          <t>Market variable: variable; year; value; unit; source (a distribution adds n; median; spread; p10; p25; p75; p90)</t>
        </is>
      </c>
      <c r="E807" s="2" t="n"/>
      <c r="F807" s="2" t="n">
        <v>19.6</v>
      </c>
      <c r="G807" s="2" t="n"/>
      <c r="H807" s="3" t="inlineStr">
        <is>
          <t>variable: BEV share of new car registrations, United Kingdom; year: 2024; value: 19.6; unit: %; source: ACEA (2023: 16.5%)</t>
        </is>
      </c>
      <c r="I807" s="2" t="inlineStr">
        <is>
          <t>S2</t>
        </is>
      </c>
      <c r="J807" s="2" t="n">
        <v>32</v>
      </c>
      <c r="K807" s="2" t="inlineStr">
        <is>
          <t>United Kingdom 16.5 19.6</t>
        </is>
      </c>
      <c r="L807" s="2" t="inlineStr">
        <is>
          <t>pend</t>
        </is>
      </c>
      <c r="M807" s="2" t="n"/>
      <c r="N807" s="2" t="n"/>
      <c r="O807" s="3" t="inlineStr">
        <is>
          <t>https://vanillabonds.com/dossier-data/pdf/fastned/fastned-2024-annual-report.pdf#page=32</t>
        </is>
      </c>
    </row>
    <row r="808">
      <c r="A808" s="2" t="inlineStr">
        <is>
          <t>F807</t>
        </is>
      </c>
      <c r="B808" s="2" t="inlineStr">
        <is>
          <t>market</t>
        </is>
      </c>
      <c r="C808" s="2" t="inlineStr">
        <is>
          <t>regulation_item</t>
        </is>
      </c>
      <c r="D808" s="3" t="inlineStr">
        <is>
          <t>Regulation: measure; effective; effect on the company as stated; source</t>
        </is>
      </c>
      <c r="E808" s="2" t="n"/>
      <c r="F808" s="2" t="n"/>
      <c r="G808" s="2" t="n"/>
      <c r="H808" s="3" t="inlineStr">
        <is>
          <t>measure: EU Alternative Fuels Infrastructure Regulation (AFIR); effective: April 2024; effect on the company as stated: mandates BEV charging along key highways, 'perfectly aligned with Fastned's strategy'; AFIR compliance review done by Legal &amp; Compliance in 2024; source: annual report</t>
        </is>
      </c>
      <c r="I808" s="2" t="inlineStr">
        <is>
          <t>S2</t>
        </is>
      </c>
      <c r="J808" s="2" t="n">
        <v>33</v>
      </c>
      <c r="K808" s="3" t="inlineStr">
        <is>
          <t>Charging infrastructure development is supported through the EU's Alternative Fuels Infrastructure Regulation (AFIR), which came into force in April 2024.</t>
        </is>
      </c>
      <c r="L808" s="2" t="inlineStr">
        <is>
          <t>pend</t>
        </is>
      </c>
      <c r="M808" s="2" t="n"/>
      <c r="N808" s="2" t="n"/>
      <c r="O808" s="3" t="inlineStr">
        <is>
          <t>https://vanillabonds.com/dossier-data/pdf/fastned/fastned-2024-annual-report.pdf#page=33</t>
        </is>
      </c>
    </row>
    <row r="809">
      <c r="A809" s="2" t="inlineStr">
        <is>
          <t>F808</t>
        </is>
      </c>
      <c r="B809" s="2" t="inlineStr">
        <is>
          <t>market</t>
        </is>
      </c>
      <c r="C809" s="2" t="inlineStr">
        <is>
          <t>regulation_item</t>
        </is>
      </c>
      <c r="D809" s="3" t="inlineStr">
        <is>
          <t>Regulation: measure; effective; effect on the company as stated; source</t>
        </is>
      </c>
      <c r="E809" s="2" t="n"/>
      <c r="F809" s="2" t="n"/>
      <c r="G809" s="2" t="n"/>
      <c r="H809" s="3" t="inlineStr">
        <is>
          <t>measure: EU ban on sales of new internal-combustion cars; effective: 2035 (timeframe updates reaffirmed early 2025); effect as stated: supports long-term charging demand; source: annual report</t>
        </is>
      </c>
      <c r="I809" s="2" t="inlineStr">
        <is>
          <t>S2</t>
        </is>
      </c>
      <c r="J809" s="2" t="n">
        <v>33</v>
      </c>
      <c r="K809" s="3" t="inlineStr">
        <is>
          <t>The EU will end the sale of the new cars with internal combustion engines by 2035, as was reaffirmed in updates to the regulation's timeframe in early 2025.</t>
        </is>
      </c>
      <c r="L809" s="2" t="inlineStr">
        <is>
          <t>pend</t>
        </is>
      </c>
      <c r="M809" s="2" t="n"/>
      <c r="N809" s="2" t="n"/>
      <c r="O809" s="3" t="inlineStr">
        <is>
          <t>https://vanillabonds.com/dossier-data/pdf/fastned/fastned-2024-annual-report.pdf#page=33</t>
        </is>
      </c>
    </row>
    <row r="810">
      <c r="A810" s="2" t="inlineStr">
        <is>
          <t>F809</t>
        </is>
      </c>
      <c r="B810" s="2" t="inlineStr">
        <is>
          <t>market</t>
        </is>
      </c>
      <c r="C810" s="2" t="inlineStr">
        <is>
          <t>regulation_item</t>
        </is>
      </c>
      <c r="D810" s="3" t="inlineStr">
        <is>
          <t>Regulation: measure; effective; effect on the company as stated; source</t>
        </is>
      </c>
      <c r="E810" s="2" t="n"/>
      <c r="F810" s="2" t="n"/>
      <c r="G810" s="2" t="n"/>
      <c r="H810" s="3" t="inlineStr">
        <is>
          <t>measure: CSRD; effective: Fastned had been working towards compliance in 2025 with reporting in early 2026; effect as stated: EU Omnibus Package in proposal form at publication, company 'will continue to monitor'; source: annual report</t>
        </is>
      </c>
      <c r="I810" s="2" t="inlineStr">
        <is>
          <t>S2</t>
        </is>
      </c>
      <c r="J810" s="2" t="n">
        <v>45</v>
      </c>
      <c r="K810" s="3" t="inlineStr">
        <is>
          <t>Until the release of the Omnibus Package, Fastned had been working towards CSRD compliance in 2025, reporting in early 2026.</t>
        </is>
      </c>
      <c r="L810" s="2" t="inlineStr">
        <is>
          <t>pend</t>
        </is>
      </c>
      <c r="M810" s="2" t="n"/>
      <c r="N810" s="2" t="n"/>
      <c r="O810" s="3" t="inlineStr">
        <is>
          <t>https://vanillabonds.com/dossier-data/pdf/fastned/fastned-2024-annual-report.pdf#page=45</t>
        </is>
      </c>
    </row>
    <row r="811">
      <c r="A811" s="2" t="inlineStr">
        <is>
          <t>F810</t>
        </is>
      </c>
      <c r="B811" s="2" t="inlineStr">
        <is>
          <t>market</t>
        </is>
      </c>
      <c r="C811" s="2" t="inlineStr">
        <is>
          <t>regulation_item</t>
        </is>
      </c>
      <c r="D811" s="3" t="inlineStr">
        <is>
          <t>Regulation: measure; effective; effect on the company as stated; source</t>
        </is>
      </c>
      <c r="E811" s="2" t="n"/>
      <c r="F811" s="2" t="n"/>
      <c r="G811" s="2" t="n"/>
      <c r="H811" s="3" t="inlineStr">
        <is>
          <t>measure: EU Taxonomy; effect as stated: NFRD not applicable so disclosure is voluntary and unaudited; main activity eligible under Climate Change Mitigation; source: annual report</t>
        </is>
      </c>
      <c r="I811" s="2" t="inlineStr">
        <is>
          <t>S2</t>
        </is>
      </c>
      <c r="J811" s="2" t="n">
        <v>50</v>
      </c>
      <c r="K811" s="3" t="inlineStr">
        <is>
          <t>As the Non-Financial Reporting Directive (NFRD) is not applicable, it is not mandatory for Fastned to report EU Taxonomy information.</t>
        </is>
      </c>
      <c r="L811" s="2" t="inlineStr">
        <is>
          <t>pend</t>
        </is>
      </c>
      <c r="M811" s="2" t="n"/>
      <c r="N811" s="2" t="n"/>
      <c r="O811" s="3" t="inlineStr">
        <is>
          <t>https://vanillabonds.com/dossier-data/pdf/fastned/fastned-2024-annual-report.pdf#page=50</t>
        </is>
      </c>
    </row>
    <row r="812">
      <c r="A812" s="2" t="inlineStr">
        <is>
          <t>F811</t>
        </is>
      </c>
      <c r="B812" s="2" t="inlineStr">
        <is>
          <t>market</t>
        </is>
      </c>
      <c r="C812" s="2" t="inlineStr">
        <is>
          <t>regulation_item</t>
        </is>
      </c>
      <c r="D812" s="3" t="inlineStr">
        <is>
          <t>Regulation: measure; effective; effect on the company as stated; source</t>
        </is>
      </c>
      <c r="E812" s="2" t="n"/>
      <c r="F812" s="2" t="n"/>
      <c r="G812" s="2" t="n"/>
      <c r="H812" s="3" t="inlineStr">
        <is>
          <t>measure: NIS 2 (network and information security); effect as stated: Fastned strengthens cyber resilience as critical infrastructure, internal audit of NIS2 readiness in 2024, aims to be ready in 2025; source: annual report</t>
        </is>
      </c>
      <c r="I812" s="2" t="inlineStr">
        <is>
          <t>S2</t>
        </is>
      </c>
      <c r="J812" s="2" t="n">
        <v>69</v>
      </c>
      <c r="K812" s="3" t="inlineStr">
        <is>
          <t>In 2024, efforts included an internal audit of NIS2 readiness, an AFIR compliance review by Legal &amp; Compliance, and external verification of CSRD elements such as double materiality and ESG KPIs.</t>
        </is>
      </c>
      <c r="L812" s="2" t="inlineStr">
        <is>
          <t>pend</t>
        </is>
      </c>
      <c r="M812" s="2" t="n"/>
      <c r="N812" s="2" t="n"/>
      <c r="O812" s="3" t="inlineStr">
        <is>
          <t>https://vanillabonds.com/dossier-data/pdf/fastned/fastned-2024-annual-report.pdf#page=69</t>
        </is>
      </c>
    </row>
    <row r="813">
      <c r="A813" s="2" t="inlineStr">
        <is>
          <t>F812</t>
        </is>
      </c>
      <c r="B813" s="2" t="inlineStr">
        <is>
          <t>market</t>
        </is>
      </c>
      <c r="C813" s="2" t="inlineStr">
        <is>
          <t>regulation_item</t>
        </is>
      </c>
      <c r="D813" s="3" t="inlineStr">
        <is>
          <t>Regulation: measure; effective; effect on the company as stated; source</t>
        </is>
      </c>
      <c r="E813" s="2" t="n"/>
      <c r="F813" s="2" t="n"/>
      <c r="G813" s="2" t="n"/>
      <c r="H813" s="3" t="inlineStr">
        <is>
          <t>measure: Dutch Corporate Governance Code; effect as stated: Fastned deviates from provisions 1.3, 2.1.7, 2.2.1, 4.5.2 and 4.5.8; source: annual report</t>
        </is>
      </c>
      <c r="I813" s="2" t="inlineStr">
        <is>
          <t>S2</t>
        </is>
      </c>
      <c r="J813" s="2" t="n">
        <v>76</v>
      </c>
      <c r="K813" s="3" t="inlineStr">
        <is>
          <t>it is expected that the Company will deviate from a limited number of best practice provisions, which are the following:</t>
        </is>
      </c>
      <c r="L813" s="2" t="inlineStr">
        <is>
          <t>pend</t>
        </is>
      </c>
      <c r="M813" s="2" t="n"/>
      <c r="N813" s="2" t="n"/>
      <c r="O813" s="3" t="inlineStr">
        <is>
          <t>https://vanillabonds.com/dossier-data/pdf/fastned/fastned-2024-annual-report.pdf#page=76</t>
        </is>
      </c>
    </row>
    <row r="814">
      <c r="A814" s="2" t="inlineStr">
        <is>
          <t>F813</t>
        </is>
      </c>
      <c r="B814" s="2" t="inlineStr">
        <is>
          <t>market</t>
        </is>
      </c>
      <c r="C814" s="2" t="inlineStr">
        <is>
          <t>regulation_item</t>
        </is>
      </c>
      <c r="D814" s="3" t="inlineStr">
        <is>
          <t>Regulation: measure; effective; effect on the company as stated; source</t>
        </is>
      </c>
      <c r="E814" s="2" t="n"/>
      <c r="F814" s="2" t="n"/>
      <c r="G814" s="2" t="n"/>
      <c r="H814" s="3" t="inlineStr">
        <is>
          <t>measure: IFRS 9 / IFRS 7 amendments on contracts referencing nature-dependent electricity (PPA own-use); effective: 2026-01-01; effect on the company as stated: no significant impact expected on classification of current PPAs; source: note 2.4</t>
        </is>
      </c>
      <c r="I814" s="2" t="inlineStr">
        <is>
          <t>S2</t>
        </is>
      </c>
      <c r="J814" s="2" t="n">
        <v>121</v>
      </c>
      <c r="K814" s="3" t="inlineStr">
        <is>
          <t>The amendments are effective for annual periods beginning on or after 1 January</t>
        </is>
      </c>
      <c r="L814" s="2" t="inlineStr">
        <is>
          <t>pend</t>
        </is>
      </c>
      <c r="M814" s="2" t="n"/>
      <c r="N814" s="2" t="n"/>
      <c r="O814" s="3" t="inlineStr">
        <is>
          <t>https://vanillabonds.com/dossier-data/pdf/fastned/fastned-2024-annual-report.pdf#page=121</t>
        </is>
      </c>
    </row>
    <row r="815">
      <c r="A815" s="2" t="inlineStr">
        <is>
          <t>F814</t>
        </is>
      </c>
      <c r="B815" s="2" t="inlineStr">
        <is>
          <t>market</t>
        </is>
      </c>
      <c r="C815" s="2" t="inlineStr">
        <is>
          <t>regulation_item</t>
        </is>
      </c>
      <c r="D815" s="3" t="inlineStr">
        <is>
          <t>Regulation: measure; effective; effect on the company as stated; source</t>
        </is>
      </c>
      <c r="E815" s="2" t="n"/>
      <c r="F815" s="2" t="n"/>
      <c r="G815" s="2" t="n"/>
      <c r="H815" s="3" t="inlineStr">
        <is>
          <t>measure: IFRS 18 Presentation and Disclosure in Financial Statements; effect on the company as stated: new presentation requirements currently being assessed; source: note 2.4</t>
        </is>
      </c>
      <c r="I815" s="2" t="inlineStr">
        <is>
          <t>S2</t>
        </is>
      </c>
      <c r="J815" s="2" t="n">
        <v>121</v>
      </c>
      <c r="K815" s="3" t="inlineStr">
        <is>
          <t>requirements arising from the adoption of IFRS 18, which is currently being</t>
        </is>
      </c>
      <c r="L815" s="2" t="inlineStr">
        <is>
          <t>pend</t>
        </is>
      </c>
      <c r="M815" s="2" t="n"/>
      <c r="N815" s="2" t="n"/>
      <c r="O815" s="3" t="inlineStr">
        <is>
          <t>https://vanillabonds.com/dossier-data/pdf/fastned/fastned-2024-annual-report.pdf#page=121</t>
        </is>
      </c>
    </row>
    <row r="816">
      <c r="A816" s="2" t="inlineStr">
        <is>
          <t>F815</t>
        </is>
      </c>
      <c r="B816" s="2" t="inlineStr">
        <is>
          <t>market</t>
        </is>
      </c>
      <c r="C816" s="2" t="inlineStr">
        <is>
          <t>regulation_item</t>
        </is>
      </c>
      <c r="D816" s="3" t="inlineStr">
        <is>
          <t>Regulation: measure; effective; effect on the company as stated; source</t>
        </is>
      </c>
      <c r="E816" s="2" t="n"/>
      <c r="F816" s="2" t="n"/>
      <c r="G816" s="2" t="n"/>
      <c r="H816" s="3" t="inlineStr">
        <is>
          <t>measure: IFRIC 12 service concession accounting (German highway tender); effect on the company as stated: infrastructure owned by the government, guaranteed fees recognised as financial asset, construction revenue over time; source: note 6</t>
        </is>
      </c>
      <c r="I816" s="2" t="inlineStr">
        <is>
          <t>S2</t>
        </is>
      </c>
      <c r="J816" s="2" t="n">
        <v>130</v>
      </c>
      <c r="K816" s="3" t="inlineStr">
        <is>
          <t>during and after the contract. The arrangement is within the scope of IFRIC 12. The</t>
        </is>
      </c>
      <c r="L816" s="2" t="inlineStr">
        <is>
          <t>pend</t>
        </is>
      </c>
      <c r="M816" s="2" t="n"/>
      <c r="N816" s="2" t="n"/>
      <c r="O816" s="3" t="inlineStr">
        <is>
          <t>https://vanillabonds.com/dossier-data/pdf/fastned/fastned-2024-annual-report.pdf#page=130</t>
        </is>
      </c>
    </row>
    <row r="817">
      <c r="A817" s="2" t="inlineStr">
        <is>
          <t>F816</t>
        </is>
      </c>
      <c r="B817" s="2" t="inlineStr">
        <is>
          <t>market</t>
        </is>
      </c>
      <c r="C817" s="2" t="inlineStr">
        <is>
          <t>regulation_item</t>
        </is>
      </c>
      <c r="D817" s="3" t="inlineStr">
        <is>
          <t>Regulation: measure; effective; effect on the company as stated; source</t>
        </is>
      </c>
      <c r="E817" s="2" t="n"/>
      <c r="F817" s="2" t="n"/>
      <c r="G817" s="2" t="n"/>
      <c r="H817" s="3" t="inlineStr">
        <is>
          <t>measure: Dutch tax-loss utilisation rules (enacted 2021); effective: 2022-01-01; effect on the company as stated: indefinite loss carry-forward but annual deduction capped at EUR 1m plus 50% of taxable profit above EUR 1m; source: Fastned annual report 2024 note 9</t>
        </is>
      </c>
      <c r="I817" s="2" t="inlineStr">
        <is>
          <t>S2</t>
        </is>
      </c>
      <c r="J817" s="2" t="n">
        <v>136</v>
      </c>
      <c r="K817" s="3" t="inlineStr">
        <is>
          <t>New Dutch tax loss utilisation rules were substantively enacted in</t>
        </is>
      </c>
      <c r="L817" s="2" t="inlineStr">
        <is>
          <t>pend</t>
        </is>
      </c>
      <c r="M817" s="2" t="n"/>
      <c r="N817" s="2" t="n"/>
      <c r="O817" s="3" t="inlineStr">
        <is>
          <t>https://vanillabonds.com/dossier-data/pdf/fastned/fastned-2024-annual-report.pdf#page=136</t>
        </is>
      </c>
    </row>
    <row r="818">
      <c r="A818" s="2" t="inlineStr">
        <is>
          <t>F817</t>
        </is>
      </c>
      <c r="B818" s="2" t="inlineStr">
        <is>
          <t>market</t>
        </is>
      </c>
      <c r="C818" s="2" t="inlineStr">
        <is>
          <t>regulation_item</t>
        </is>
      </c>
      <c r="D818" s="3" t="inlineStr">
        <is>
          <t>Regulation: measure; effective; effect on the company as stated; source</t>
        </is>
      </c>
      <c r="E818" s="2" t="n"/>
      <c r="F818" s="2" t="n"/>
      <c r="G818" s="2" t="n"/>
      <c r="H818" s="3" t="inlineStr">
        <is>
          <t>measure: supervision by AFM (NL) and FSMA (BE); effect on the company as stated: auditor inspected correspondence with both regulators, no material non-compliance risk identified; source: auditor's report</t>
        </is>
      </c>
      <c r="I818" s="2" t="inlineStr">
        <is>
          <t>S2</t>
        </is>
      </c>
      <c r="J818" s="2" t="n">
        <v>189</v>
      </c>
      <c r="K818" s="3" t="inlineStr">
        <is>
          <t>We inspected correspondence with the relevant regulators which include the</t>
        </is>
      </c>
      <c r="L818" s="2" t="inlineStr">
        <is>
          <t>pend</t>
        </is>
      </c>
      <c r="M818" s="2" t="n"/>
      <c r="N818" s="2" t="n"/>
      <c r="O818" s="3" t="inlineStr">
        <is>
          <t>https://vanillabonds.com/dossier-data/pdf/fastned/fastned-2024-annual-report.pdf#page=189</t>
        </is>
      </c>
    </row>
    <row r="819">
      <c r="A819" s="2" t="inlineStr">
        <is>
          <t>F818</t>
        </is>
      </c>
      <c r="B819" s="2" t="inlineStr">
        <is>
          <t>market</t>
        </is>
      </c>
      <c r="C819" s="2" t="inlineStr">
        <is>
          <t>regulation_item</t>
        </is>
      </c>
      <c r="D819" s="3" t="inlineStr">
        <is>
          <t>Regulation: measure; effective; effect on the company as stated; source</t>
        </is>
      </c>
      <c r="E819" s="2" t="n"/>
      <c r="F819" s="2" t="n"/>
      <c r="G819" s="2" t="n"/>
      <c r="H819" s="3" t="inlineStr">
        <is>
          <t>measure: ESEF (Delegated Regulation (EU) 2019/815); effect on the company as stated: annual report in XHTML with iXBRL mark-up, auditor opines it complies with the RTS on ESEF; source: auditor's report</t>
        </is>
      </c>
      <c r="I819" s="2" t="inlineStr">
        <is>
          <t>S2</t>
        </is>
      </c>
      <c r="J819" s="2" t="n">
        <v>193</v>
      </c>
      <c r="K819" s="3" t="inlineStr">
        <is>
          <t>Fastned B.V. has prepared its annual report in ESEF. The requirements for this are</t>
        </is>
      </c>
      <c r="L819" s="2" t="inlineStr">
        <is>
          <t>pend</t>
        </is>
      </c>
      <c r="M819" s="2" t="n"/>
      <c r="N819" s="2" t="n"/>
      <c r="O819" s="3" t="inlineStr">
        <is>
          <t>https://vanillabonds.com/dossier-data/pdf/fastned/fastned-2024-annual-report.pdf#page=193</t>
        </is>
      </c>
    </row>
    <row r="820">
      <c r="A820" s="2" t="inlineStr">
        <is>
          <t>F819</t>
        </is>
      </c>
      <c r="B820" s="2" t="inlineStr">
        <is>
          <t>market</t>
        </is>
      </c>
      <c r="C820" s="2" t="inlineStr">
        <is>
          <t>regulation_item</t>
        </is>
      </c>
      <c r="D820" s="3" t="inlineStr">
        <is>
          <t>Regulation: measure; effective; effect on the company as stated; source</t>
        </is>
      </c>
      <c r="E820" s="2" t="n"/>
      <c r="F820" s="2" t="n"/>
      <c r="G820" s="2" t="n"/>
      <c r="H820" s="3" t="inlineStr">
        <is>
          <t>measure: Wft sections 1:1 and 5:25c; effect on the company as stated: the annual report is regulated information; the EU regulation on statutory audit of public-interest entities applies; source: cautionary statement</t>
        </is>
      </c>
      <c r="I820" s="2" t="inlineStr">
        <is>
          <t>S2</t>
        </is>
      </c>
      <c r="J820" s="2" t="n">
        <v>198</v>
      </c>
      <c r="K820" s="3" t="inlineStr">
        <is>
          <t>This report comprises regulated information within the meaning of Sections 1:1</t>
        </is>
      </c>
      <c r="L820" s="2" t="inlineStr">
        <is>
          <t>pend</t>
        </is>
      </c>
      <c r="M820" s="2" t="n"/>
      <c r="N820" s="2" t="n"/>
      <c r="O820" s="3" t="inlineStr">
        <is>
          <t>https://vanillabonds.com/dossier-data/pdf/fastned/fastned-2024-annual-report.pdf#page=198</t>
        </is>
      </c>
    </row>
    <row r="821">
      <c r="A821" s="2" t="inlineStr">
        <is>
          <t>F820</t>
        </is>
      </c>
      <c r="B821" s="2" t="inlineStr">
        <is>
          <t>market</t>
        </is>
      </c>
      <c r="C821" s="2" t="inlineStr">
        <is>
          <t>regulation_item</t>
        </is>
      </c>
      <c r="D821" s="3" t="inlineStr">
        <is>
          <t>Regulation: measure; effective; effect on the company as stated; source</t>
        </is>
      </c>
      <c r="E821" s="2" t="n"/>
      <c r="F821" s="2" t="n"/>
      <c r="G821" s="2" t="n"/>
      <c r="H821" s="3" t="inlineStr">
        <is>
          <t>measure: Alternative Fuels Infrastructure Regulation (AFIR); effect on the company as stated: implementation of the regulation of the fast-charging industry discussed with governments and eMSPs ('AFIR implications'); source: stakeholder table</t>
        </is>
      </c>
      <c r="I821" s="2" t="inlineStr">
        <is>
          <t>S2</t>
        </is>
      </c>
      <c r="J821" s="2" t="n">
        <v>202</v>
      </c>
      <c r="K821" s="3" t="inlineStr">
        <is>
          <t>Alternative Fuels Infrastructure Regulation (AFIR)</t>
        </is>
      </c>
      <c r="L821" s="2" t="inlineStr">
        <is>
          <t>pend</t>
        </is>
      </c>
      <c r="M821" s="2" t="n"/>
      <c r="N821" s="2" t="n"/>
      <c r="O821" s="3" t="inlineStr">
        <is>
          <t>https://vanillabonds.com/dossier-data/pdf/fastned/fastned-2024-annual-report.pdf#page=202</t>
        </is>
      </c>
    </row>
    <row r="822">
      <c r="A822" s="2" t="inlineStr">
        <is>
          <t>F821</t>
        </is>
      </c>
      <c r="B822" s="2" t="inlineStr">
        <is>
          <t>market</t>
        </is>
      </c>
      <c r="C822" s="2" t="inlineStr">
        <is>
          <t>contract_term</t>
        </is>
      </c>
      <c r="D822" s="3" t="inlineStr">
        <is>
          <t>Key contract: counterparty; share (of revenue or purchases, 0-1); duration; termination; indexation</t>
        </is>
      </c>
      <c r="E822" s="2" t="n"/>
      <c r="F822" s="2" t="n"/>
      <c r="G822" s="2" t="n"/>
      <c r="H822" s="3" t="inlineStr">
        <is>
          <t>counterparty: Deutschlandnetz (German federal tender); 34 locations won plus concessionaire status with financing support for dozens of search areas</t>
        </is>
      </c>
      <c r="I822" s="2" t="inlineStr">
        <is>
          <t>S2</t>
        </is>
      </c>
      <c r="J822" s="2" t="n">
        <v>9</v>
      </c>
      <c r="K822" s="3" t="inlineStr">
        <is>
          <t>gaining access to dozens of other areas for which Fastned is the appointed concessionaire to search for a location and is supported with financing.</t>
        </is>
      </c>
      <c r="L822" s="2" t="inlineStr">
        <is>
          <t>pend</t>
        </is>
      </c>
      <c r="M822" s="2" t="n"/>
      <c r="N822" s="2" t="n"/>
      <c r="O822" s="3" t="inlineStr">
        <is>
          <t>https://vanillabonds.com/dossier-data/pdf/fastned/fastned-2024-annual-report.pdf#page=9</t>
        </is>
      </c>
    </row>
    <row r="823">
      <c r="A823" s="2" t="inlineStr">
        <is>
          <t>F822</t>
        </is>
      </c>
      <c r="B823" s="2" t="inlineStr">
        <is>
          <t>market</t>
        </is>
      </c>
      <c r="C823" s="2" t="inlineStr">
        <is>
          <t>contract_term</t>
        </is>
      </c>
      <c r="D823" s="3" t="inlineStr">
        <is>
          <t>Key contract: counterparty; share (of revenue or purchases, 0-1); duration; termination; indexation</t>
        </is>
      </c>
      <c r="E823" s="2" t="n"/>
      <c r="F823" s="2" t="n"/>
      <c r="G823" s="2" t="n"/>
      <c r="H823" s="3" t="inlineStr">
        <is>
          <t>counterparty: GLP (rooftop solar PPA, Zevenaar, 15 GWh per year to Dutch stations at a fixed price); duration: multi-year, concluded early 2024</t>
        </is>
      </c>
      <c r="I823" s="2" t="inlineStr">
        <is>
          <t>S2</t>
        </is>
      </c>
      <c r="J823" s="2" t="n">
        <v>58</v>
      </c>
      <c r="K823" s="3" t="inlineStr">
        <is>
          <t>It supplies 15 GWh of electricity annually to Fastned, which is used to charge electric vehicles at Dutch fast charging stations.</t>
        </is>
      </c>
      <c r="L823" s="2" t="inlineStr">
        <is>
          <t>pend</t>
        </is>
      </c>
      <c r="M823" s="2" t="n"/>
      <c r="N823" s="2" t="n"/>
      <c r="O823" s="3" t="inlineStr">
        <is>
          <t>https://vanillabonds.com/dossier-data/pdf/fastned/fastned-2024-annual-report.pdf#page=58</t>
        </is>
      </c>
    </row>
    <row r="824">
      <c r="A824" s="2" t="inlineStr">
        <is>
          <t>F823</t>
        </is>
      </c>
      <c r="B824" s="2" t="inlineStr">
        <is>
          <t>market</t>
        </is>
      </c>
      <c r="C824" s="2" t="inlineStr">
        <is>
          <t>contract_term</t>
        </is>
      </c>
      <c r="D824" s="3" t="inlineStr">
        <is>
          <t>Key contract: counterparty; share (of revenue or purchases, 0-1); duration; termination; indexation</t>
        </is>
      </c>
      <c r="E824" s="2" t="n"/>
      <c r="F824" s="2" t="n"/>
      <c r="G824" s="2" t="n"/>
      <c r="H824" s="3" t="inlineStr">
        <is>
          <t>counterparty: Ecorus (solar PPA, 43,000 panels Den Helder, delivery to Dutch stations); duration: from January 2026, concluded spring 2024</t>
        </is>
      </c>
      <c r="I824" s="2" t="inlineStr">
        <is>
          <t>S2</t>
        </is>
      </c>
      <c r="J824" s="2" t="n">
        <v>58</v>
      </c>
      <c r="K824" s="3" t="inlineStr">
        <is>
          <t>In Spring 2024, Fastned concluded its second corporate PPA with Ecorus.</t>
        </is>
      </c>
      <c r="L824" s="2" t="inlineStr">
        <is>
          <t>pend</t>
        </is>
      </c>
      <c r="M824" s="2" t="n"/>
      <c r="N824" s="2" t="n"/>
      <c r="O824" s="3" t="inlineStr">
        <is>
          <t>https://vanillabonds.com/dossier-data/pdf/fastned/fastned-2024-annual-report.pdf#page=58</t>
        </is>
      </c>
    </row>
    <row r="825">
      <c r="A825" s="2" t="inlineStr">
        <is>
          <t>F824</t>
        </is>
      </c>
      <c r="B825" s="2" t="inlineStr">
        <is>
          <t>market</t>
        </is>
      </c>
      <c r="C825" s="2" t="inlineStr">
        <is>
          <t>contract_term</t>
        </is>
      </c>
      <c r="D825" s="3" t="inlineStr">
        <is>
          <t>Key contract: counterparty; share (of revenue or purchases, 0-1); duration; termination; indexation</t>
        </is>
      </c>
      <c r="E825" s="2" t="n"/>
      <c r="F825" s="2" t="n"/>
      <c r="G825" s="2" t="n"/>
      <c r="H825" s="3" t="inlineStr">
        <is>
          <t>counterparty: local wind producer Eemshaven, supported by Topwind (wind PPA, 4.65 MW turbine, over 15 million kWh per year); duration: twelve years from November 2024</t>
        </is>
      </c>
      <c r="I825" s="2" t="inlineStr">
        <is>
          <t>S2</t>
        </is>
      </c>
      <c r="J825" s="2" t="n">
        <v>59</v>
      </c>
      <c r="K825" s="3" t="inlineStr">
        <is>
          <t>The agreement has a term of twelve years and provides sufficient electricity to drive an estimated one billion kilometres electrically during this period.</t>
        </is>
      </c>
      <c r="L825" s="2" t="inlineStr">
        <is>
          <t>pend</t>
        </is>
      </c>
      <c r="M825" s="2" t="n"/>
      <c r="N825" s="2" t="n"/>
      <c r="O825" s="3" t="inlineStr">
        <is>
          <t>https://vanillabonds.com/dossier-data/pdf/fastned/fastned-2024-annual-report.pdf#page=59</t>
        </is>
      </c>
    </row>
    <row r="826">
      <c r="A826" s="2" t="inlineStr">
        <is>
          <t>F825</t>
        </is>
      </c>
      <c r="B826" s="2" t="inlineStr">
        <is>
          <t>market</t>
        </is>
      </c>
      <c r="C826" s="2" t="inlineStr">
        <is>
          <t>contract_term</t>
        </is>
      </c>
      <c r="D826" s="3" t="inlineStr">
        <is>
          <t>Key contract: counterparty; share (of revenue or purchases, 0-1); duration; termination; indexation</t>
        </is>
      </c>
      <c r="E826" s="2" t="n"/>
      <c r="F826" s="2" t="n"/>
      <c r="G826" s="2" t="n"/>
      <c r="H826" s="3" t="inlineStr">
        <is>
          <t>counterparty: Places for London (JV Fast Places Limited); duration: initial five sites, plan 25 by end of decade; termination: deadlock resolution process, unanimous approval for business plan changes and new sites</t>
        </is>
      </c>
      <c r="I826" s="2" t="inlineStr">
        <is>
          <t>S2</t>
        </is>
      </c>
      <c r="J826" s="2" t="n">
        <v>127</v>
      </c>
      <c r="K826" s="3" t="inlineStr">
        <is>
          <t>Fastned UK and Places for London will jointly invest in developing ultra-rapid</t>
        </is>
      </c>
      <c r="L826" s="2" t="inlineStr">
        <is>
          <t>pend</t>
        </is>
      </c>
      <c r="M826" s="2" t="n"/>
      <c r="N826" s="2" t="n"/>
      <c r="O826" s="3" t="inlineStr">
        <is>
          <t>https://vanillabonds.com/dossier-data/pdf/fastned/fastned-2024-annual-report.pdf#page=127</t>
        </is>
      </c>
    </row>
    <row r="827">
      <c r="A827" s="2" t="inlineStr">
        <is>
          <t>F826</t>
        </is>
      </c>
      <c r="B827" s="2" t="inlineStr">
        <is>
          <t>market</t>
        </is>
      </c>
      <c r="C827" s="2" t="inlineStr">
        <is>
          <t>contract_term</t>
        </is>
      </c>
      <c r="D827" s="3" t="inlineStr">
        <is>
          <t>Key contract: counterparty; share (of revenue or purchases, 0-1); duration; termination; indexation</t>
        </is>
      </c>
      <c r="E827" s="2" t="n"/>
      <c r="F827" s="2" t="n"/>
      <c r="G827" s="2" t="n"/>
      <c r="H827" s="3" t="inlineStr">
        <is>
          <t>counterparty: Rijksvastgoedbedrijf and other landlords (land for stations); duration: average land lease term 16 years (2023: 16); indexation: some leases carry variable payments linked to station sales; decommissioning obligation at expiry</t>
        </is>
      </c>
      <c r="I827" s="2" t="inlineStr">
        <is>
          <t>S2</t>
        </is>
      </c>
      <c r="J827" s="2" t="n">
        <v>145</v>
      </c>
      <c r="K827" s="3" t="inlineStr">
        <is>
          <t>The Group leases assets including buildings, land, equipment and vehicles. The average lease term for Land leases is 16 years (2023: 16 years).</t>
        </is>
      </c>
      <c r="L827" s="2" t="inlineStr">
        <is>
          <t>pend</t>
        </is>
      </c>
      <c r="M827" s="2" t="n"/>
      <c r="N827" s="2" t="n"/>
      <c r="O827" s="3" t="inlineStr">
        <is>
          <t>https://vanillabonds.com/dossier-data/pdf/fastned/fastned-2024-annual-report.pdf#page=145</t>
        </is>
      </c>
    </row>
    <row r="828">
      <c r="A828" s="2" t="inlineStr">
        <is>
          <t>F827</t>
        </is>
      </c>
      <c r="B828" s="2" t="inlineStr">
        <is>
          <t>market</t>
        </is>
      </c>
      <c r="C828" s="2" t="inlineStr">
        <is>
          <t>contract_term</t>
        </is>
      </c>
      <c r="D828" s="3" t="inlineStr">
        <is>
          <t>Key contract: counterparty; share (of revenue or purchases, 0-1); duration; termination; indexation</t>
        </is>
      </c>
      <c r="E828" s="2" t="n"/>
      <c r="F828" s="2" t="n"/>
      <c r="G828" s="2" t="n"/>
      <c r="H828" s="3" t="inlineStr">
        <is>
          <t>counterparty: retailer (shop at one station, finance lease as lessor); duration: receivable EUR 148k per year for years 1-3, lease receivable EUR 1.79m; indexation: EUR-denominated</t>
        </is>
      </c>
      <c r="I828" s="2" t="inlineStr">
        <is>
          <t>S2</t>
        </is>
      </c>
      <c r="J828" s="2" t="n">
        <v>146</v>
      </c>
      <c r="K828" s="3" t="inlineStr">
        <is>
          <t>lessor of a commercial space to a lessee to operate a shop at one station</t>
        </is>
      </c>
      <c r="L828" s="2" t="inlineStr">
        <is>
          <t>pend</t>
        </is>
      </c>
      <c r="M828" s="2" t="n"/>
      <c r="N828" s="2" t="n"/>
      <c r="O828" s="3" t="inlineStr">
        <is>
          <t>https://vanillabonds.com/dossier-data/pdf/fastned/fastned-2024-annual-report.pdf#page=146</t>
        </is>
      </c>
    </row>
    <row r="829">
      <c r="A829" s="2" t="inlineStr">
        <is>
          <t>F828</t>
        </is>
      </c>
      <c r="B829" s="2" t="inlineStr">
        <is>
          <t>market</t>
        </is>
      </c>
      <c r="C829" s="2" t="inlineStr">
        <is>
          <t>contract_term</t>
        </is>
      </c>
      <c r="D829" s="3" t="inlineStr">
        <is>
          <t>Key contract: counterparty; share (of revenue or purchases, 0-1); duration; termination; indexation</t>
        </is>
      </c>
      <c r="E829" s="2" t="n"/>
      <c r="F829" s="2" t="n"/>
      <c r="G829" s="2" t="n"/>
      <c r="H829" s="3" t="inlineStr">
        <is>
          <t>counterparty: charge card providers (eMSPs); share: not stated; indexation: invoiced monthly, receivables spread over a small number of providers</t>
        </is>
      </c>
      <c r="I829" s="2" t="inlineStr">
        <is>
          <t>S2</t>
        </is>
      </c>
      <c r="J829" s="2" t="n">
        <v>151</v>
      </c>
      <c r="K829" s="3" t="inlineStr">
        <is>
          <t>card providers are invoiced monthly, and spread over a small number of charge</t>
        </is>
      </c>
      <c r="L829" s="2" t="inlineStr">
        <is>
          <t>pend</t>
        </is>
      </c>
      <c r="M829" s="2" t="n"/>
      <c r="N829" s="2" t="n"/>
      <c r="O829" s="3" t="inlineStr">
        <is>
          <t>https://vanillabonds.com/dossier-data/pdf/fastned/fastned-2024-annual-report.pdf#page=151</t>
        </is>
      </c>
    </row>
    <row r="830">
      <c r="A830" s="2" t="inlineStr">
        <is>
          <t>F829</t>
        </is>
      </c>
      <c r="B830" s="2" t="inlineStr">
        <is>
          <t>market</t>
        </is>
      </c>
      <c r="C830" s="2" t="inlineStr">
        <is>
          <t>contract_term</t>
        </is>
      </c>
      <c r="D830" s="3" t="inlineStr">
        <is>
          <t>Key contract: counterparty; share (of revenue or purchases, 0-1); duration; termination; indexation</t>
        </is>
      </c>
      <c r="E830" s="2" t="n"/>
      <c r="F830" s="2" t="n"/>
      <c r="G830" s="2" t="n"/>
      <c r="H830" s="3" t="inlineStr">
        <is>
          <t>counterparty: German Federal Government (highway tender, 34 HPC sites); duration: 8 years with option to extend up to 2 years; indexation: guaranteed minimum installation fee and operator fee recognised as financial asset (IFRIC 12)</t>
        </is>
      </c>
      <c r="I830" s="2" t="inlineStr">
        <is>
          <t>S2</t>
        </is>
      </c>
      <c r="J830" s="2" t="n">
        <v>154</v>
      </c>
      <c r="K830" s="3" t="inlineStr">
        <is>
          <t>expected to last 8 years, with an option to extend for a maximum of 2 further</t>
        </is>
      </c>
      <c r="L830" s="2" t="inlineStr">
        <is>
          <t>pend</t>
        </is>
      </c>
      <c r="M830" s="2" t="n"/>
      <c r="N830" s="2" t="n"/>
      <c r="O830" s="3" t="inlineStr">
        <is>
          <t>https://vanillabonds.com/dossier-data/pdf/fastned/fastned-2024-annual-report.pdf#page=154</t>
        </is>
      </c>
    </row>
    <row r="831">
      <c r="A831" s="2" t="inlineStr">
        <is>
          <t>F830</t>
        </is>
      </c>
      <c r="B831" s="2" t="inlineStr">
        <is>
          <t>market</t>
        </is>
      </c>
      <c r="C831" s="2" t="inlineStr">
        <is>
          <t>price_cost_series</t>
        </is>
      </c>
      <c r="D831" s="3" t="inlineStr">
        <is>
          <t>Price or input-cost series: variable; year; value; unit; source</t>
        </is>
      </c>
      <c r="E831" s="2" t="n"/>
      <c r="F831" s="2" t="n">
        <v>0.49</v>
      </c>
      <c r="G831" s="2" t="n"/>
      <c r="H831" s="3" t="inlineStr">
        <is>
          <t>variable: gross profit margin per kWh sold; year: 2024; value: 0.49; unit: EUR/kWh; source: company (2023: 0.45)</t>
        </is>
      </c>
      <c r="I831" s="2" t="inlineStr">
        <is>
          <t>S2</t>
        </is>
      </c>
      <c r="J831" s="2" t="n">
        <v>40</v>
      </c>
      <c r="K831" s="3" t="inlineStr">
        <is>
          <t>higher gross profit margins per kWh (€0.49 vs €0.45 in 2023)</t>
        </is>
      </c>
      <c r="L831" s="2" t="inlineStr">
        <is>
          <t>pend</t>
        </is>
      </c>
      <c r="M831" s="2" t="n"/>
      <c r="N831" s="2" t="n"/>
      <c r="O831" s="3" t="inlineStr">
        <is>
          <t>https://vanillabonds.com/dossier-data/pdf/fastned/fastned-2024-annual-report.pdf#page=40</t>
        </is>
      </c>
    </row>
    <row r="832">
      <c r="A832" s="2" t="inlineStr">
        <is>
          <t>F831</t>
        </is>
      </c>
      <c r="B832" s="2" t="inlineStr">
        <is>
          <t>market</t>
        </is>
      </c>
      <c r="C832" s="2" t="inlineStr">
        <is>
          <t>price_cost_series</t>
        </is>
      </c>
      <c r="D832" s="3" t="inlineStr">
        <is>
          <t>Price or input-cost series: variable; year; value; unit; source</t>
        </is>
      </c>
      <c r="E832" s="2" t="n"/>
      <c r="F832" s="2" t="n">
        <v>18.9</v>
      </c>
      <c r="G832" s="2" t="n"/>
      <c r="H832" s="3" t="inlineStr">
        <is>
          <t>variable: network operation costs per charger; year: 2024; value: 18.9; unit: EUR thousand; source: company (+33%)</t>
        </is>
      </c>
      <c r="I832" s="2" t="inlineStr">
        <is>
          <t>S2</t>
        </is>
      </c>
      <c r="J832" s="2" t="n">
        <v>40</v>
      </c>
      <c r="K832" s="3" t="inlineStr">
        <is>
          <t>Network operation costs per charger, the more relevant number, increased by 33% to €18.9 thousand.</t>
        </is>
      </c>
      <c r="L832" s="2" t="inlineStr">
        <is>
          <t>pend</t>
        </is>
      </c>
      <c r="M832" s="2" t="n"/>
      <c r="N832" s="2" t="n"/>
      <c r="O832" s="3" t="inlineStr">
        <is>
          <t>https://vanillabonds.com/dossier-data/pdf/fastned/fastned-2024-annual-report.pdf#page=40</t>
        </is>
      </c>
    </row>
    <row r="833">
      <c r="A833" s="2" t="inlineStr">
        <is>
          <t>F832</t>
        </is>
      </c>
      <c r="B833" s="2" t="inlineStr">
        <is>
          <t>market</t>
        </is>
      </c>
      <c r="C833" s="2" t="inlineStr">
        <is>
          <t>price_cost_series</t>
        </is>
      </c>
      <c r="D833" s="3" t="inlineStr">
        <is>
          <t>Price or input-cost series: variable; year; value; unit; source</t>
        </is>
      </c>
      <c r="E833" s="2" t="n"/>
      <c r="F833" s="2" t="n">
        <v>270</v>
      </c>
      <c r="G833" s="2" t="n"/>
      <c r="H833" s="3" t="inlineStr">
        <is>
          <t>variable: annual revenue per station; year: 2024; value: 270; unit: EUR thousand; source: company (+21%)</t>
        </is>
      </c>
      <c r="I833" s="2" t="inlineStr">
        <is>
          <t>S2</t>
        </is>
      </c>
      <c r="J833" s="2" t="n">
        <v>40</v>
      </c>
      <c r="K833" s="3" t="inlineStr">
        <is>
          <t>Annual revenue per station grew to €270 thousand, an increase of 21% from 2023.</t>
        </is>
      </c>
      <c r="L833" s="2" t="inlineStr">
        <is>
          <t>pend</t>
        </is>
      </c>
      <c r="M833" s="2" t="n"/>
      <c r="N833" s="2" t="n"/>
      <c r="O833" s="3" t="inlineStr">
        <is>
          <t>https://vanillabonds.com/dossier-data/pdf/fastned/fastned-2024-annual-report.pdf#page=40</t>
        </is>
      </c>
    </row>
    <row r="834">
      <c r="A834" s="2" t="inlineStr">
        <is>
          <t>F833</t>
        </is>
      </c>
      <c r="B834" s="2" t="inlineStr">
        <is>
          <t>market</t>
        </is>
      </c>
      <c r="C834" s="2" t="inlineStr">
        <is>
          <t>price_cost_series</t>
        </is>
      </c>
      <c r="D834" s="3" t="inlineStr">
        <is>
          <t>Price or input-cost series: variable; year; value; unit; source</t>
        </is>
      </c>
      <c r="E834" s="2" t="n"/>
      <c r="F834" s="2" t="n">
        <v>17.8</v>
      </c>
      <c r="G834" s="2" t="n"/>
      <c r="H834" s="3" t="inlineStr">
        <is>
          <t>variable: cost of sales of electricity; year: 2024; value: 17.8; unit: EUR m; source: Fastned annual report 2024 note 7</t>
        </is>
      </c>
      <c r="I834" s="2" t="inlineStr">
        <is>
          <t>S2</t>
        </is>
      </c>
      <c r="J834" s="2" t="n">
        <v>133</v>
      </c>
      <c r="K834" s="2" t="inlineStr">
        <is>
          <t>Sales of electricity 17,847 15,611</t>
        </is>
      </c>
      <c r="L834" s="2" t="inlineStr">
        <is>
          <t>pend</t>
        </is>
      </c>
      <c r="M834" s="2" t="n"/>
      <c r="N834" s="2" t="n"/>
      <c r="O834" s="3" t="inlineStr">
        <is>
          <t>https://vanillabonds.com/dossier-data/pdf/fastned/fastned-2024-annual-report.pdf#page=133</t>
        </is>
      </c>
    </row>
    <row r="835">
      <c r="A835" s="2" t="inlineStr">
        <is>
          <t>F834</t>
        </is>
      </c>
      <c r="B835" s="2" t="inlineStr">
        <is>
          <t>market</t>
        </is>
      </c>
      <c r="C835" s="2" t="inlineStr">
        <is>
          <t>price_cost_series</t>
        </is>
      </c>
      <c r="D835" s="3" t="inlineStr">
        <is>
          <t>Price or input-cost series: variable; year; value; unit; source</t>
        </is>
      </c>
      <c r="E835" s="2" t="n"/>
      <c r="F835" s="2" t="n">
        <v>15.6</v>
      </c>
      <c r="G835" s="2" t="n"/>
      <c r="H835" s="3" t="inlineStr">
        <is>
          <t>variable: cost of sales of electricity; year: 2023; value: 15.6; unit: EUR m; source: Fastned annual report 2024 note 7</t>
        </is>
      </c>
      <c r="I835" s="2" t="inlineStr">
        <is>
          <t>S2</t>
        </is>
      </c>
      <c r="J835" s="2" t="n">
        <v>133</v>
      </c>
      <c r="K835" s="2" t="inlineStr">
        <is>
          <t>Sales of electricity 17,847 15,611</t>
        </is>
      </c>
      <c r="L835" s="2" t="inlineStr">
        <is>
          <t>pend</t>
        </is>
      </c>
      <c r="M835" s="2" t="n"/>
      <c r="N835" s="2" t="n"/>
      <c r="O835" s="3" t="inlineStr">
        <is>
          <t>https://vanillabonds.com/dossier-data/pdf/fastned/fastned-2024-annual-report.pdf#page=133</t>
        </is>
      </c>
    </row>
    <row r="836">
      <c r="A836" s="2" t="inlineStr">
        <is>
          <t>F835</t>
        </is>
      </c>
      <c r="B836" s="2" t="inlineStr">
        <is>
          <t>market</t>
        </is>
      </c>
      <c r="C836" s="2" t="inlineStr">
        <is>
          <t>price_cost_series</t>
        </is>
      </c>
      <c r="D836" s="3" t="inlineStr">
        <is>
          <t>Price or input-cost series: variable; year; value; unit; source</t>
        </is>
      </c>
      <c r="E836" s="2" t="n"/>
      <c r="F836" s="2" t="n">
        <v>13.7</v>
      </c>
      <c r="G836" s="2" t="n"/>
      <c r="H836" s="3" t="inlineStr">
        <is>
          <t>variable: grid fees; year: 2024; value: 13.7; unit: EUR m; source: Fastned annual report 2024 note 8.3</t>
        </is>
      </c>
      <c r="I836" s="2" t="inlineStr">
        <is>
          <t>S2</t>
        </is>
      </c>
      <c r="J836" s="2" t="n">
        <v>135</v>
      </c>
      <c r="K836" s="2" t="inlineStr">
        <is>
          <t>Grid Fees 13,676 7,416</t>
        </is>
      </c>
      <c r="L836" s="2" t="inlineStr">
        <is>
          <t>pend</t>
        </is>
      </c>
      <c r="M836" s="2" t="n"/>
      <c r="N836" s="2" t="n"/>
      <c r="O836" s="3" t="inlineStr">
        <is>
          <t>https://vanillabonds.com/dossier-data/pdf/fastned/fastned-2024-annual-report.pdf#page=135</t>
        </is>
      </c>
    </row>
    <row r="837">
      <c r="A837" s="2" t="inlineStr">
        <is>
          <t>F836</t>
        </is>
      </c>
      <c r="B837" s="2" t="inlineStr">
        <is>
          <t>market</t>
        </is>
      </c>
      <c r="C837" s="2" t="inlineStr">
        <is>
          <t>price_cost_series</t>
        </is>
      </c>
      <c r="D837" s="3" t="inlineStr">
        <is>
          <t>Price or input-cost series: variable; year; value; unit; source</t>
        </is>
      </c>
      <c r="E837" s="2" t="n"/>
      <c r="F837" s="2" t="n">
        <v>7.4</v>
      </c>
      <c r="G837" s="2" t="n"/>
      <c r="H837" s="3" t="inlineStr">
        <is>
          <t>variable: grid fees; year: 2023; value: 7.4; unit: EUR m; source: Fastned annual report 2024 note 8.3</t>
        </is>
      </c>
      <c r="I837" s="2" t="inlineStr">
        <is>
          <t>S2</t>
        </is>
      </c>
      <c r="J837" s="2" t="n">
        <v>135</v>
      </c>
      <c r="K837" s="2" t="inlineStr">
        <is>
          <t>Grid Fees 13,676 7,416</t>
        </is>
      </c>
      <c r="L837" s="2" t="inlineStr">
        <is>
          <t>pend</t>
        </is>
      </c>
      <c r="M837" s="2" t="n"/>
      <c r="N837" s="2" t="n"/>
      <c r="O837" s="3" t="inlineStr">
        <is>
          <t>https://vanillabonds.com/dossier-data/pdf/fastned/fastned-2024-annual-report.pdf#page=135</t>
        </is>
      </c>
    </row>
    <row r="838">
      <c r="A838" s="2" t="inlineStr">
        <is>
          <t>F837</t>
        </is>
      </c>
      <c r="B838" s="2" t="inlineStr">
        <is>
          <t>market</t>
        </is>
      </c>
      <c r="C838" s="2" t="inlineStr">
        <is>
          <t>permit</t>
        </is>
      </c>
      <c r="D838" s="3" t="inlineStr">
        <is>
          <t>Certification, licence, permit or patent: item; issuer; expiry; register</t>
        </is>
      </c>
      <c r="E838" s="2" t="n"/>
      <c r="F838" s="2" t="n"/>
      <c r="G838" s="2" t="n"/>
      <c r="H838" s="3" t="inlineStr">
        <is>
          <t>item: B Corp certification; issuer: B Lab; expiry: re-certification planned 2027</t>
        </is>
      </c>
      <c r="I838" s="2" t="inlineStr">
        <is>
          <t>S2</t>
        </is>
      </c>
      <c r="J838" s="2" t="n">
        <v>51</v>
      </c>
      <c r="K838" s="3" t="inlineStr">
        <is>
          <t>Fastned certified as a B Corp for the first time in mid-2024.</t>
        </is>
      </c>
      <c r="L838" s="2" t="inlineStr">
        <is>
          <t>pend</t>
        </is>
      </c>
      <c r="M838" s="2" t="n"/>
      <c r="N838" s="2" t="n"/>
      <c r="O838" s="3" t="inlineStr">
        <is>
          <t>https://vanillabonds.com/dossier-data/pdf/fastned/fastned-2024-annual-report.pdf#page=51</t>
        </is>
      </c>
    </row>
    <row r="839">
      <c r="A839" s="2" t="inlineStr">
        <is>
          <t>F838</t>
        </is>
      </c>
      <c r="B839" s="2" t="inlineStr">
        <is>
          <t>market</t>
        </is>
      </c>
      <c r="C839" s="2" t="inlineStr">
        <is>
          <t>permit</t>
        </is>
      </c>
      <c r="D839" s="3" t="inlineStr">
        <is>
          <t>Certification, licence, permit or patent: item; issuer; expiry; register</t>
        </is>
      </c>
      <c r="E839" s="2" t="n"/>
      <c r="F839" s="2" t="n"/>
      <c r="G839" s="2" t="n"/>
      <c r="H839" s="3" t="inlineStr">
        <is>
          <t>item: CO2 Performance Ladder Level 4 (re-certified late 2024); issuer: Dutch CO2 Prestatieladder scheme</t>
        </is>
      </c>
      <c r="I839" s="2" t="inlineStr">
        <is>
          <t>S2</t>
        </is>
      </c>
      <c r="J839" s="2" t="n">
        <v>57</v>
      </c>
      <c r="K839" s="3" t="inlineStr">
        <is>
          <t>In late 2024, Fastned underwent a successful re-certification for the CO2 Performance Ladder, maintaining our Level 4 status.</t>
        </is>
      </c>
      <c r="L839" s="2" t="inlineStr">
        <is>
          <t>pend</t>
        </is>
      </c>
      <c r="M839" s="2" t="n"/>
      <c r="N839" s="2" t="n"/>
      <c r="O839" s="3" t="inlineStr">
        <is>
          <t>https://vanillabonds.com/dossier-data/pdf/fastned/fastned-2024-annual-report.pdf#page=57</t>
        </is>
      </c>
    </row>
    <row r="840">
      <c r="A840" s="2" t="inlineStr">
        <is>
          <t>F839</t>
        </is>
      </c>
      <c r="B840" s="2" t="inlineStr">
        <is>
          <t>market</t>
        </is>
      </c>
      <c r="C840" s="2" t="inlineStr">
        <is>
          <t>permit</t>
        </is>
      </c>
      <c r="D840" s="3" t="inlineStr">
        <is>
          <t>Certification, licence, permit or patent: item; issuer; expiry; register</t>
        </is>
      </c>
      <c r="E840" s="2" t="n"/>
      <c r="F840" s="2" t="n"/>
      <c r="G840" s="2" t="n"/>
      <c r="H840" s="3" t="inlineStr">
        <is>
          <t>item: ChargeSafe accessibility inspection of UK stations (draft PAS1899 BSI standard); issuer: ChargeSafe</t>
        </is>
      </c>
      <c r="I840" s="2" t="inlineStr">
        <is>
          <t>S2</t>
        </is>
      </c>
      <c r="J840" s="2" t="n">
        <v>61</v>
      </c>
      <c r="K840" s="3" t="inlineStr">
        <is>
          <t>In 2024, Fastned’s UK stations were professionally reviewed by ChargeSafe, a public charging endorsement body</t>
        </is>
      </c>
      <c r="L840" s="2" t="inlineStr">
        <is>
          <t>pend</t>
        </is>
      </c>
      <c r="M840" s="2" t="n"/>
      <c r="N840" s="2" t="n"/>
      <c r="O840" s="3" t="inlineStr">
        <is>
          <t>https://vanillabonds.com/dossier-data/pdf/fastned/fastned-2024-annual-report.pdf#page=61</t>
        </is>
      </c>
    </row>
    <row r="841">
      <c r="A841" s="2" t="inlineStr">
        <is>
          <t>F840</t>
        </is>
      </c>
      <c r="B841" s="2" t="inlineStr">
        <is>
          <t>market</t>
        </is>
      </c>
      <c r="C841" s="2" t="inlineStr">
        <is>
          <t>permit</t>
        </is>
      </c>
      <c r="D841" s="3" t="inlineStr">
        <is>
          <t>Certification, licence, permit or patent: item; issuer; expiry; register</t>
        </is>
      </c>
      <c r="E841" s="2" t="n"/>
      <c r="F841" s="2" t="n">
        <v>1.6</v>
      </c>
      <c r="G841" s="2" t="n"/>
      <c r="H841" s="3" t="inlineStr">
        <is>
          <t>item: site licences and permits (intangible asset); value: NBV EUR 1.6m (2023: 1.8m), amortised over 15 or 8 years</t>
        </is>
      </c>
      <c r="I841" s="2" t="inlineStr">
        <is>
          <t>S2</t>
        </is>
      </c>
      <c r="J841" s="2" t="n">
        <v>140</v>
      </c>
      <c r="K841" s="3" t="inlineStr">
        <is>
          <t>At 31 December Net Book Value 1,597 820 41 2,458 1,819 653 32 2,504</t>
        </is>
      </c>
      <c r="L841" s="2" t="inlineStr">
        <is>
          <t>pend</t>
        </is>
      </c>
      <c r="M841" s="2" t="n"/>
      <c r="N841" s="2" t="n"/>
      <c r="O841" s="3" t="inlineStr">
        <is>
          <t>https://vanillabonds.com/dossier-data/pdf/fastned/fastned-2024-annual-report.pdf#page=140</t>
        </is>
      </c>
    </row>
    <row r="842">
      <c r="A842" s="2" t="inlineStr">
        <is>
          <t>F841</t>
        </is>
      </c>
      <c r="B842" s="2" t="inlineStr">
        <is>
          <t>market</t>
        </is>
      </c>
      <c r="C842" s="2" t="inlineStr">
        <is>
          <t>permit</t>
        </is>
      </c>
      <c r="D842" s="3" t="inlineStr">
        <is>
          <t>Certification, licence, permit or patent: item; issuer; expiry; register</t>
        </is>
      </c>
      <c r="E842" s="2" t="n"/>
      <c r="F842" s="2" t="n"/>
      <c r="G842" s="2" t="n"/>
      <c r="H842" s="3" t="inlineStr">
        <is>
          <t>item: trademarks; register: brand names owned by or licensed to Group companies; NBV EUR 41k</t>
        </is>
      </c>
      <c r="I842" s="2" t="inlineStr">
        <is>
          <t>S2</t>
        </is>
      </c>
      <c r="J842" s="2" t="n">
        <v>198</v>
      </c>
      <c r="K842" s="3" t="inlineStr">
        <is>
          <t>The brand names shown in this report are trademarks owned by or licensed to</t>
        </is>
      </c>
      <c r="L842" s="2" t="inlineStr">
        <is>
          <t>pend</t>
        </is>
      </c>
      <c r="M842" s="2" t="n"/>
      <c r="N842" s="2" t="n"/>
      <c r="O842" s="3" t="inlineStr">
        <is>
          <t>https://vanillabonds.com/dossier-data/pdf/fastned/fastned-2024-annual-report.pdf#page=198</t>
        </is>
      </c>
    </row>
    <row r="843">
      <c r="A843" s="2" t="inlineStr">
        <is>
          <t>F842</t>
        </is>
      </c>
      <c r="B843" s="2" t="inlineStr">
        <is>
          <t>financials</t>
        </is>
      </c>
      <c r="C843" s="2" t="inlineStr">
        <is>
          <t>addback_item</t>
        </is>
      </c>
      <c r="D843" s="3" t="inlineStr">
        <is>
          <t>EBITDA add-back: item; amount; justification as given by the company</t>
        </is>
      </c>
      <c r="E843" s="2" t="inlineStr">
        <is>
          <t>FY2023</t>
        </is>
      </c>
      <c r="F843" s="2" t="n">
        <v>3.2</v>
      </c>
      <c r="G843" s="2" t="n"/>
      <c r="H843" s="3" t="inlineStr">
        <is>
          <t>item: exceptional items added back to reach underlying company EBITDA; amount: 3.2; justification: one-off gains and losses incl. Option Plan costs (company definition)</t>
        </is>
      </c>
      <c r="I843" s="2" t="inlineStr">
        <is>
          <t>S2</t>
        </is>
      </c>
      <c r="J843" s="2" t="n">
        <v>39</v>
      </c>
      <c r="K843" s="2" t="inlineStr">
        <is>
          <t>Exceptional items (1.3) (3.2) (0.5)</t>
        </is>
      </c>
      <c r="L843" s="2" t="inlineStr">
        <is>
          <t>pend</t>
        </is>
      </c>
      <c r="M843" s="2" t="n"/>
      <c r="N843" s="2" t="n"/>
      <c r="O843" s="3" t="inlineStr">
        <is>
          <t>https://vanillabonds.com/dossier-data/pdf/fastned/fastned-2024-annual-report.pdf#page=39</t>
        </is>
      </c>
    </row>
    <row r="844">
      <c r="A844" s="2" t="inlineStr">
        <is>
          <t>F843</t>
        </is>
      </c>
      <c r="B844" s="2" t="inlineStr">
        <is>
          <t>financials</t>
        </is>
      </c>
      <c r="C844" s="2" t="inlineStr">
        <is>
          <t>addback_item</t>
        </is>
      </c>
      <c r="D844" s="3" t="inlineStr">
        <is>
          <t>EBITDA add-back: item; amount; justification as given by the company</t>
        </is>
      </c>
      <c r="E844" s="2" t="inlineStr">
        <is>
          <t>FY2024</t>
        </is>
      </c>
      <c r="F844" s="2" t="n">
        <v>1.3</v>
      </c>
      <c r="G844" s="2" t="n"/>
      <c r="H844" s="3" t="inlineStr">
        <is>
          <t>item: exceptional items added back to reach underlying company EBITDA; amount: 1.3; justification: 'one-off gains and losses, including the costs from our employee Option Plan' (company definition)</t>
        </is>
      </c>
      <c r="I844" s="2" t="inlineStr">
        <is>
          <t>S2</t>
        </is>
      </c>
      <c r="J844" s="2" t="n">
        <v>96</v>
      </c>
      <c r="K844" s="3" t="inlineStr">
        <is>
          <t>Exceptional items include one-off gains and losses, including the costs from our employee Option Plan, and are separately identified so that underlying trends between periods are clearly presented.</t>
        </is>
      </c>
      <c r="L844" s="2" t="inlineStr">
        <is>
          <t>pend</t>
        </is>
      </c>
      <c r="M844" s="2" t="n"/>
      <c r="N844" s="2" t="n"/>
      <c r="O844" s="3" t="inlineStr">
        <is>
          <t>https://vanillabonds.com/dossier-data/pdf/fastned/fastned-2024-annual-report.pdf#page=96</t>
        </is>
      </c>
    </row>
    <row r="845">
      <c r="A845" s="2" t="inlineStr">
        <is>
          <t>F844</t>
        </is>
      </c>
      <c r="B845" s="2" t="inlineStr">
        <is>
          <t>financials</t>
        </is>
      </c>
      <c r="C845" s="2" t="inlineStr">
        <is>
          <t>one_off</t>
        </is>
      </c>
      <c r="D845" s="3" t="inlineStr">
        <is>
          <t>One-off item: item; amount; recurrence (years in which it recurred)</t>
        </is>
      </c>
      <c r="E845" s="2" t="inlineStr">
        <is>
          <t>FY2023</t>
        </is>
      </c>
      <c r="F845" s="2" t="n">
        <v>-2.7</v>
      </c>
      <c r="G845" s="2" t="n"/>
      <c r="H845" s="3" t="inlineStr">
        <is>
          <t>item: options awarded to staff (share-based payments); amount: -2.7; recurrence: 2024 (-0.02)</t>
        </is>
      </c>
      <c r="I845" s="2" t="inlineStr">
        <is>
          <t>S2</t>
        </is>
      </c>
      <c r="J845" s="2" t="n">
        <v>40</v>
      </c>
      <c r="K845" s="2" t="inlineStr">
        <is>
          <t>Options awarded to staff (24) (2,687) —</t>
        </is>
      </c>
      <c r="L845" s="2" t="inlineStr">
        <is>
          <t>pend</t>
        </is>
      </c>
      <c r="M845" s="2" t="n"/>
      <c r="N845" s="2" t="n"/>
      <c r="O845" s="3" t="inlineStr">
        <is>
          <t>https://vanillabonds.com/dossier-data/pdf/fastned/fastned-2024-annual-report.pdf#page=40</t>
        </is>
      </c>
    </row>
    <row r="846">
      <c r="A846" s="2" t="inlineStr">
        <is>
          <t>F845</t>
        </is>
      </c>
      <c r="B846" s="2" t="inlineStr">
        <is>
          <t>financials</t>
        </is>
      </c>
      <c r="C846" s="2" t="inlineStr">
        <is>
          <t>one_off</t>
        </is>
      </c>
      <c r="D846" s="3" t="inlineStr">
        <is>
          <t>One-off item: item; amount; recurrence (years in which it recurred)</t>
        </is>
      </c>
      <c r="E846" s="2" t="inlineStr">
        <is>
          <t>FY2023</t>
        </is>
      </c>
      <c r="F846" s="2" t="n">
        <v>-0.6</v>
      </c>
      <c r="G846" s="2" t="n"/>
      <c r="H846" s="3" t="inlineStr">
        <is>
          <t>item: other income/(expense); amount: -0.6; recurrence: 2022 (-0.1)</t>
        </is>
      </c>
      <c r="I846" s="2" t="inlineStr">
        <is>
          <t>S2</t>
        </is>
      </c>
      <c r="J846" s="2" t="n">
        <v>40</v>
      </c>
      <c r="K846" s="2" t="inlineStr">
        <is>
          <t>Other income/(expense) — (627) (58)</t>
        </is>
      </c>
      <c r="L846" s="2" t="inlineStr">
        <is>
          <t>pend</t>
        </is>
      </c>
      <c r="M846" s="2" t="n"/>
      <c r="N846" s="2" t="n"/>
      <c r="O846" s="3" t="inlineStr">
        <is>
          <t>https://vanillabonds.com/dossier-data/pdf/fastned/fastned-2024-annual-report.pdf#page=40</t>
        </is>
      </c>
    </row>
    <row r="847">
      <c r="A847" s="2" t="inlineStr">
        <is>
          <t>F846</t>
        </is>
      </c>
      <c r="B847" s="2" t="inlineStr">
        <is>
          <t>financials</t>
        </is>
      </c>
      <c r="C847" s="2" t="inlineStr">
        <is>
          <t>one_off</t>
        </is>
      </c>
      <c r="D847" s="3" t="inlineStr">
        <is>
          <t>One-off item: item; amount; recurrence (years in which it recurred)</t>
        </is>
      </c>
      <c r="E847" s="2" t="inlineStr">
        <is>
          <t>FY2024</t>
        </is>
      </c>
      <c r="F847" s="2" t="n">
        <v>-1.3</v>
      </c>
      <c r="G847" s="2" t="n"/>
      <c r="H847" s="3" t="inlineStr">
        <is>
          <t>item: total exceptional items; amount: -1.3; recurrence: 2023 (-3.2), 2022 (-0.5)</t>
        </is>
      </c>
      <c r="I847" s="2" t="inlineStr">
        <is>
          <t>S2</t>
        </is>
      </c>
      <c r="J847" s="2" t="n">
        <v>40</v>
      </c>
      <c r="K847" s="3" t="inlineStr">
        <is>
          <t>Total exceptional items (1,321) (3,218) (516)</t>
        </is>
      </c>
      <c r="L847" s="2" t="inlineStr">
        <is>
          <t>pend</t>
        </is>
      </c>
      <c r="M847" s="2" t="n"/>
      <c r="N847" s="2" t="n"/>
      <c r="O847" s="3" t="inlineStr">
        <is>
          <t>https://vanillabonds.com/dossier-data/pdf/fastned/fastned-2024-annual-report.pdf#page=40</t>
        </is>
      </c>
    </row>
    <row r="848">
      <c r="A848" s="2" t="inlineStr">
        <is>
          <t>F847</t>
        </is>
      </c>
      <c r="B848" s="2" t="inlineStr">
        <is>
          <t>financials</t>
        </is>
      </c>
      <c r="C848" s="2" t="inlineStr">
        <is>
          <t>one_off</t>
        </is>
      </c>
      <c r="D848" s="3" t="inlineStr">
        <is>
          <t>One-off item: item; amount; recurrence (years in which it recurred)</t>
        </is>
      </c>
      <c r="E848" s="2" t="inlineStr">
        <is>
          <t>FY2024</t>
        </is>
      </c>
      <c r="F848" s="2" t="n">
        <v>-1.5</v>
      </c>
      <c r="G848" s="2" t="n"/>
      <c r="H848" s="3" t="inlineStr">
        <is>
          <t>item: impairment losses on fixed assets (note 12); amount: -1.5; recurrence: 2022 (-0.5)</t>
        </is>
      </c>
      <c r="I848" s="2" t="inlineStr">
        <is>
          <t>S2</t>
        </is>
      </c>
      <c r="J848" s="2" t="n">
        <v>40</v>
      </c>
      <c r="K848" s="3" t="inlineStr">
        <is>
          <t>Impairment losses and gains (1,505) 25 (452)</t>
        </is>
      </c>
      <c r="L848" s="2" t="inlineStr">
        <is>
          <t>pend</t>
        </is>
      </c>
      <c r="M848" s="2" t="n"/>
      <c r="N848" s="2" t="n"/>
      <c r="O848" s="3" t="inlineStr">
        <is>
          <t>https://vanillabonds.com/dossier-data/pdf/fastned/fastned-2024-annual-report.pdf#page=40</t>
        </is>
      </c>
    </row>
    <row r="849">
      <c r="A849" s="2" t="inlineStr">
        <is>
          <t>F848</t>
        </is>
      </c>
      <c r="B849" s="2" t="inlineStr">
        <is>
          <t>financials</t>
        </is>
      </c>
      <c r="C849" s="2" t="inlineStr">
        <is>
          <t>one_off</t>
        </is>
      </c>
      <c r="D849" s="3" t="inlineStr">
        <is>
          <t>One-off item: item; amount; recurrence (years in which it recurred)</t>
        </is>
      </c>
      <c r="E849" s="2" t="inlineStr">
        <is>
          <t>FY2024</t>
        </is>
      </c>
      <c r="F849" s="2" t="n">
        <v>0.1</v>
      </c>
      <c r="G849" s="2" t="n"/>
      <c r="H849" s="3" t="inlineStr">
        <is>
          <t>item: gross profit from station construction for third parties; amount: 0.1; recurrence: 2022 (-0.006)</t>
        </is>
      </c>
      <c r="I849" s="2" t="inlineStr">
        <is>
          <t>S2</t>
        </is>
      </c>
      <c r="J849" s="2" t="n">
        <v>40</v>
      </c>
      <c r="K849" s="3" t="inlineStr">
        <is>
          <t>Gross profit from station construction 120 — (6)</t>
        </is>
      </c>
      <c r="L849" s="2" t="inlineStr">
        <is>
          <t>pend</t>
        </is>
      </c>
      <c r="M849" s="2" t="n"/>
      <c r="N849" s="2" t="n"/>
      <c r="O849" s="3" t="inlineStr">
        <is>
          <t>https://vanillabonds.com/dossier-data/pdf/fastned/fastned-2024-annual-report.pdf#page=40</t>
        </is>
      </c>
    </row>
    <row r="850">
      <c r="A850" s="2" t="inlineStr">
        <is>
          <t>F849</t>
        </is>
      </c>
      <c r="B850" s="2" t="inlineStr">
        <is>
          <t>financials</t>
        </is>
      </c>
      <c r="C850" s="2" t="inlineStr">
        <is>
          <t>one_off</t>
        </is>
      </c>
      <c r="D850" s="3" t="inlineStr">
        <is>
          <t>One-off item: item; amount; recurrence (years in which it recurred)</t>
        </is>
      </c>
      <c r="E850" s="2" t="inlineStr">
        <is>
          <t>FY2024</t>
        </is>
      </c>
      <c r="F850" s="2" t="n">
        <v>1.5</v>
      </c>
      <c r="G850" s="2" t="n"/>
      <c r="H850" s="3" t="inlineStr">
        <is>
          <t>item: impairment of non-operational ABB chargers; amount: 1.5; recurrence: none in 2023 (impairment line nil)</t>
        </is>
      </c>
      <c r="I850" s="2" t="inlineStr">
        <is>
          <t>S2</t>
        </is>
      </c>
      <c r="J850" s="2" t="n">
        <v>134</v>
      </c>
      <c r="K850" s="3" t="inlineStr">
        <is>
          <t>In 2024, an impairment loss of €1.5 million related to ABB chargers was</t>
        </is>
      </c>
      <c r="L850" s="2" t="inlineStr">
        <is>
          <t>pend</t>
        </is>
      </c>
      <c r="M850" s="2" t="n"/>
      <c r="N850" s="2" t="n"/>
      <c r="O850" s="3" t="inlineStr">
        <is>
          <t>https://vanillabonds.com/dossier-data/pdf/fastned/fastned-2024-annual-report.pdf#page=134</t>
        </is>
      </c>
    </row>
    <row r="851">
      <c r="A851" s="2" t="inlineStr">
        <is>
          <t>F850</t>
        </is>
      </c>
      <c r="B851" s="2" t="inlineStr">
        <is>
          <t>financials</t>
        </is>
      </c>
      <c r="C851" s="2" t="inlineStr">
        <is>
          <t>one_off</t>
        </is>
      </c>
      <c r="D851" s="3" t="inlineStr">
        <is>
          <t>One-off item: item; amount; recurrence (years in which it recurred)</t>
        </is>
      </c>
      <c r="E851" s="2" t="inlineStr">
        <is>
          <t>FY2024</t>
        </is>
      </c>
      <c r="F851" s="2" t="n">
        <v>0.4</v>
      </c>
      <c r="G851" s="2" t="n"/>
      <c r="H851" s="3" t="inlineStr">
        <is>
          <t>item: reversal of prior-year (2023) Dutch fiscal unity tax estimate, tax income EUR 359k; amount: 0.4; recurrence: 2023 carried the original charge of EUR 364k</t>
        </is>
      </c>
      <c r="I851" s="2" t="inlineStr">
        <is>
          <t>S2</t>
        </is>
      </c>
      <c r="J851" s="2" t="n">
        <v>136</v>
      </c>
      <c r="K851" s="2" t="inlineStr">
        <is>
          <t>Reversal prior year estimate 359 —</t>
        </is>
      </c>
      <c r="L851" s="2" t="inlineStr">
        <is>
          <t>pend</t>
        </is>
      </c>
      <c r="M851" s="2" t="n"/>
      <c r="N851" s="2" t="n"/>
      <c r="O851" s="3" t="inlineStr">
        <is>
          <t>https://vanillabonds.com/dossier-data/pdf/fastned/fastned-2024-annual-report.pdf#page=136</t>
        </is>
      </c>
    </row>
    <row r="852">
      <c r="A852" s="2" t="inlineStr">
        <is>
          <t>F851</t>
        </is>
      </c>
      <c r="B852" s="2" t="inlineStr">
        <is>
          <t>financials</t>
        </is>
      </c>
      <c r="C852" s="2" t="inlineStr">
        <is>
          <t>offbalance_item</t>
        </is>
      </c>
      <c r="D852" s="3" t="inlineStr">
        <is>
          <t>Off-balance item: kind (lease, factoring, guarantee given, pension deficit, earn-out, litigation provision); amount; counterparty</t>
        </is>
      </c>
      <c r="E852" s="2" t="inlineStr">
        <is>
          <t>FY2023</t>
        </is>
      </c>
      <c r="F852" s="2" t="n">
        <v>22.7</v>
      </c>
      <c r="G852" s="2" t="n"/>
      <c r="H852" s="3" t="inlineStr">
        <is>
          <t>kind: capital commitment (station construction orders); amount: 22.7; counterparty: suppliers</t>
        </is>
      </c>
      <c r="I852" s="2" t="inlineStr">
        <is>
          <t>S2</t>
        </is>
      </c>
      <c r="J852" s="2" t="n">
        <v>162</v>
      </c>
      <c r="K852" s="3" t="inlineStr">
        <is>
          <t>The outstanding commitment at 31 December 2024 amounted to approximately €35.26 million (2023: €22.71 million).</t>
        </is>
      </c>
      <c r="L852" s="2" t="inlineStr">
        <is>
          <t>pend</t>
        </is>
      </c>
      <c r="M852" s="2" t="n"/>
      <c r="N852" s="2" t="n"/>
      <c r="O852" s="3" t="inlineStr">
        <is>
          <t>https://vanillabonds.com/dossier-data/pdf/fastned/fastned-2024-annual-report.pdf#page=162</t>
        </is>
      </c>
    </row>
    <row r="853">
      <c r="A853" s="2" t="inlineStr">
        <is>
          <t>F852</t>
        </is>
      </c>
      <c r="B853" s="2" t="inlineStr">
        <is>
          <t>financials</t>
        </is>
      </c>
      <c r="C853" s="2" t="inlineStr">
        <is>
          <t>offbalance_item</t>
        </is>
      </c>
      <c r="D853" s="3" t="inlineStr">
        <is>
          <t>Off-balance item: kind (lease, factoring, guarantee given, pension deficit, earn-out, litigation provision); amount; counterparty</t>
        </is>
      </c>
      <c r="E853" s="2" t="inlineStr">
        <is>
          <t>FY2024</t>
        </is>
      </c>
      <c r="F853" s="2" t="n">
        <v>1.1</v>
      </c>
      <c r="G853" s="2" t="n"/>
      <c r="H853" s="3" t="inlineStr">
        <is>
          <t>kind: capital commitment (joint venture); amount: 1.07; counterparty: Fast Places Limited; expected to increase as the JV board approves more commitments</t>
        </is>
      </c>
      <c r="I853" s="2" t="inlineStr">
        <is>
          <t>S2</t>
        </is>
      </c>
      <c r="J853" s="2" t="n">
        <v>127</v>
      </c>
      <c r="K853" s="3" t="inlineStr">
        <is>
          <t>As of 31 December 2024, Fastned's confirmed share of Fast Places Limited's</t>
        </is>
      </c>
      <c r="L853" s="2" t="inlineStr">
        <is>
          <t>pend</t>
        </is>
      </c>
      <c r="M853" s="2" t="n"/>
      <c r="N853" s="2" t="n"/>
      <c r="O853" s="3" t="inlineStr">
        <is>
          <t>https://vanillabonds.com/dossier-data/pdf/fastned/fastned-2024-annual-report.pdf#page=127</t>
        </is>
      </c>
    </row>
    <row r="854">
      <c r="A854" s="2" t="inlineStr">
        <is>
          <t>F853</t>
        </is>
      </c>
      <c r="B854" s="2" t="inlineStr">
        <is>
          <t>financials</t>
        </is>
      </c>
      <c r="C854" s="2" t="inlineStr">
        <is>
          <t>offbalance_item</t>
        </is>
      </c>
      <c r="D854" s="3" t="inlineStr">
        <is>
          <t>Off-balance item: kind (lease, factoring, guarantee given, pension deficit, earn-out, litigation provision); amount; counterparty</t>
        </is>
      </c>
      <c r="E854" s="2" t="inlineStr">
        <is>
          <t>FY2024</t>
        </is>
      </c>
      <c r="F854" s="2" t="n"/>
      <c r="G854" s="2" t="n"/>
      <c r="H854" s="3" t="inlineStr">
        <is>
          <t>kind: guarantee given (equalisation of guarantee liabilities under JV agreement, costs shared proportionally); amount: not stated; counterparty: Places for London</t>
        </is>
      </c>
      <c r="I854" s="2" t="inlineStr">
        <is>
          <t>S2</t>
        </is>
      </c>
      <c r="J854" s="2" t="n">
        <v>127</v>
      </c>
      <c r="K854" s="3" t="inlineStr">
        <is>
          <t>The joint venture agreement includes provisions for the equalisation of guarantee</t>
        </is>
      </c>
      <c r="L854" s="2" t="inlineStr">
        <is>
          <t>pend</t>
        </is>
      </c>
      <c r="M854" s="2" t="n"/>
      <c r="N854" s="2" t="n"/>
      <c r="O854" s="3" t="inlineStr">
        <is>
          <t>https://vanillabonds.com/dossier-data/pdf/fastned/fastned-2024-annual-report.pdf#page=127</t>
        </is>
      </c>
    </row>
    <row r="855">
      <c r="A855" s="2" t="inlineStr">
        <is>
          <t>F854</t>
        </is>
      </c>
      <c r="B855" s="2" t="inlineStr">
        <is>
          <t>financials</t>
        </is>
      </c>
      <c r="C855" s="2" t="inlineStr">
        <is>
          <t>offbalance_item</t>
        </is>
      </c>
      <c r="D855" s="3" t="inlineStr">
        <is>
          <t>Off-balance item: kind (lease, factoring, guarantee given, pension deficit, earn-out, litigation provision); amount; counterparty</t>
        </is>
      </c>
      <c r="E855" s="2" t="inlineStr">
        <is>
          <t>FY2024</t>
        </is>
      </c>
      <c r="F855" s="2" t="n"/>
      <c r="G855" s="2" t="n"/>
      <c r="H855" s="3" t="inlineStr">
        <is>
          <t>kind: pension deficit; amount: none, defined contribution plans only (cost EUR 0.9m, 2023: 0.6m), no company plan in DE, CH, FR, ES, IT, DK; counterparty: separately administered funds NL, BE, UK</t>
        </is>
      </c>
      <c r="I855" s="2" t="inlineStr">
        <is>
          <t>S2</t>
        </is>
      </c>
      <c r="J855" s="2" t="n">
        <v>134</v>
      </c>
      <c r="K855" s="3" t="inlineStr">
        <is>
          <t>The Group operates defined contribution pension plans which require</t>
        </is>
      </c>
      <c r="L855" s="2" t="inlineStr">
        <is>
          <t>pend</t>
        </is>
      </c>
      <c r="M855" s="2" t="n"/>
      <c r="N855" s="2" t="n"/>
      <c r="O855" s="3" t="inlineStr">
        <is>
          <t>https://vanillabonds.com/dossier-data/pdf/fastned/fastned-2024-annual-report.pdf#page=134</t>
        </is>
      </c>
    </row>
    <row r="856">
      <c r="A856" s="2" t="inlineStr">
        <is>
          <t>F855</t>
        </is>
      </c>
      <c r="B856" s="2" t="inlineStr">
        <is>
          <t>financials</t>
        </is>
      </c>
      <c r="C856" s="2" t="inlineStr">
        <is>
          <t>offbalance_item</t>
        </is>
      </c>
      <c r="D856" s="3" t="inlineStr">
        <is>
          <t>Off-balance item: kind (lease, factoring, guarantee given, pension deficit, earn-out, litigation provision); amount; counterparty</t>
        </is>
      </c>
      <c r="E856" s="2" t="inlineStr">
        <is>
          <t>FY2024</t>
        </is>
      </c>
      <c r="F856" s="2" t="n">
        <v>0.8</v>
      </c>
      <c r="G856" s="2" t="n"/>
      <c r="H856" s="3" t="inlineStr">
        <is>
          <t>kind: lease (short-term and low-value leases not on balance sheet); amount: 0.8 (2023: 0.7); counterparty: lessors</t>
        </is>
      </c>
      <c r="I856" s="2" t="inlineStr">
        <is>
          <t>S2</t>
        </is>
      </c>
      <c r="J856" s="2" t="n">
        <v>145</v>
      </c>
      <c r="K856" s="3" t="inlineStr">
        <is>
          <t>As of December 31, 2024, the Group is committed to €788 thousand (2023:</t>
        </is>
      </c>
      <c r="L856" s="2" t="inlineStr">
        <is>
          <t>pend</t>
        </is>
      </c>
      <c r="M856" s="2" t="n"/>
      <c r="N856" s="2" t="n"/>
      <c r="O856" s="3" t="inlineStr">
        <is>
          <t>https://vanillabonds.com/dossier-data/pdf/fastned/fastned-2024-annual-report.pdf#page=145</t>
        </is>
      </c>
    </row>
    <row r="857">
      <c r="A857" s="2" t="inlineStr">
        <is>
          <t>F856</t>
        </is>
      </c>
      <c r="B857" s="2" t="inlineStr">
        <is>
          <t>financials</t>
        </is>
      </c>
      <c r="C857" s="2" t="inlineStr">
        <is>
          <t>offbalance_item</t>
        </is>
      </c>
      <c r="D857" s="3" t="inlineStr">
        <is>
          <t>Off-balance item: kind (lease, factoring, guarantee given, pension deficit, earn-out, litigation provision); amount; counterparty</t>
        </is>
      </c>
      <c r="E857" s="2" t="inlineStr">
        <is>
          <t>FY2024</t>
        </is>
      </c>
      <c r="F857" s="2" t="n">
        <v>17</v>
      </c>
      <c r="G857" s="2" t="n"/>
      <c r="H857" s="3" t="inlineStr">
        <is>
          <t>kind: guarantee given (bank guarantees); amount: 17.0 outstanding, 15.0 drawn; counterparty: banks; EUR 13.4m expires end 2029, EUR 1.6m open-ended</t>
        </is>
      </c>
      <c r="I857" s="2" t="inlineStr">
        <is>
          <t>S2</t>
        </is>
      </c>
      <c r="J857" s="2" t="n">
        <v>156</v>
      </c>
      <c r="K857" s="3" t="inlineStr">
        <is>
          <t>2024 (2023: € 17.0 million), of which €15.0 million (2023: € 13.4 million) have been</t>
        </is>
      </c>
      <c r="L857" s="2" t="inlineStr">
        <is>
          <t>pend</t>
        </is>
      </c>
      <c r="M857" s="2" t="n"/>
      <c r="N857" s="2" t="n"/>
      <c r="O857" s="3" t="inlineStr">
        <is>
          <t>https://vanillabonds.com/dossier-data/pdf/fastned/fastned-2024-annual-report.pdf#page=156</t>
        </is>
      </c>
    </row>
    <row r="858">
      <c r="A858" s="2" t="inlineStr">
        <is>
          <t>F857</t>
        </is>
      </c>
      <c r="B858" s="2" t="inlineStr">
        <is>
          <t>financials</t>
        </is>
      </c>
      <c r="C858" s="2" t="inlineStr">
        <is>
          <t>offbalance_item</t>
        </is>
      </c>
      <c r="D858" s="3" t="inlineStr">
        <is>
          <t>Off-balance item: kind (lease, factoring, guarantee given, pension deficit, earn-out, litigation provision); amount; counterparty</t>
        </is>
      </c>
      <c r="E858" s="2" t="inlineStr">
        <is>
          <t>FY2024</t>
        </is>
      </c>
      <c r="F858" s="2" t="n">
        <v>35.3</v>
      </c>
      <c r="G858" s="2" t="n"/>
      <c r="H858" s="3" t="inlineStr">
        <is>
          <t>kind: capital commitment (station construction orders, partly prepaid); amount: 35.3; counterparty: suppliers</t>
        </is>
      </c>
      <c r="I858" s="2" t="inlineStr">
        <is>
          <t>S2</t>
        </is>
      </c>
      <c r="J858" s="2" t="n">
        <v>162</v>
      </c>
      <c r="K858" s="3" t="inlineStr">
        <is>
          <t>The outstanding commitment at 31 December 2024 amounted to approximately €35.26 million (2023: €22.71 million).</t>
        </is>
      </c>
      <c r="L858" s="2" t="inlineStr">
        <is>
          <t>pend</t>
        </is>
      </c>
      <c r="M858" s="2" t="n"/>
      <c r="N858" s="2" t="n"/>
      <c r="O858" s="3" t="inlineStr">
        <is>
          <t>https://vanillabonds.com/dossier-data/pdf/fastned/fastned-2024-annual-report.pdf#page=162</t>
        </is>
      </c>
    </row>
    <row r="859">
      <c r="A859" s="2" t="inlineStr">
        <is>
          <t>F858</t>
        </is>
      </c>
      <c r="B859" s="2" t="inlineStr">
        <is>
          <t>financials</t>
        </is>
      </c>
      <c r="C859" s="2" t="inlineStr">
        <is>
          <t>offbalance_item</t>
        </is>
      </c>
      <c r="D859" s="3" t="inlineStr">
        <is>
          <t>Off-balance item: kind (lease, factoring, guarantee given, pension deficit, earn-out, litigation provision); amount; counterparty</t>
        </is>
      </c>
      <c r="E859" s="2" t="inlineStr">
        <is>
          <t>FY2024</t>
        </is>
      </c>
      <c r="F859" s="2" t="n">
        <v>61</v>
      </c>
      <c r="G859" s="2" t="n"/>
      <c r="H859" s="3" t="inlineStr">
        <is>
          <t>kind: purchase commitment (Power Purchase Agreements, 2025 and later); amount: 61.0 (3.7 within one year, 19.4 in 1-5 years, 37.9 after five years); counterparty: renewable energy suppliers</t>
        </is>
      </c>
      <c r="I859" s="2" t="inlineStr">
        <is>
          <t>S2</t>
        </is>
      </c>
      <c r="J859" s="2" t="n">
        <v>162</v>
      </c>
      <c r="K859" s="3" t="inlineStr">
        <is>
          <t>The Group has energy purchase commitments of EUR 61 million under Power</t>
        </is>
      </c>
      <c r="L859" s="2" t="inlineStr">
        <is>
          <t>pend</t>
        </is>
      </c>
      <c r="M859" s="2" t="n"/>
      <c r="N859" s="2" t="n"/>
      <c r="O859" s="3" t="inlineStr">
        <is>
          <t>https://vanillabonds.com/dossier-data/pdf/fastned/fastned-2024-annual-report.pdf#page=162</t>
        </is>
      </c>
    </row>
    <row r="860">
      <c r="A860" s="2" t="inlineStr">
        <is>
          <t>F859</t>
        </is>
      </c>
      <c r="B860" s="2" t="inlineStr">
        <is>
          <t>financials</t>
        </is>
      </c>
      <c r="C860" s="2" t="inlineStr">
        <is>
          <t>audit_adjustment</t>
        </is>
      </c>
      <c r="D860" s="3" t="inlineStr">
        <is>
          <t>Audit facts: adjustments (number); management_letter_points (number); restatements; key_audit_matters</t>
        </is>
      </c>
      <c r="E860" s="2" t="inlineStr">
        <is>
          <t>FY2024</t>
        </is>
      </c>
      <c r="F860" s="2" t="n"/>
      <c r="G860" s="2" t="n"/>
      <c r="H860" s="3" t="inlineStr">
        <is>
          <t>adjustments: not disclosed; materiality EUR 1.9m (2.25% of revenues), misstatements above EUR 95k reported to the supervisory board; management_letter_points: '(significant) deficiencies in internal control' communicated in writing, number not stated</t>
        </is>
      </c>
      <c r="I860" s="2" t="inlineStr">
        <is>
          <t>S2</t>
        </is>
      </c>
      <c r="J860" s="2" t="n">
        <v>188</v>
      </c>
      <c r="K860" s="3" t="inlineStr">
        <is>
          <t>financial statements as a whole at € 1.9 million. The materiality is based on a</t>
        </is>
      </c>
      <c r="L860" s="2" t="inlineStr">
        <is>
          <t>pend</t>
        </is>
      </c>
      <c r="M860" s="2" t="n"/>
      <c r="N860" s="2" t="n"/>
      <c r="O860" s="3" t="inlineStr">
        <is>
          <t>https://vanillabonds.com/dossier-data/pdf/fastned/fastned-2024-annual-report.pdf#page=188</t>
        </is>
      </c>
    </row>
    <row r="861">
      <c r="A861" s="2" t="inlineStr">
        <is>
          <t>F860</t>
        </is>
      </c>
      <c r="B861" s="2" t="inlineStr">
        <is>
          <t>financials</t>
        </is>
      </c>
      <c r="C861" s="2" t="inlineStr">
        <is>
          <t>audit_adjustment</t>
        </is>
      </c>
      <c r="D861" s="3" t="inlineStr">
        <is>
          <t>Audit facts: adjustments (number); management_letter_points (number); restatements; key_audit_matters</t>
        </is>
      </c>
      <c r="E861" s="2" t="inlineStr">
        <is>
          <t>FY2024</t>
        </is>
      </c>
      <c r="F861" s="2" t="n"/>
      <c r="G861" s="2" t="n"/>
      <c r="H861" s="3" t="inlineStr">
        <is>
          <t>key_audit_matters: prior-year KAMs 'Transition of auditor' and 'Developing control environment' dropped for 2024; auditor describes control environment as 'sufficiently maturing'</t>
        </is>
      </c>
      <c r="I861" s="2" t="inlineStr">
        <is>
          <t>S2</t>
        </is>
      </c>
      <c r="J861" s="2" t="n">
        <v>191</v>
      </c>
      <c r="K861" s="3" t="inlineStr">
        <is>
          <t>The key audit matter “Transition of auditor” and “Developing control</t>
        </is>
      </c>
      <c r="L861" s="2" t="inlineStr">
        <is>
          <t>pend</t>
        </is>
      </c>
      <c r="M861" s="2" t="n"/>
      <c r="N861" s="2" t="n"/>
      <c r="O861" s="3" t="inlineStr">
        <is>
          <t>https://vanillabonds.com/dossier-data/pdf/fastned/fastned-2024-annual-report.pdf#page=191</t>
        </is>
      </c>
    </row>
    <row r="862">
      <c r="A862" s="2" t="inlineStr">
        <is>
          <t>F861</t>
        </is>
      </c>
      <c r="B862" s="2" t="inlineStr">
        <is>
          <t>financials</t>
        </is>
      </c>
      <c r="C862" s="2" t="inlineStr">
        <is>
          <t>audit_adjustment</t>
        </is>
      </c>
      <c r="D862" s="3" t="inlineStr">
        <is>
          <t>Audit facts: adjustments (number); management_letter_points (number); restatements; key_audit_matters</t>
        </is>
      </c>
      <c r="E862" s="2" t="inlineStr">
        <is>
          <t>FY2024</t>
        </is>
      </c>
      <c r="F862" s="2" t="n"/>
      <c r="G862" s="2" t="n"/>
      <c r="H862" s="3" t="inlineStr">
        <is>
          <t>key_audit_matters: revenue recognition related to sales of electricity (presumed fraud risk, manual journal entries); property, plant and equipment (valuation and existence, EUR 232.8m = 52% of consolidated total assets)</t>
        </is>
      </c>
      <c r="I862" s="2" t="inlineStr">
        <is>
          <t>S2</t>
        </is>
      </c>
      <c r="J862" s="2" t="n">
        <v>192</v>
      </c>
      <c r="K862" s="3" t="inlineStr">
        <is>
          <t>equipment, we considered the valuation and existence of the property, plant and equipment as key audit matter in our audit.</t>
        </is>
      </c>
      <c r="L862" s="2" t="inlineStr">
        <is>
          <t>pend</t>
        </is>
      </c>
      <c r="M862" s="2" t="n"/>
      <c r="N862" s="2" t="n"/>
      <c r="O862" s="3" t="inlineStr">
        <is>
          <t>https://vanillabonds.com/dossier-data/pdf/fastned/fastned-2024-annual-report.pdf#page=192</t>
        </is>
      </c>
    </row>
    <row r="863">
      <c r="A863" s="2" t="inlineStr">
        <is>
          <t>F862</t>
        </is>
      </c>
      <c r="B863" s="2" t="inlineStr">
        <is>
          <t>financials</t>
        </is>
      </c>
      <c r="C863" s="2" t="inlineStr">
        <is>
          <t>audit_adjustment</t>
        </is>
      </c>
      <c r="D863" s="3" t="inlineStr">
        <is>
          <t>Audit facts: adjustments (number); management_letter_points (number); restatements; key_audit_matters</t>
        </is>
      </c>
      <c r="E863" s="2" t="inlineStr">
        <is>
          <t>FY2024</t>
        </is>
      </c>
      <c r="F863" s="2" t="n"/>
      <c r="G863" s="2" t="n"/>
      <c r="H863" s="3" t="inlineStr">
        <is>
          <t>restatements: GRI index lists '2-4 Restatements of information' as '(Not included in this report)'</t>
        </is>
      </c>
      <c r="I863" s="2" t="inlineStr">
        <is>
          <t>S2</t>
        </is>
      </c>
      <c r="J863" s="2" t="n">
        <v>204</v>
      </c>
      <c r="K863" s="2" t="inlineStr">
        <is>
          <t>2-4 Restatements of information</t>
        </is>
      </c>
      <c r="L863" s="2" t="inlineStr">
        <is>
          <t>pend</t>
        </is>
      </c>
      <c r="M863" s="2" t="n"/>
      <c r="N863" s="2" t="n"/>
      <c r="O863" s="3" t="inlineStr">
        <is>
          <t>https://vanillabonds.com/dossier-data/pdf/fastned/fastned-2024-annual-report.pdf#page=204</t>
        </is>
      </c>
    </row>
    <row r="864">
      <c r="A864" s="2" t="inlineStr">
        <is>
          <t>F863</t>
        </is>
      </c>
      <c r="B864" s="2" t="inlineStr">
        <is>
          <t>financials</t>
        </is>
      </c>
      <c r="C864" s="2" t="inlineStr">
        <is>
          <t>filing_days</t>
        </is>
      </c>
      <c r="D864" s="3" t="inlineStr">
        <is>
          <t>Days from year end to filing of the accounts</t>
        </is>
      </c>
      <c r="E864" s="2" t="inlineStr">
        <is>
          <t>FY2024</t>
        </is>
      </c>
      <c r="F864" s="2" t="n">
        <v>85</v>
      </c>
      <c r="G864" s="2" t="n"/>
      <c r="H864" s="3" t="inlineStr">
        <is>
          <t>Year end 31 Dec 2024 to auditor's report and signing of the financial statements on 26 March 2025: 85 days.</t>
        </is>
      </c>
      <c r="I864" s="2" t="inlineStr">
        <is>
          <t>S2</t>
        </is>
      </c>
      <c r="J864" s="2" t="n">
        <v>195</v>
      </c>
      <c r="K864" s="2" t="inlineStr">
        <is>
          <t>Amstelveen, 26 March 2025</t>
        </is>
      </c>
      <c r="L864" s="2" t="inlineStr">
        <is>
          <t>pend</t>
        </is>
      </c>
      <c r="M864" s="2" t="n"/>
      <c r="N864" s="2" t="n"/>
      <c r="O864" s="3" t="inlineStr">
        <is>
          <t>https://vanillabonds.com/dossier-data/pdf/fastned/fastned-2024-annual-report.pdf#page=195</t>
        </is>
      </c>
    </row>
    <row r="865">
      <c r="A865" s="2" t="inlineStr">
        <is>
          <t>F864</t>
        </is>
      </c>
      <c r="B865" s="2" t="inlineStr">
        <is>
          <t>financials</t>
        </is>
      </c>
      <c r="C865" s="2" t="inlineStr">
        <is>
          <t>tax_item</t>
        </is>
      </c>
      <c r="D865" s="3" t="inlineStr">
        <is>
          <t>Tax item: position, open assessment, dispute, ruling, payment-behaviour statement</t>
        </is>
      </c>
      <c r="E865" s="2" t="n"/>
      <c r="F865" s="2" t="n"/>
      <c r="G865" s="2" t="n"/>
      <c r="H865" s="3" t="inlineStr">
        <is>
          <t>Income tax credit of €359k in 2024 against an expense of €364k in 2023; no income taxes paid in either year.</t>
        </is>
      </c>
      <c r="I865" s="2" t="inlineStr">
        <is>
          <t>S2</t>
        </is>
      </c>
      <c r="J865" s="2" t="n">
        <v>100</v>
      </c>
      <c r="K865" s="2" t="inlineStr">
        <is>
          <t>Income tax 9 359 (364)</t>
        </is>
      </c>
      <c r="L865" s="2" t="inlineStr">
        <is>
          <t>pend</t>
        </is>
      </c>
      <c r="M865" s="2" t="n"/>
      <c r="N865" s="2" t="n"/>
      <c r="O865" s="3" t="inlineStr">
        <is>
          <t>https://vanillabonds.com/dossier-data/pdf/fastned/fastned-2024-annual-report.pdf#page=100</t>
        </is>
      </c>
    </row>
    <row r="866">
      <c r="A866" s="2" t="inlineStr">
        <is>
          <t>F865</t>
        </is>
      </c>
      <c r="B866" s="2" t="inlineStr">
        <is>
          <t>financials</t>
        </is>
      </c>
      <c r="C866" s="2" t="inlineStr">
        <is>
          <t>tax_item</t>
        </is>
      </c>
      <c r="D866" s="3" t="inlineStr">
        <is>
          <t>Tax item: position, open assessment, dispute, ruling, payment-behaviour statement</t>
        </is>
      </c>
      <c r="E866" s="2" t="n"/>
      <c r="F866" s="2" t="n"/>
      <c r="G866" s="2" t="n"/>
      <c r="H866" s="3" t="inlineStr">
        <is>
          <t>Tax losses at YE2024: EUR 23.3m in the Netherlands (2023: 18.0m) and EUR 54.8m in other countries (2023: 38.0m); no deferred tax asset recognised.</t>
        </is>
      </c>
      <c r="I866" s="2" t="inlineStr">
        <is>
          <t>S2</t>
        </is>
      </c>
      <c r="J866" s="2" t="n">
        <v>122</v>
      </c>
      <c r="K866" s="3" t="inlineStr">
        <is>
          <t>At year-end 2024, the Group has € 23.3 million (2023: €18.0 million) of tax losses</t>
        </is>
      </c>
      <c r="L866" s="2" t="inlineStr">
        <is>
          <t>pend</t>
        </is>
      </c>
      <c r="M866" s="2" t="n"/>
      <c r="N866" s="2" t="n"/>
      <c r="O866" s="3" t="inlineStr">
        <is>
          <t>https://vanillabonds.com/dossier-data/pdf/fastned/fastned-2024-annual-report.pdf#page=122</t>
        </is>
      </c>
    </row>
    <row r="867">
      <c r="A867" s="2" t="inlineStr">
        <is>
          <t>F866</t>
        </is>
      </c>
      <c r="B867" s="2" t="inlineStr">
        <is>
          <t>financials</t>
        </is>
      </c>
      <c r="C867" s="2" t="inlineStr">
        <is>
          <t>tax_item</t>
        </is>
      </c>
      <c r="D867" s="3" t="inlineStr">
        <is>
          <t>Tax item: position, open assessment, dispute, ruling, payment-behaviour statement</t>
        </is>
      </c>
      <c r="E867" s="2" t="n"/>
      <c r="F867" s="2" t="n"/>
      <c r="G867" s="2" t="n"/>
      <c r="H867" s="3" t="inlineStr">
        <is>
          <t>Unrecognised temporary differences EUR 71.0m; recognising all deferred tax assets would increase profit and equity by about EUR 19.6m (company estimate).</t>
        </is>
      </c>
      <c r="I867" s="2" t="inlineStr">
        <is>
          <t>S2</t>
        </is>
      </c>
      <c r="J867" s="2" t="n">
        <v>122</v>
      </c>
      <c r="K867" s="3" t="inlineStr">
        <is>
          <t>equity would have increased by approximately € 19.6 million depending on the</t>
        </is>
      </c>
      <c r="L867" s="2" t="inlineStr">
        <is>
          <t>pend</t>
        </is>
      </c>
      <c r="M867" s="2" t="n"/>
      <c r="N867" s="2" t="n"/>
      <c r="O867" s="3" t="inlineStr">
        <is>
          <t>https://vanillabonds.com/dossier-data/pdf/fastned/fastned-2024-annual-report.pdf#page=122</t>
        </is>
      </c>
    </row>
    <row r="868">
      <c r="A868" s="2" t="inlineStr">
        <is>
          <t>F867</t>
        </is>
      </c>
      <c r="B868" s="2" t="inlineStr">
        <is>
          <t>financials</t>
        </is>
      </c>
      <c r="C868" s="2" t="inlineStr">
        <is>
          <t>tax_item</t>
        </is>
      </c>
      <c r="D868" s="3" t="inlineStr">
        <is>
          <t>Tax item: position, open assessment, dispute, ruling, payment-behaviour statement</t>
        </is>
      </c>
      <c r="E868" s="2" t="n"/>
      <c r="F868" s="2" t="n"/>
      <c r="G868" s="2" t="n"/>
      <c r="H868" s="3" t="inlineStr">
        <is>
          <t>2024 tax line is a EUR 359k credit reversing the 2023 estimated Dutch fiscal-unity profit after finalising the 2023 return; effective tax rate nil (2023: -1.9%).</t>
        </is>
      </c>
      <c r="I868" s="2" t="inlineStr">
        <is>
          <t>S2</t>
        </is>
      </c>
      <c r="J868" s="2" t="n">
        <v>136</v>
      </c>
      <c r="K868" s="3" t="inlineStr">
        <is>
          <t>The income tax charged to the income statement mainly relates to the estimated taxable profit for the Dutch fiscal unity in 2023, which was reversed again during</t>
        </is>
      </c>
      <c r="L868" s="2" t="inlineStr">
        <is>
          <t>pend</t>
        </is>
      </c>
      <c r="M868" s="2" t="n"/>
      <c r="N868" s="2" t="n"/>
      <c r="O868" s="3" t="inlineStr">
        <is>
          <t>https://vanillabonds.com/dossier-data/pdf/fastned/fastned-2024-annual-report.pdf#page=136</t>
        </is>
      </c>
    </row>
    <row r="869">
      <c r="A869" s="2" t="inlineStr">
        <is>
          <t>F868</t>
        </is>
      </c>
      <c r="B869" s="2" t="inlineStr">
        <is>
          <t>financials</t>
        </is>
      </c>
      <c r="C869" s="2" t="inlineStr">
        <is>
          <t>tax_item</t>
        </is>
      </c>
      <c r="D869" s="3" t="inlineStr">
        <is>
          <t>Tax item: position, open assessment, dispute, ruling, payment-behaviour statement</t>
        </is>
      </c>
      <c r="E869" s="2" t="n"/>
      <c r="F869" s="2" t="n"/>
      <c r="G869" s="2" t="n"/>
      <c r="H869" s="3" t="inlineStr">
        <is>
          <t>EUR 47.7m of costs activated in the Dutch taxable-profit computation, depreciated over 5 years (unrecognised temporary differences).</t>
        </is>
      </c>
      <c r="I869" s="2" t="inlineStr">
        <is>
          <t>S2</t>
        </is>
      </c>
      <c r="J869" s="2" t="n">
        <v>137</v>
      </c>
      <c r="K869" s="3" t="inlineStr">
        <is>
          <t>As of 2024, € 47.7 million of costs have been activated in the computation of</t>
        </is>
      </c>
      <c r="L869" s="2" t="inlineStr">
        <is>
          <t>pend</t>
        </is>
      </c>
      <c r="M869" s="2" t="n"/>
      <c r="N869" s="2" t="n"/>
      <c r="O869" s="3" t="inlineStr">
        <is>
          <t>https://vanillabonds.com/dossier-data/pdf/fastned/fastned-2024-annual-report.pdf#page=137</t>
        </is>
      </c>
    </row>
    <row r="870">
      <c r="A870" s="2" t="inlineStr">
        <is>
          <t>F869</t>
        </is>
      </c>
      <c r="B870" s="2" t="inlineStr">
        <is>
          <t>financials</t>
        </is>
      </c>
      <c r="C870" s="2" t="inlineStr">
        <is>
          <t>tax_item</t>
        </is>
      </c>
      <c r="D870" s="3" t="inlineStr">
        <is>
          <t>Tax item: position, open assessment, dispute, ruling, payment-behaviour statement</t>
        </is>
      </c>
      <c r="E870" s="2" t="n"/>
      <c r="F870" s="2" t="n"/>
      <c r="G870" s="2" t="n"/>
      <c r="H870" s="3" t="inlineStr">
        <is>
          <t>Accumulated tax losses outside NL: Germany EUR 8.8m, UK 23.9m, Belgium 5.5m, France 10.8m (all unlimited carry-forward), Switzerland 4.6m (7-year limit).</t>
        </is>
      </c>
      <c r="I870" s="2" t="inlineStr">
        <is>
          <t>S2</t>
        </is>
      </c>
      <c r="J870" s="2" t="n">
        <v>137</v>
      </c>
      <c r="K870" s="3" t="inlineStr">
        <is>
          <t>€ 8.8 million in Germany (2023: €7.3 million), €23.9 million in UK (2023: €15.9</t>
        </is>
      </c>
      <c r="L870" s="2" t="inlineStr">
        <is>
          <t>pend</t>
        </is>
      </c>
      <c r="M870" s="2" t="n"/>
      <c r="N870" s="2" t="n"/>
      <c r="O870" s="3" t="inlineStr">
        <is>
          <t>https://vanillabonds.com/dossier-data/pdf/fastned/fastned-2024-annual-report.pdf#page=137</t>
        </is>
      </c>
    </row>
    <row r="871">
      <c r="A871" s="2" t="inlineStr">
        <is>
          <t>F870</t>
        </is>
      </c>
      <c r="B871" s="2" t="inlineStr">
        <is>
          <t>financials</t>
        </is>
      </c>
      <c r="C871" s="2" t="inlineStr">
        <is>
          <t>tax_item</t>
        </is>
      </c>
      <c r="D871" s="3" t="inlineStr">
        <is>
          <t>Tax item: position, open assessment, dispute, ruling, payment-behaviour statement</t>
        </is>
      </c>
      <c r="E871" s="2" t="n"/>
      <c r="F871" s="2" t="n"/>
      <c r="G871" s="2" t="n"/>
      <c r="H871" s="3" t="inlineStr">
        <is>
          <t>Total accumulated tax losses by country EUR 78.6m at 2024 (2024 figures an estimate, not finalised); Swiss losses expire 2026-2031.</t>
        </is>
      </c>
      <c r="I871" s="2" t="inlineStr">
        <is>
          <t>S2</t>
        </is>
      </c>
      <c r="J871" s="2" t="n">
        <v>138</v>
      </c>
      <c r="K871" s="2" t="inlineStr">
        <is>
          <t>12,754 20,930 78,597</t>
        </is>
      </c>
      <c r="L871" s="2" t="inlineStr">
        <is>
          <t>pend</t>
        </is>
      </c>
      <c r="M871" s="2" t="n"/>
      <c r="N871" s="2" t="n"/>
      <c r="O871" s="3" t="inlineStr">
        <is>
          <t>https://vanillabonds.com/dossier-data/pdf/fastned/fastned-2024-annual-report.pdf#page=138</t>
        </is>
      </c>
    </row>
    <row r="872">
      <c r="A872" s="2" t="inlineStr">
        <is>
          <t>F871</t>
        </is>
      </c>
      <c r="B872" s="2" t="inlineStr">
        <is>
          <t>financials</t>
        </is>
      </c>
      <c r="C872" s="2" t="inlineStr">
        <is>
          <t>tax_item</t>
        </is>
      </c>
      <c r="D872" s="3" t="inlineStr">
        <is>
          <t>Tax item: position, open assessment, dispute, ruling, payment-behaviour statement</t>
        </is>
      </c>
      <c r="E872" s="2" t="n"/>
      <c r="F872" s="2" t="n"/>
      <c r="G872" s="2" t="n"/>
      <c r="H872" s="3" t="inlineStr">
        <is>
          <t>Applicable rates 2024: NL 19% to EUR 200k then 25.8%; DE 30%; UK 25%; BE 25%; FR 25%; CH 11.8% and 19.6%; DK 22%; IT 24%; ES 25%.</t>
        </is>
      </c>
      <c r="I872" s="2" t="inlineStr">
        <is>
          <t>S2</t>
        </is>
      </c>
      <c r="J872" s="2" t="n">
        <v>139</v>
      </c>
      <c r="K872" s="3" t="inlineStr">
        <is>
          <t>The applicable tax rate in 2024 in the Netherlands is 19% (2023: 19%) over the first</t>
        </is>
      </c>
      <c r="L872" s="2" t="inlineStr">
        <is>
          <t>pend</t>
        </is>
      </c>
      <c r="M872" s="2" t="n"/>
      <c r="N872" s="2" t="n"/>
      <c r="O872" s="3" t="inlineStr">
        <is>
          <t>https://vanillabonds.com/dossier-data/pdf/fastned/fastned-2024-annual-report.pdf#page=139</t>
        </is>
      </c>
    </row>
    <row r="873">
      <c r="A873" s="2" t="inlineStr">
        <is>
          <t>F872</t>
        </is>
      </c>
      <c r="B873" s="2" t="inlineStr">
        <is>
          <t>financials</t>
        </is>
      </c>
      <c r="C873" s="2" t="inlineStr">
        <is>
          <t>segment</t>
        </is>
      </c>
      <c r="D873" s="3" t="inlineStr">
        <is>
          <t>Segment: segment; revenue; ebitda; assets</t>
        </is>
      </c>
      <c r="E873" s="2" t="inlineStr">
        <is>
          <t>FY2023</t>
        </is>
      </c>
      <c r="F873" s="2" t="n">
        <v>60.5</v>
      </c>
      <c r="G873" s="2" t="n"/>
      <c r="H873" s="3" t="inlineStr">
        <is>
          <t>segment: Network (Delivery, operational stations); revenue: 60.5; ebitda: 23.8 (operational EBITDA)</t>
        </is>
      </c>
      <c r="I873" s="2" t="inlineStr">
        <is>
          <t>S2</t>
        </is>
      </c>
      <c r="J873" s="2" t="n">
        <v>98</v>
      </c>
      <c r="K873" s="2" t="inlineStr">
        <is>
          <t>60,510 — — 4 60,514</t>
        </is>
      </c>
      <c r="L873" s="2" t="inlineStr">
        <is>
          <t>pend</t>
        </is>
      </c>
      <c r="M873" s="2" t="n"/>
      <c r="N873" s="2" t="n"/>
      <c r="O873" s="3" t="inlineStr">
        <is>
          <t>https://vanillabonds.com/dossier-data/pdf/fastned/fastned-2024-annual-report.pdf#page=98</t>
        </is>
      </c>
    </row>
    <row r="874">
      <c r="A874" s="2" t="inlineStr">
        <is>
          <t>F873</t>
        </is>
      </c>
      <c r="B874" s="2" t="inlineStr">
        <is>
          <t>financials</t>
        </is>
      </c>
      <c r="C874" s="2" t="inlineStr">
        <is>
          <t>segment</t>
        </is>
      </c>
      <c r="D874" s="3" t="inlineStr">
        <is>
          <t>Segment: segment; revenue; ebitda; assets</t>
        </is>
      </c>
      <c r="E874" s="2" t="inlineStr">
        <is>
          <t>FY2023</t>
        </is>
      </c>
      <c r="F874" s="2" t="n"/>
      <c r="G874" s="2" t="n"/>
      <c r="H874" s="3" t="inlineStr">
        <is>
          <t>segment: Expansion (Pipeline of new sites); ebitda: -15.2 (network expansion costs)</t>
        </is>
      </c>
      <c r="I874" s="2" t="inlineStr">
        <is>
          <t>S2</t>
        </is>
      </c>
      <c r="J874" s="2" t="n">
        <v>98</v>
      </c>
      <c r="K874" s="3" t="inlineStr">
        <is>
          <t>23,826 (15,241) (17,450) (3,243) (12,108)</t>
        </is>
      </c>
      <c r="L874" s="2" t="inlineStr">
        <is>
          <t>pend</t>
        </is>
      </c>
      <c r="M874" s="2" t="n"/>
      <c r="N874" s="2" t="n"/>
      <c r="O874" s="3" t="inlineStr">
        <is>
          <t>https://vanillabonds.com/dossier-data/pdf/fastned/fastned-2024-annual-report.pdf#page=98</t>
        </is>
      </c>
    </row>
    <row r="875">
      <c r="A875" s="2" t="inlineStr">
        <is>
          <t>F874</t>
        </is>
      </c>
      <c r="B875" s="2" t="inlineStr">
        <is>
          <t>financials</t>
        </is>
      </c>
      <c r="C875" s="2" t="inlineStr">
        <is>
          <t>segment</t>
        </is>
      </c>
      <c r="D875" s="3" t="inlineStr">
        <is>
          <t>Segment: segment; revenue; ebitda; assets</t>
        </is>
      </c>
      <c r="E875" s="2" t="inlineStr">
        <is>
          <t>FY2023</t>
        </is>
      </c>
      <c r="F875" s="2" t="n">
        <v>41.2</v>
      </c>
      <c r="G875" s="2" t="n"/>
      <c r="H875" s="3" t="inlineStr">
        <is>
          <t>segment: Netherlands; revenue: 41.2; ebitda: 6.9; assets: 89.1 (non-current)</t>
        </is>
      </c>
      <c r="I875" s="2" t="inlineStr">
        <is>
          <t>S2</t>
        </is>
      </c>
      <c r="J875" s="2" t="n">
        <v>132</v>
      </c>
      <c r="K875" s="3" t="inlineStr">
        <is>
          <t>Segment revenues 41,186 7,120 3,014 5,634 3,311 245 60,510</t>
        </is>
      </c>
      <c r="L875" s="2" t="inlineStr">
        <is>
          <t>pend</t>
        </is>
      </c>
      <c r="M875" s="2" t="n"/>
      <c r="N875" s="2" t="n"/>
      <c r="O875" s="3" t="inlineStr">
        <is>
          <t>https://vanillabonds.com/dossier-data/pdf/fastned/fastned-2024-annual-report.pdf#page=132</t>
        </is>
      </c>
    </row>
    <row r="876">
      <c r="A876" s="2" t="inlineStr">
        <is>
          <t>F875</t>
        </is>
      </c>
      <c r="B876" s="2" t="inlineStr">
        <is>
          <t>financials</t>
        </is>
      </c>
      <c r="C876" s="2" t="inlineStr">
        <is>
          <t>segment</t>
        </is>
      </c>
      <c r="D876" s="3" t="inlineStr">
        <is>
          <t>Segment: segment; revenue; ebitda; assets</t>
        </is>
      </c>
      <c r="E876" s="2" t="inlineStr">
        <is>
          <t>FY2023</t>
        </is>
      </c>
      <c r="F876" s="2" t="n">
        <v>7.1</v>
      </c>
      <c r="G876" s="2" t="n"/>
      <c r="H876" s="3" t="inlineStr">
        <is>
          <t>segment: Germany; revenue: 7.1; ebitda: 0.5; assets: 26.3 (non-current)</t>
        </is>
      </c>
      <c r="I876" s="2" t="inlineStr">
        <is>
          <t>S2</t>
        </is>
      </c>
      <c r="J876" s="2" t="n">
        <v>132</v>
      </c>
      <c r="K876" s="3" t="inlineStr">
        <is>
          <t>Segment revenues 41,186 7,120 3,014 5,634 3,311 245 60,510</t>
        </is>
      </c>
      <c r="L876" s="2" t="inlineStr">
        <is>
          <t>pend</t>
        </is>
      </c>
      <c r="M876" s="2" t="n"/>
      <c r="N876" s="2" t="n"/>
      <c r="O876" s="3" t="inlineStr">
        <is>
          <t>https://vanillabonds.com/dossier-data/pdf/fastned/fastned-2024-annual-report.pdf#page=132</t>
        </is>
      </c>
    </row>
    <row r="877">
      <c r="A877" s="2" t="inlineStr">
        <is>
          <t>F876</t>
        </is>
      </c>
      <c r="B877" s="2" t="inlineStr">
        <is>
          <t>financials</t>
        </is>
      </c>
      <c r="C877" s="2" t="inlineStr">
        <is>
          <t>segment</t>
        </is>
      </c>
      <c r="D877" s="3" t="inlineStr">
        <is>
          <t>Segment: segment; revenue; ebitda; assets</t>
        </is>
      </c>
      <c r="E877" s="2" t="inlineStr">
        <is>
          <t>FY2023</t>
        </is>
      </c>
      <c r="F877" s="2" t="n">
        <v>3</v>
      </c>
      <c r="G877" s="2" t="n"/>
      <c r="H877" s="3" t="inlineStr">
        <is>
          <t>segment: United Kingdom; revenue: 3.0; ebitda: -0.8; assets: 21.5 (non-current)</t>
        </is>
      </c>
      <c r="I877" s="2" t="inlineStr">
        <is>
          <t>S2</t>
        </is>
      </c>
      <c r="J877" s="2" t="n">
        <v>132</v>
      </c>
      <c r="K877" s="3" t="inlineStr">
        <is>
          <t>Segment revenues 41,186 7,120 3,014 5,634 3,311 245 60,510</t>
        </is>
      </c>
      <c r="L877" s="2" t="inlineStr">
        <is>
          <t>pend</t>
        </is>
      </c>
      <c r="M877" s="2" t="n"/>
      <c r="N877" s="2" t="n"/>
      <c r="O877" s="3" t="inlineStr">
        <is>
          <t>https://vanillabonds.com/dossier-data/pdf/fastned/fastned-2024-annual-report.pdf#page=132</t>
        </is>
      </c>
    </row>
    <row r="878">
      <c r="A878" s="2" t="inlineStr">
        <is>
          <t>F877</t>
        </is>
      </c>
      <c r="B878" s="2" t="inlineStr">
        <is>
          <t>financials</t>
        </is>
      </c>
      <c r="C878" s="2" t="inlineStr">
        <is>
          <t>segment</t>
        </is>
      </c>
      <c r="D878" s="3" t="inlineStr">
        <is>
          <t>Segment: segment; revenue; ebitda; assets</t>
        </is>
      </c>
      <c r="E878" s="2" t="inlineStr">
        <is>
          <t>FY2023</t>
        </is>
      </c>
      <c r="F878" s="2" t="n">
        <v>5.6</v>
      </c>
      <c r="G878" s="2" t="n"/>
      <c r="H878" s="3" t="inlineStr">
        <is>
          <t>segment: Belgium; revenue: 5.6; ebitda: 0.8; assets: 21.5 (non-current)</t>
        </is>
      </c>
      <c r="I878" s="2" t="inlineStr">
        <is>
          <t>S2</t>
        </is>
      </c>
      <c r="J878" s="2" t="n">
        <v>132</v>
      </c>
      <c r="K878" s="3" t="inlineStr">
        <is>
          <t>Segment revenues 41,186 7,120 3,014 5,634 3,311 245 60,510</t>
        </is>
      </c>
      <c r="L878" s="2" t="inlineStr">
        <is>
          <t>pend</t>
        </is>
      </c>
      <c r="M878" s="2" t="n"/>
      <c r="N878" s="2" t="n"/>
      <c r="O878" s="3" t="inlineStr">
        <is>
          <t>https://vanillabonds.com/dossier-data/pdf/fastned/fastned-2024-annual-report.pdf#page=132</t>
        </is>
      </c>
    </row>
    <row r="879">
      <c r="A879" s="2" t="inlineStr">
        <is>
          <t>F878</t>
        </is>
      </c>
      <c r="B879" s="2" t="inlineStr">
        <is>
          <t>financials</t>
        </is>
      </c>
      <c r="C879" s="2" t="inlineStr">
        <is>
          <t>segment</t>
        </is>
      </c>
      <c r="D879" s="3" t="inlineStr">
        <is>
          <t>Segment: segment; revenue; ebitda; assets</t>
        </is>
      </c>
      <c r="E879" s="2" t="inlineStr">
        <is>
          <t>FY2023</t>
        </is>
      </c>
      <c r="F879" s="2" t="n">
        <v>3.3</v>
      </c>
      <c r="G879" s="2" t="n"/>
      <c r="H879" s="3" t="inlineStr">
        <is>
          <t>segment: France; revenue: 3.3; ebitda: -2.2; assets: 44.5 (non-current)</t>
        </is>
      </c>
      <c r="I879" s="2" t="inlineStr">
        <is>
          <t>S2</t>
        </is>
      </c>
      <c r="J879" s="2" t="n">
        <v>132</v>
      </c>
      <c r="K879" s="3" t="inlineStr">
        <is>
          <t>Segment revenues 41,186 7,120 3,014 5,634 3,311 245 60,510</t>
        </is>
      </c>
      <c r="L879" s="2" t="inlineStr">
        <is>
          <t>pend</t>
        </is>
      </c>
      <c r="M879" s="2" t="n"/>
      <c r="N879" s="2" t="n"/>
      <c r="O879" s="3" t="inlineStr">
        <is>
          <t>https://vanillabonds.com/dossier-data/pdf/fastned/fastned-2024-annual-report.pdf#page=132</t>
        </is>
      </c>
    </row>
    <row r="880">
      <c r="A880" s="2" t="inlineStr">
        <is>
          <t>F879</t>
        </is>
      </c>
      <c r="B880" s="2" t="inlineStr">
        <is>
          <t>financials</t>
        </is>
      </c>
      <c r="C880" s="2" t="inlineStr">
        <is>
          <t>segment</t>
        </is>
      </c>
      <c r="D880" s="3" t="inlineStr">
        <is>
          <t>Segment: segment; revenue; ebitda; assets</t>
        </is>
      </c>
      <c r="E880" s="2" t="inlineStr">
        <is>
          <t>FY2023</t>
        </is>
      </c>
      <c r="F880" s="2" t="n">
        <v>0.2</v>
      </c>
      <c r="G880" s="2" t="n"/>
      <c r="H880" s="3" t="inlineStr">
        <is>
          <t>segment: Other Europe; revenue: 0.2; ebitda: -0.5; assets: 6.6 (non-current)</t>
        </is>
      </c>
      <c r="I880" s="2" t="inlineStr">
        <is>
          <t>S2</t>
        </is>
      </c>
      <c r="J880" s="2" t="n">
        <v>132</v>
      </c>
      <c r="K880" s="3" t="inlineStr">
        <is>
          <t>Segment revenues 41,186 7,120 3,014 5,634 3,311 245 60,510</t>
        </is>
      </c>
      <c r="L880" s="2" t="inlineStr">
        <is>
          <t>pend</t>
        </is>
      </c>
      <c r="M880" s="2" t="n"/>
      <c r="N880" s="2" t="n"/>
      <c r="O880" s="3" t="inlineStr">
        <is>
          <t>https://vanillabonds.com/dossier-data/pdf/fastned/fastned-2024-annual-report.pdf#page=132</t>
        </is>
      </c>
    </row>
    <row r="881">
      <c r="A881" s="2" t="inlineStr">
        <is>
          <t>F880</t>
        </is>
      </c>
      <c r="B881" s="2" t="inlineStr">
        <is>
          <t>financials</t>
        </is>
      </c>
      <c r="C881" s="2" t="inlineStr">
        <is>
          <t>segment</t>
        </is>
      </c>
      <c r="D881" s="3" t="inlineStr">
        <is>
          <t>Segment: segment; revenue; ebitda; assets</t>
        </is>
      </c>
      <c r="E881" s="2" t="inlineStr">
        <is>
          <t>FY2024</t>
        </is>
      </c>
      <c r="F881" s="2" t="n">
        <v>86.3</v>
      </c>
      <c r="G881" s="2" t="n"/>
      <c r="H881" s="3" t="inlineStr">
        <is>
          <t>segment: Network (Delivery, operational stations); revenue: 86.3; ebitda: 32.6 (operational EBITDA)</t>
        </is>
      </c>
      <c r="I881" s="2" t="inlineStr">
        <is>
          <t>S2</t>
        </is>
      </c>
      <c r="J881" s="2" t="n">
        <v>98</v>
      </c>
      <c r="K881" s="2" t="inlineStr">
        <is>
          <t>Revenue 86,314 — — 422 86,736</t>
        </is>
      </c>
      <c r="L881" s="2" t="inlineStr">
        <is>
          <t>pend</t>
        </is>
      </c>
      <c r="M881" s="2" t="n"/>
      <c r="N881" s="2" t="n"/>
      <c r="O881" s="3" t="inlineStr">
        <is>
          <t>https://vanillabonds.com/dossier-data/pdf/fastned/fastned-2024-annual-report.pdf#page=98</t>
        </is>
      </c>
    </row>
    <row r="882">
      <c r="A882" s="2" t="inlineStr">
        <is>
          <t>F881</t>
        </is>
      </c>
      <c r="B882" s="2" t="inlineStr">
        <is>
          <t>financials</t>
        </is>
      </c>
      <c r="C882" s="2" t="inlineStr">
        <is>
          <t>segment</t>
        </is>
      </c>
      <c r="D882" s="3" t="inlineStr">
        <is>
          <t>Segment: segment; revenue; ebitda; assets</t>
        </is>
      </c>
      <c r="E882" s="2" t="inlineStr">
        <is>
          <t>FY2024</t>
        </is>
      </c>
      <c r="F882" s="2" t="n"/>
      <c r="G882" s="2" t="n"/>
      <c r="H882" s="3" t="inlineStr">
        <is>
          <t>segment: Expansion (Pipeline of new sites); ebitda: -23.2 (network expansion costs)</t>
        </is>
      </c>
      <c r="I882" s="2" t="inlineStr">
        <is>
          <t>S2</t>
        </is>
      </c>
      <c r="J882" s="2" t="n">
        <v>98</v>
      </c>
      <c r="K882" s="3" t="inlineStr">
        <is>
          <t>Operating profit / (loss) 32,642 (23,243) (24,143) (1,321) (16,065)</t>
        </is>
      </c>
      <c r="L882" s="2" t="inlineStr">
        <is>
          <t>pend</t>
        </is>
      </c>
      <c r="M882" s="2" t="n"/>
      <c r="N882" s="2" t="n"/>
      <c r="O882" s="3" t="inlineStr">
        <is>
          <t>https://vanillabonds.com/dossier-data/pdf/fastned/fastned-2024-annual-report.pdf#page=98</t>
        </is>
      </c>
    </row>
    <row r="883">
      <c r="A883" s="2" t="inlineStr">
        <is>
          <t>F882</t>
        </is>
      </c>
      <c r="B883" s="2" t="inlineStr">
        <is>
          <t>financials</t>
        </is>
      </c>
      <c r="C883" s="2" t="inlineStr">
        <is>
          <t>segment</t>
        </is>
      </c>
      <c r="D883" s="3" t="inlineStr">
        <is>
          <t>Segment: segment; revenue; ebitda; assets</t>
        </is>
      </c>
      <c r="E883" s="2" t="inlineStr">
        <is>
          <t>FY2024</t>
        </is>
      </c>
      <c r="F883" s="2" t="n">
        <v>53.3</v>
      </c>
      <c r="G883" s="2" t="n"/>
      <c r="H883" s="3" t="inlineStr">
        <is>
          <t>segment: Netherlands; revenue: 53.3; ebitda: 12.3; assets: 100.8 (non-current)</t>
        </is>
      </c>
      <c r="I883" s="2" t="inlineStr">
        <is>
          <t>S2</t>
        </is>
      </c>
      <c r="J883" s="2" t="n">
        <v>131</v>
      </c>
      <c r="K883" s="3" t="inlineStr">
        <is>
          <t>Segment revenues 53,280 8,287 5,822 10,035 7,672 1,217 86,313</t>
        </is>
      </c>
      <c r="L883" s="2" t="inlineStr">
        <is>
          <t>pend</t>
        </is>
      </c>
      <c r="M883" s="2" t="n"/>
      <c r="N883" s="2" t="n"/>
      <c r="O883" s="3" t="inlineStr">
        <is>
          <t>https://vanillabonds.com/dossier-data/pdf/fastned/fastned-2024-annual-report.pdf#page=131</t>
        </is>
      </c>
    </row>
    <row r="884">
      <c r="A884" s="2" t="inlineStr">
        <is>
          <t>F883</t>
        </is>
      </c>
      <c r="B884" s="2" t="inlineStr">
        <is>
          <t>financials</t>
        </is>
      </c>
      <c r="C884" s="2" t="inlineStr">
        <is>
          <t>segment</t>
        </is>
      </c>
      <c r="D884" s="3" t="inlineStr">
        <is>
          <t>Segment: segment; revenue; ebitda; assets</t>
        </is>
      </c>
      <c r="E884" s="2" t="inlineStr">
        <is>
          <t>FY2024</t>
        </is>
      </c>
      <c r="F884" s="2" t="n">
        <v>8.699999999999999</v>
      </c>
      <c r="G884" s="2" t="n"/>
      <c r="H884" s="3" t="inlineStr">
        <is>
          <t>segment: Germany; revenue: 8.7 (incl. 0.4 station construction); ebitda: -1.1; assets: 32.8 (non-current)</t>
        </is>
      </c>
      <c r="I884" s="2" t="inlineStr">
        <is>
          <t>S2</t>
        </is>
      </c>
      <c r="J884" s="2" t="n">
        <v>131</v>
      </c>
      <c r="K884" s="3" t="inlineStr">
        <is>
          <t>Segment revenues 53,280 8,287 5,822 10,035 7,672 1,217 86,313</t>
        </is>
      </c>
      <c r="L884" s="2" t="inlineStr">
        <is>
          <t>pend</t>
        </is>
      </c>
      <c r="M884" s="2" t="n"/>
      <c r="N884" s="2" t="n"/>
      <c r="O884" s="3" t="inlineStr">
        <is>
          <t>https://vanillabonds.com/dossier-data/pdf/fastned/fastned-2024-annual-report.pdf#page=131</t>
        </is>
      </c>
    </row>
    <row r="885">
      <c r="A885" s="2" t="inlineStr">
        <is>
          <t>F884</t>
        </is>
      </c>
      <c r="B885" s="2" t="inlineStr">
        <is>
          <t>financials</t>
        </is>
      </c>
      <c r="C885" s="2" t="inlineStr">
        <is>
          <t>segment</t>
        </is>
      </c>
      <c r="D885" s="3" t="inlineStr">
        <is>
          <t>Segment: segment; revenue; ebitda; assets</t>
        </is>
      </c>
      <c r="E885" s="2" t="inlineStr">
        <is>
          <t>FY2024</t>
        </is>
      </c>
      <c r="F885" s="2" t="n">
        <v>5.8</v>
      </c>
      <c r="G885" s="2" t="n"/>
      <c r="H885" s="3" t="inlineStr">
        <is>
          <t>segment: United Kingdom; revenue: 5.8; ebitda: -2.8; assets: 38.2 (non-current)</t>
        </is>
      </c>
      <c r="I885" s="2" t="inlineStr">
        <is>
          <t>S2</t>
        </is>
      </c>
      <c r="J885" s="2" t="n">
        <v>131</v>
      </c>
      <c r="K885" s="3" t="inlineStr">
        <is>
          <t>Segment revenues 53,280 8,287 5,822 10,035 7,672 1,217 86,313</t>
        </is>
      </c>
      <c r="L885" s="2" t="inlineStr">
        <is>
          <t>pend</t>
        </is>
      </c>
      <c r="M885" s="2" t="n"/>
      <c r="N885" s="2" t="n"/>
      <c r="O885" s="3" t="inlineStr">
        <is>
          <t>https://vanillabonds.com/dossier-data/pdf/fastned/fastned-2024-annual-report.pdf#page=131</t>
        </is>
      </c>
    </row>
    <row r="886">
      <c r="A886" s="2" t="inlineStr">
        <is>
          <t>F885</t>
        </is>
      </c>
      <c r="B886" s="2" t="inlineStr">
        <is>
          <t>financials</t>
        </is>
      </c>
      <c r="C886" s="2" t="inlineStr">
        <is>
          <t>segment</t>
        </is>
      </c>
      <c r="D886" s="3" t="inlineStr">
        <is>
          <t>Segment: segment; revenue; ebitda; assets</t>
        </is>
      </c>
      <c r="E886" s="2" t="inlineStr">
        <is>
          <t>FY2024</t>
        </is>
      </c>
      <c r="F886" s="2" t="n">
        <v>10</v>
      </c>
      <c r="G886" s="2" t="n"/>
      <c r="H886" s="3" t="inlineStr">
        <is>
          <t>segment: Belgium; revenue: 10.0; ebitda: 1.6; assets: 36.9 (non-current)</t>
        </is>
      </c>
      <c r="I886" s="2" t="inlineStr">
        <is>
          <t>S2</t>
        </is>
      </c>
      <c r="J886" s="2" t="n">
        <v>131</v>
      </c>
      <c r="K886" s="3" t="inlineStr">
        <is>
          <t>Segment revenues 53,280 8,287 5,822 10,035 7,672 1,217 86,313</t>
        </is>
      </c>
      <c r="L886" s="2" t="inlineStr">
        <is>
          <t>pend</t>
        </is>
      </c>
      <c r="M886" s="2" t="n"/>
      <c r="N886" s="2" t="n"/>
      <c r="O886" s="3" t="inlineStr">
        <is>
          <t>https://vanillabonds.com/dossier-data/pdf/fastned/fastned-2024-annual-report.pdf#page=131</t>
        </is>
      </c>
    </row>
    <row r="887">
      <c r="A887" s="2" t="inlineStr">
        <is>
          <t>F886</t>
        </is>
      </c>
      <c r="B887" s="2" t="inlineStr">
        <is>
          <t>financials</t>
        </is>
      </c>
      <c r="C887" s="2" t="inlineStr">
        <is>
          <t>segment</t>
        </is>
      </c>
      <c r="D887" s="3" t="inlineStr">
        <is>
          <t>Segment: segment; revenue; ebitda; assets</t>
        </is>
      </c>
      <c r="E887" s="2" t="inlineStr">
        <is>
          <t>FY2024</t>
        </is>
      </c>
      <c r="F887" s="2" t="n">
        <v>7.7</v>
      </c>
      <c r="G887" s="2" t="n"/>
      <c r="H887" s="3" t="inlineStr">
        <is>
          <t>segment: France; revenue: 7.7; ebitda: -0.1; assets: 50.1 (non-current)</t>
        </is>
      </c>
      <c r="I887" s="2" t="inlineStr">
        <is>
          <t>S2</t>
        </is>
      </c>
      <c r="J887" s="2" t="n">
        <v>131</v>
      </c>
      <c r="K887" s="3" t="inlineStr">
        <is>
          <t>Segment revenues 53,280 8,287 5,822 10,035 7,672 1,217 86,313</t>
        </is>
      </c>
      <c r="L887" s="2" t="inlineStr">
        <is>
          <t>pend</t>
        </is>
      </c>
      <c r="M887" s="2" t="n"/>
      <c r="N887" s="2" t="n"/>
      <c r="O887" s="3" t="inlineStr">
        <is>
          <t>https://vanillabonds.com/dossier-data/pdf/fastned/fastned-2024-annual-report.pdf#page=131</t>
        </is>
      </c>
    </row>
    <row r="888">
      <c r="A888" s="2" t="inlineStr">
        <is>
          <t>F887</t>
        </is>
      </c>
      <c r="B888" s="2" t="inlineStr">
        <is>
          <t>financials</t>
        </is>
      </c>
      <c r="C888" s="2" t="inlineStr">
        <is>
          <t>segment</t>
        </is>
      </c>
      <c r="D888" s="3" t="inlineStr">
        <is>
          <t>Segment: segment; revenue; ebitda; assets</t>
        </is>
      </c>
      <c r="E888" s="2" t="inlineStr">
        <is>
          <t>FY2024</t>
        </is>
      </c>
      <c r="F888" s="2" t="n">
        <v>1.2</v>
      </c>
      <c r="G888" s="2" t="n"/>
      <c r="H888" s="3" t="inlineStr">
        <is>
          <t>segment: Other Europe (CH, IT, ES, AT, DK); revenue: 1.2; ebitda: -2.5; assets: 16.4 (non-current)</t>
        </is>
      </c>
      <c r="I888" s="2" t="inlineStr">
        <is>
          <t>S2</t>
        </is>
      </c>
      <c r="J888" s="2" t="n">
        <v>131</v>
      </c>
      <c r="K888" s="3" t="inlineStr">
        <is>
          <t>Segment revenues 53,280 8,287 5,822 10,035 7,672 1,217 86,313</t>
        </is>
      </c>
      <c r="L888" s="2" t="inlineStr">
        <is>
          <t>pend</t>
        </is>
      </c>
      <c r="M888" s="2" t="n"/>
      <c r="N888" s="2" t="n"/>
      <c r="O888" s="3" t="inlineStr">
        <is>
          <t>https://vanillabonds.com/dossier-data/pdf/fastned/fastned-2024-annual-report.pdf#page=131</t>
        </is>
      </c>
    </row>
    <row r="889">
      <c r="A889" s="2" t="inlineStr">
        <is>
          <t>F888</t>
        </is>
      </c>
      <c r="B889" s="2" t="inlineStr">
        <is>
          <t>financials</t>
        </is>
      </c>
      <c r="C889" s="2" t="inlineStr">
        <is>
          <t>tax_paid</t>
        </is>
      </c>
      <c r="D889" s="2" t="inlineStr">
        <is>
          <t>Income taxes paid (cash flow statement)</t>
        </is>
      </c>
      <c r="E889" s="2" t="inlineStr">
        <is>
          <t>FY2023</t>
        </is>
      </c>
      <c r="F889" s="2" t="n">
        <v>0</v>
      </c>
      <c r="G889" s="2" t="inlineStr">
        <is>
          <t>EUR m</t>
        </is>
      </c>
      <c r="H889" s="2" t="inlineStr">
        <is>
          <t>Income taxes paid/received: nil</t>
        </is>
      </c>
      <c r="I889" s="2" t="inlineStr">
        <is>
          <t>S2</t>
        </is>
      </c>
      <c r="J889" s="2" t="n">
        <v>104</v>
      </c>
      <c r="K889" s="2" t="inlineStr">
        <is>
          <t>Income taxes (paid)/received — —</t>
        </is>
      </c>
      <c r="L889" s="2" t="inlineStr">
        <is>
          <t>pend</t>
        </is>
      </c>
      <c r="M889" s="2" t="n"/>
      <c r="N889" s="2" t="n"/>
      <c r="O889" s="3" t="inlineStr">
        <is>
          <t>https://vanillabonds.com/dossier-data/pdf/fastned/fastned-2024-annual-report.pdf#page=104</t>
        </is>
      </c>
    </row>
    <row r="890">
      <c r="A890" s="2" t="inlineStr">
        <is>
          <t>F889</t>
        </is>
      </c>
      <c r="B890" s="2" t="inlineStr">
        <is>
          <t>financials</t>
        </is>
      </c>
      <c r="C890" s="2" t="inlineStr">
        <is>
          <t>tax_paid</t>
        </is>
      </c>
      <c r="D890" s="2" t="inlineStr">
        <is>
          <t>Income taxes paid (cash flow statement)</t>
        </is>
      </c>
      <c r="E890" s="2" t="inlineStr">
        <is>
          <t>FY2024</t>
        </is>
      </c>
      <c r="F890" s="2" t="n">
        <v>0</v>
      </c>
      <c r="G890" s="2" t="inlineStr">
        <is>
          <t>EUR m</t>
        </is>
      </c>
      <c r="H890" s="2" t="inlineStr">
        <is>
          <t>Income taxes paid/received: nil</t>
        </is>
      </c>
      <c r="I890" s="2" t="inlineStr">
        <is>
          <t>S2</t>
        </is>
      </c>
      <c r="J890" s="2" t="n">
        <v>104</v>
      </c>
      <c r="K890" s="2" t="inlineStr">
        <is>
          <t>Income taxes (paid)/received — —</t>
        </is>
      </c>
      <c r="L890" s="2" t="inlineStr">
        <is>
          <t>pend</t>
        </is>
      </c>
      <c r="M890" s="2" t="n"/>
      <c r="N890" s="2" t="n"/>
      <c r="O890" s="3" t="inlineStr">
        <is>
          <t>https://vanillabonds.com/dossier-data/pdf/fastned/fastned-2024-annual-report.pdf#page=104</t>
        </is>
      </c>
    </row>
    <row r="891">
      <c r="A891" s="2" t="inlineStr">
        <is>
          <t>F890</t>
        </is>
      </c>
      <c r="B891" s="2" t="inlineStr">
        <is>
          <t>debt</t>
        </is>
      </c>
      <c r="C891" s="2" t="inlineStr">
        <is>
          <t>hedge</t>
        </is>
      </c>
      <c r="D891" s="3" t="inlineStr">
        <is>
          <t>Hedge: instrument; counterparty; notional; maturity; hedged item (rate, FX)</t>
        </is>
      </c>
      <c r="E891" s="2" t="n"/>
      <c r="F891" s="2" t="n"/>
      <c r="G891" s="2" t="n"/>
      <c r="H891" s="3" t="inlineStr">
        <is>
          <t>instrument: corporate PPA at fixed price; counterparty: local wind producer Eemshaven (via Topwind), supplied through Scholt Energy; notional: over 15 million kWh per year; maturity: 12 years from November 2024; hedged item: electricity price</t>
        </is>
      </c>
      <c r="I891" s="2" t="inlineStr">
        <is>
          <t>S2</t>
        </is>
      </c>
      <c r="J891" s="2" t="n">
        <v>59</v>
      </c>
      <c r="K891" s="3" t="inlineStr">
        <is>
          <t>As of November 2024, the wind turbine in Eemshaven will supply more than 15 million kWh per year directly to Fastned.</t>
        </is>
      </c>
      <c r="L891" s="2" t="inlineStr">
        <is>
          <t>pend</t>
        </is>
      </c>
      <c r="M891" s="2" t="n"/>
      <c r="N891" s="2" t="n"/>
      <c r="O891" s="3" t="inlineStr">
        <is>
          <t>https://vanillabonds.com/dossier-data/pdf/fastned/fastned-2024-annual-report.pdf#page=59</t>
        </is>
      </c>
    </row>
    <row r="892">
      <c r="A892" s="2" t="inlineStr">
        <is>
          <t>F891</t>
        </is>
      </c>
      <c r="B892" s="2" t="inlineStr">
        <is>
          <t>debt</t>
        </is>
      </c>
      <c r="C892" s="2" t="inlineStr">
        <is>
          <t>hedge</t>
        </is>
      </c>
      <c r="D892" s="3" t="inlineStr">
        <is>
          <t>Hedge: instrument; counterparty; notional; maturity; hedged item (rate, FX)</t>
        </is>
      </c>
      <c r="E892" s="2" t="n"/>
      <c r="F892" s="2" t="n"/>
      <c r="G892" s="2" t="n"/>
      <c r="H892" s="3" t="inlineStr">
        <is>
          <t>instrument: none; hedged item: n/a; the Group makes no use of derivative financial instruments</t>
        </is>
      </c>
      <c r="I892" s="2" t="inlineStr">
        <is>
          <t>S2</t>
        </is>
      </c>
      <c r="J892" s="2" t="n">
        <v>118</v>
      </c>
      <c r="K892" s="3" t="inlineStr">
        <is>
          <t>The Group only has financial assets at amortised cost and makes no use of</t>
        </is>
      </c>
      <c r="L892" s="2" t="inlineStr">
        <is>
          <t>pend</t>
        </is>
      </c>
      <c r="M892" s="2" t="n"/>
      <c r="N892" s="2" t="n"/>
      <c r="O892" s="3" t="inlineStr">
        <is>
          <t>https://vanillabonds.com/dossier-data/pdf/fastned/fastned-2024-annual-report.pdf#page=118</t>
        </is>
      </c>
    </row>
    <row r="893">
      <c r="A893" s="2" t="inlineStr">
        <is>
          <t>F892</t>
        </is>
      </c>
      <c r="B893" s="2" t="inlineStr">
        <is>
          <t>debt</t>
        </is>
      </c>
      <c r="C893" s="2" t="inlineStr">
        <is>
          <t>hedge</t>
        </is>
      </c>
      <c r="D893" s="3" t="inlineStr">
        <is>
          <t>Hedge: instrument; counterparty; notional; maturity; hedged item (rate, FX)</t>
        </is>
      </c>
      <c r="E893" s="2" t="n"/>
      <c r="F893" s="2" t="n"/>
      <c r="G893" s="2" t="n"/>
      <c r="H893" s="3" t="inlineStr">
        <is>
          <t>instrument: fixed-price physical PPAs (wind and solar), forward contracts, fixed-price contracts; notional: PPA commitments EUR 61m (note 23); hedged item: electricity purchase price (commodity)</t>
        </is>
      </c>
      <c r="I893" s="2" t="inlineStr">
        <is>
          <t>S2</t>
        </is>
      </c>
      <c r="J893" s="2" t="n">
        <v>151</v>
      </c>
      <c r="K893" s="3" t="inlineStr">
        <is>
          <t>includes the use of fixed-price Physical Power Purchase Agreements ('PPAs') for</t>
        </is>
      </c>
      <c r="L893" s="2" t="inlineStr">
        <is>
          <t>pend</t>
        </is>
      </c>
      <c r="M893" s="2" t="n"/>
      <c r="N893" s="2" t="n"/>
      <c r="O893" s="3" t="inlineStr">
        <is>
          <t>https://vanillabonds.com/dossier-data/pdf/fastned/fastned-2024-annual-report.pdf#page=151</t>
        </is>
      </c>
    </row>
    <row r="894">
      <c r="A894" s="2" t="inlineStr">
        <is>
          <t>F893</t>
        </is>
      </c>
      <c r="B894" s="2" t="inlineStr">
        <is>
          <t>debt</t>
        </is>
      </c>
      <c r="C894" s="2" t="inlineStr">
        <is>
          <t>hedge</t>
        </is>
      </c>
      <c r="D894" s="3" t="inlineStr">
        <is>
          <t>Hedge: instrument; counterparty; notional; maturity; hedged item (rate, FX)</t>
        </is>
      </c>
      <c r="E894" s="2" t="n"/>
      <c r="F894" s="2" t="n"/>
      <c r="G894" s="2" t="n"/>
      <c r="H894" s="3" t="inlineStr">
        <is>
          <t>instrument: interest-rate hedge; value: none, Management Board decided no further hedging required for interest-rate risk</t>
        </is>
      </c>
      <c r="I894" s="2" t="inlineStr">
        <is>
          <t>S2</t>
        </is>
      </c>
      <c r="J894" s="2" t="n">
        <v>151</v>
      </c>
      <c r="K894" s="3" t="inlineStr">
        <is>
          <t>The Management Board has decided that no further hedging is required for interest rate risk.</t>
        </is>
      </c>
      <c r="L894" s="2" t="inlineStr">
        <is>
          <t>pend</t>
        </is>
      </c>
      <c r="M894" s="2" t="n"/>
      <c r="N894" s="2" t="n"/>
      <c r="O894" s="3" t="inlineStr">
        <is>
          <t>https://vanillabonds.com/dossier-data/pdf/fastned/fastned-2024-annual-report.pdf#page=151</t>
        </is>
      </c>
    </row>
    <row r="895">
      <c r="A895" s="2" t="inlineStr">
        <is>
          <t>F894</t>
        </is>
      </c>
      <c r="B895" s="2" t="inlineStr">
        <is>
          <t>debt</t>
        </is>
      </c>
      <c r="C895" s="2" t="inlineStr">
        <is>
          <t>rate_type</t>
        </is>
      </c>
      <c r="D895" s="3" t="inlineStr">
        <is>
          <t>Rate structure of the debt: floating_share (0-1); base rate; fixed_share; fx mismatch revenue vs cost</t>
        </is>
      </c>
      <c r="E895" s="2" t="n"/>
      <c r="F895" s="2" t="n"/>
      <c r="G895" s="2" t="n"/>
      <c r="H895" s="3" t="inlineStr">
        <is>
          <t>floating_share: not stated; base rate: fixed coupons 5.0-6.0% on bonds, 4% on secured loan, forgivable loan interest-free; fixed_share: company states its long-term debt obligations carry fixed rates; fx mismatch revenue vs cost: UK, CH, DK entities sell and buy locally but are funded with EUR intercompany loans from Fastned B.V.</t>
        </is>
      </c>
      <c r="I895" s="2" t="inlineStr">
        <is>
          <t>S2</t>
        </is>
      </c>
      <c r="J895" s="2" t="n">
        <v>151</v>
      </c>
      <c r="K895" s="3" t="inlineStr">
        <is>
          <t>Group’s long-term debt obligations with fixed rates.</t>
        </is>
      </c>
      <c r="L895" s="2" t="inlineStr">
        <is>
          <t>pend</t>
        </is>
      </c>
      <c r="M895" s="2" t="n"/>
      <c r="N895" s="2" t="n"/>
      <c r="O895" s="3" t="inlineStr">
        <is>
          <t>https://vanillabonds.com/dossier-data/pdf/fastned/fastned-2024-annual-report.pdf#page=151</t>
        </is>
      </c>
    </row>
    <row r="896">
      <c r="A896" s="2" t="inlineStr">
        <is>
          <t>F895</t>
        </is>
      </c>
      <c r="B896" s="2" t="inlineStr">
        <is>
          <t>debt</t>
        </is>
      </c>
      <c r="C896" s="2" t="inlineStr">
        <is>
          <t>rollover_event</t>
        </is>
      </c>
      <c r="D896" s="3" t="inlineStr">
        <is>
          <t>Past maturity: instrument; amount; due; outcome (repaid, refinanced, extended, waived)</t>
        </is>
      </c>
      <c r="E896" s="2" t="n"/>
      <c r="F896" s="2" t="n"/>
      <c r="G896" s="2" t="n"/>
      <c r="H896" s="3" t="inlineStr">
        <is>
          <t>instrument: bonds; outcome: extended (in 2024 Fastned issued and extended bonds totalling approximately €82m; details in note 14, part 2)</t>
        </is>
      </c>
      <c r="I896" s="2" t="inlineStr">
        <is>
          <t>S2</t>
        </is>
      </c>
      <c r="J896" s="2" t="n">
        <v>66</v>
      </c>
      <c r="K896" s="3" t="inlineStr">
        <is>
          <t>the company strengthened its capital position by issuing and extending bonds totaling approximately €82 million.</t>
        </is>
      </c>
      <c r="L896" s="2" t="inlineStr">
        <is>
          <t>pend</t>
        </is>
      </c>
      <c r="M896" s="2" t="n"/>
      <c r="N896" s="2" t="n"/>
      <c r="O896" s="3" t="inlineStr">
        <is>
          <t>https://vanillabonds.com/dossier-data/pdf/fastned/fastned-2024-annual-report.pdf#page=66</t>
        </is>
      </c>
    </row>
    <row r="897">
      <c r="A897" s="2" t="inlineStr">
        <is>
          <t>F896</t>
        </is>
      </c>
      <c r="B897" s="2" t="inlineStr">
        <is>
          <t>debt</t>
        </is>
      </c>
      <c r="C897" s="2" t="inlineStr">
        <is>
          <t>rollover_event</t>
        </is>
      </c>
      <c r="D897" s="3" t="inlineStr">
        <is>
          <t>Past maturity: instrument; amount; due; outcome (repaid, refinanced, extended, waived)</t>
        </is>
      </c>
      <c r="E897" s="2" t="n"/>
      <c r="F897" s="2" t="n">
        <v>7.3</v>
      </c>
      <c r="G897" s="2" t="n"/>
      <c r="H897" s="3" t="inlineStr">
        <is>
          <t>instrument: 6% corporate bond; amount: 7.3; due: 2024-03-21; outcome: repaid EUR 6.6m cash, EUR 0.7m extended into new bonds</t>
        </is>
      </c>
      <c r="I897" s="2" t="inlineStr">
        <is>
          <t>S2</t>
        </is>
      </c>
      <c r="J897" s="2" t="n">
        <v>148</v>
      </c>
      <c r="K897" s="3" t="inlineStr">
        <is>
          <t>6% corporate bond 21/03/24 7,304 86 (6,563) (98) 12 (741) —</t>
        </is>
      </c>
      <c r="L897" s="2" t="inlineStr">
        <is>
          <t>pend</t>
        </is>
      </c>
      <c r="M897" s="2" t="n"/>
      <c r="N897" s="2" t="n"/>
      <c r="O897" s="3" t="inlineStr">
        <is>
          <t>https://vanillabonds.com/dossier-data/pdf/fastned/fastned-2024-annual-report.pdf#page=148</t>
        </is>
      </c>
    </row>
    <row r="898">
      <c r="A898" s="2" t="inlineStr">
        <is>
          <t>F897</t>
        </is>
      </c>
      <c r="B898" s="2" t="inlineStr">
        <is>
          <t>debt</t>
        </is>
      </c>
      <c r="C898" s="2" t="inlineStr">
        <is>
          <t>rollover_event</t>
        </is>
      </c>
      <c r="D898" s="3" t="inlineStr">
        <is>
          <t>Past maturity: instrument; amount; due; outcome (repaid, refinanced, extended, waived)</t>
        </is>
      </c>
      <c r="E898" s="2" t="n"/>
      <c r="F898" s="2" t="n">
        <v>9.699999999999999</v>
      </c>
      <c r="G898" s="2" t="n"/>
      <c r="H898" s="3" t="inlineStr">
        <is>
          <t>instrument: 6% corporate bond; amount: 9.7; due: 2024-12-12; outcome: repaid EUR 5.2m cash, EUR 4.5m extended into new bonds</t>
        </is>
      </c>
      <c r="I898" s="2" t="inlineStr">
        <is>
          <t>S2</t>
        </is>
      </c>
      <c r="J898" s="2" t="n">
        <v>148</v>
      </c>
      <c r="K898" s="3" t="inlineStr">
        <is>
          <t>6% corporate bond 12/12/24 9,659 408 (5,204) (438) 30 (4,455) —</t>
        </is>
      </c>
      <c r="L898" s="2" t="inlineStr">
        <is>
          <t>pend</t>
        </is>
      </c>
      <c r="M898" s="2" t="n"/>
      <c r="N898" s="2" t="n"/>
      <c r="O898" s="3" t="inlineStr">
        <is>
          <t>https://vanillabonds.com/dossier-data/pdf/fastned/fastned-2024-annual-report.pdf#page=148</t>
        </is>
      </c>
    </row>
    <row r="899">
      <c r="A899" s="2" t="inlineStr">
        <is>
          <t>F898</t>
        </is>
      </c>
      <c r="B899" s="2" t="inlineStr">
        <is>
          <t>debt</t>
        </is>
      </c>
      <c r="C899" s="2" t="inlineStr">
        <is>
          <t>rollover_event</t>
        </is>
      </c>
      <c r="D899" s="3" t="inlineStr">
        <is>
          <t>Past maturity: instrument; amount; due; outcome (repaid, refinanced, extended, waived)</t>
        </is>
      </c>
      <c r="E899" s="2" t="n"/>
      <c r="F899" s="2" t="n">
        <v>16.2</v>
      </c>
      <c r="G899" s="2" t="n"/>
      <c r="H899" s="3" t="inlineStr">
        <is>
          <t>instrument: 6% corporate bond due 28/07/2025; amount: 16.2 at 1 Jan 2024; due: 2025-07-28; outcome: EUR 7.0m extended early into 2024 bonds, EUR 9.2m remains due 2025</t>
        </is>
      </c>
      <c r="I899" s="2" t="inlineStr">
        <is>
          <t>S2</t>
        </is>
      </c>
      <c r="J899" s="2" t="n">
        <v>148</v>
      </c>
      <c r="K899" s="3" t="inlineStr">
        <is>
          <t>6% corporate bond 28/07/25 16,206 702 — (776) 74 (7,041) 9,165</t>
        </is>
      </c>
      <c r="L899" s="2" t="inlineStr">
        <is>
          <t>pend</t>
        </is>
      </c>
      <c r="M899" s="2" t="n"/>
      <c r="N899" s="2" t="n"/>
      <c r="O899" s="3" t="inlineStr">
        <is>
          <t>https://vanillabonds.com/dossier-data/pdf/fastned/fastned-2024-annual-report.pdf#page=148</t>
        </is>
      </c>
    </row>
    <row r="900">
      <c r="A900" s="2" t="inlineStr">
        <is>
          <t>F899</t>
        </is>
      </c>
      <c r="B900" s="2" t="inlineStr">
        <is>
          <t>debt</t>
        </is>
      </c>
      <c r="C900" s="2" t="inlineStr">
        <is>
          <t>rollover_event</t>
        </is>
      </c>
      <c r="D900" s="3" t="inlineStr">
        <is>
          <t>Past maturity: instrument; amount; due; outcome (repaid, refinanced, extended, waived)</t>
        </is>
      </c>
      <c r="E900" s="2" t="n"/>
      <c r="F900" s="2" t="n">
        <v>21.2</v>
      </c>
      <c r="G900" s="2" t="n"/>
      <c r="H900" s="3" t="inlineStr">
        <is>
          <t>instrument: 6% corporate bond due 19/11/2025; amount: 21.2 at 1 Jan 2024; due: 2025-11-19; outcome: EUR 8.5m extended early into 2024 bonds, EUR 12.7m remains due 2025</t>
        </is>
      </c>
      <c r="I900" s="2" t="inlineStr">
        <is>
          <t>S2</t>
        </is>
      </c>
      <c r="J900" s="2" t="n">
        <v>148</v>
      </c>
      <c r="K900" s="3" t="inlineStr">
        <is>
          <t>6% corporate bond 19/11/25 21,194 989 — (1,048) 59 (8,538) 12,654</t>
        </is>
      </c>
      <c r="L900" s="2" t="inlineStr">
        <is>
          <t>pend</t>
        </is>
      </c>
      <c r="M900" s="2" t="n"/>
      <c r="N900" s="2" t="n"/>
      <c r="O900" s="3" t="inlineStr">
        <is>
          <t>https://vanillabonds.com/dossier-data/pdf/fastned/fastned-2024-annual-report.pdf#page=148</t>
        </is>
      </c>
    </row>
    <row r="901">
      <c r="A901" s="2" t="inlineStr">
        <is>
          <t>F900</t>
        </is>
      </c>
      <c r="B901" s="2" t="inlineStr">
        <is>
          <t>debt</t>
        </is>
      </c>
      <c r="C901" s="2" t="inlineStr">
        <is>
          <t>rollover_event</t>
        </is>
      </c>
      <c r="D901" s="3" t="inlineStr">
        <is>
          <t>Past maturity: instrument; amount; due; outcome (repaid, refinanced, extended, waived)</t>
        </is>
      </c>
      <c r="E901" s="2" t="n"/>
      <c r="F901" s="2" t="n">
        <v>8.9</v>
      </c>
      <c r="G901" s="2" t="n"/>
      <c r="H901" s="3" t="inlineStr">
        <is>
          <t>instrument: 6% corporate bond; amount: 8.9; due: 2023-10-30; outcome: repaid EUR 6.9m cash, EUR 2.0m extended</t>
        </is>
      </c>
      <c r="I901" s="2" t="inlineStr">
        <is>
          <t>S2</t>
        </is>
      </c>
      <c r="J901" s="2" t="n">
        <v>149</v>
      </c>
      <c r="K901" s="3" t="inlineStr">
        <is>
          <t>6% corporate bond 30/10/23 8,909 400 (6,930) (491) 91 (1,979) —</t>
        </is>
      </c>
      <c r="L901" s="2" t="inlineStr">
        <is>
          <t>pend</t>
        </is>
      </c>
      <c r="M901" s="2" t="n"/>
      <c r="N901" s="2" t="n"/>
      <c r="O901" s="3" t="inlineStr">
        <is>
          <t>https://vanillabonds.com/dossier-data/pdf/fastned/fastned-2024-annual-report.pdf#page=149</t>
        </is>
      </c>
    </row>
    <row r="902">
      <c r="A902" s="2" t="inlineStr">
        <is>
          <t>F901</t>
        </is>
      </c>
      <c r="B902" s="2" t="inlineStr">
        <is>
          <t>management</t>
        </is>
      </c>
      <c r="C902" s="2" t="inlineStr">
        <is>
          <t>strategy_statement</t>
        </is>
      </c>
      <c r="D902" s="3" t="inlineStr">
        <is>
          <t>Stated strategy: year; statement; what happened; source</t>
        </is>
      </c>
      <c r="E902" s="2" t="n"/>
      <c r="F902" s="2" t="n"/>
      <c r="G902" s="2" t="n"/>
      <c r="H902" s="3" t="inlineStr">
        <is>
          <t>year: 2024; statement: three pillars - high-traffic locations with long-term agreements, vertically integrated model (in-house tendering, design, construction, maintenance, support), best customer experience; what happened: record location acquisition, 50% headcount growth, 99% uptime; source: annual report 2024</t>
        </is>
      </c>
      <c r="I902" s="2" t="inlineStr">
        <is>
          <t>S2</t>
        </is>
      </c>
      <c r="J902" s="2" t="n">
        <v>13</v>
      </c>
      <c r="K902" s="3" t="inlineStr">
        <is>
          <t>Fundamental to our strategy for growth has been by our unique and innovative charging concept, made up of three central principles:</t>
        </is>
      </c>
      <c r="L902" s="2" t="inlineStr">
        <is>
          <t>pend</t>
        </is>
      </c>
      <c r="M902" s="2" t="n"/>
      <c r="N902" s="2" t="n"/>
      <c r="O902" s="3" t="inlineStr">
        <is>
          <t>https://vanillabonds.com/dossier-data/pdf/fastned/fastned-2024-annual-report.pdf#page=13</t>
        </is>
      </c>
    </row>
    <row r="903">
      <c r="A903" s="2" t="inlineStr">
        <is>
          <t>F902</t>
        </is>
      </c>
      <c r="B903" s="2" t="inlineStr">
        <is>
          <t>management</t>
        </is>
      </c>
      <c r="C903" s="2" t="inlineStr">
        <is>
          <t>strategy_statement</t>
        </is>
      </c>
      <c r="D903" s="3" t="inlineStr">
        <is>
          <t>Stated strategy: year; statement; what happened; source</t>
        </is>
      </c>
      <c r="E903" s="2" t="n"/>
      <c r="F903" s="2" t="n"/>
      <c r="G903" s="2" t="n"/>
      <c r="H903" s="3" t="inlineStr">
        <is>
          <t>year: 2024; statement: focus stays on highway and near-highway locations, 'We have no plans to change our focus on this strategy'; urban stations (London) and truck charging explored in addition; source: annual report 2024</t>
        </is>
      </c>
      <c r="I903" s="2" t="inlineStr">
        <is>
          <t>S2</t>
        </is>
      </c>
      <c r="J903" s="2" t="n">
        <v>19</v>
      </c>
      <c r="K903" s="3" t="inlineStr">
        <is>
          <t>We have no plans to change our focus on this strategy.</t>
        </is>
      </c>
      <c r="L903" s="2" t="inlineStr">
        <is>
          <t>pend</t>
        </is>
      </c>
      <c r="M903" s="2" t="n"/>
      <c r="N903" s="2" t="n"/>
      <c r="O903" s="3" t="inlineStr">
        <is>
          <t>https://vanillabonds.com/dossier-data/pdf/fastned/fastned-2024-annual-report.pdf#page=19</t>
        </is>
      </c>
    </row>
    <row r="904">
      <c r="A904" s="2" t="inlineStr">
        <is>
          <t>F903</t>
        </is>
      </c>
      <c r="B904" s="2" t="inlineStr">
        <is>
          <t>management</t>
        </is>
      </c>
      <c r="C904" s="2" t="inlineStr">
        <is>
          <t>strategy_statement</t>
        </is>
      </c>
      <c r="D904" s="3" t="inlineStr">
        <is>
          <t>Stated strategy: year; statement; what happened; source</t>
        </is>
      </c>
      <c r="E904" s="2" t="n"/>
      <c r="F904" s="2" t="n"/>
      <c r="G904" s="2" t="n"/>
      <c r="H904" s="3" t="inlineStr">
        <is>
          <t>year: 2025; statement: enter additional long-term PPAs and increase the hedged share of energy purchases; source: note 14.6</t>
        </is>
      </c>
      <c r="I904" s="2" t="inlineStr">
        <is>
          <t>S2</t>
        </is>
      </c>
      <c r="J904" s="2" t="n">
        <v>151</v>
      </c>
      <c r="K904" s="3" t="inlineStr">
        <is>
          <t>exposure to spot price fluctuations. In 2025, the Group plans to further mitigate</t>
        </is>
      </c>
      <c r="L904" s="2" t="inlineStr">
        <is>
          <t>pend</t>
        </is>
      </c>
      <c r="M904" s="2" t="n"/>
      <c r="N904" s="2" t="n"/>
      <c r="O904" s="3" t="inlineStr">
        <is>
          <t>https://vanillabonds.com/dossier-data/pdf/fastned/fastned-2024-annual-report.pdf#page=151</t>
        </is>
      </c>
    </row>
    <row r="905">
      <c r="A905" s="2" t="inlineStr">
        <is>
          <t>F904</t>
        </is>
      </c>
      <c r="B905" s="2" t="inlineStr">
        <is>
          <t>management</t>
        </is>
      </c>
      <c r="C905" s="2" t="inlineStr">
        <is>
          <t>strategy_statement</t>
        </is>
      </c>
      <c r="D905" s="3" t="inlineStr">
        <is>
          <t>Stated strategy: year; statement; what happened; source</t>
        </is>
      </c>
      <c r="E905" s="2" t="n"/>
      <c r="F905" s="2" t="n"/>
      <c r="G905" s="2" t="n"/>
      <c r="H905" s="3" t="inlineStr">
        <is>
          <t>year: 2018 option plan; statement: milestones 5-10 are company profitable for 12 months in a row (&gt;EUR 500m market cap), &gt;500 stations (&gt;600m), &gt;EUR 100m revenue in a calendar year (&gt;700m), &gt;30% EBITDA margin for 12 months (&gt;800m), &gt;300 kW at &gt;50% of stations (&gt;900m), &gt;1,000 stations (&gt;1bn); what happened: milestones 1-4 realised; source: note 22</t>
        </is>
      </c>
      <c r="I905" s="2" t="inlineStr">
        <is>
          <t>S2</t>
        </is>
      </c>
      <c r="J905" s="2" t="n">
        <v>162</v>
      </c>
      <c r="K905" s="3" t="inlineStr">
        <is>
          <t>&gt; 500 million euro &gt; Company profitable for 12 months in a row</t>
        </is>
      </c>
      <c r="L905" s="2" t="inlineStr">
        <is>
          <t>pend</t>
        </is>
      </c>
      <c r="M905" s="2" t="n"/>
      <c r="N905" s="2" t="n"/>
      <c r="O905" s="3" t="inlineStr">
        <is>
          <t>https://vanillabonds.com/dossier-data/pdf/fastned/fastned-2024-annual-report.pdf#page=162</t>
        </is>
      </c>
    </row>
    <row r="906">
      <c r="A906" s="2" t="inlineStr">
        <is>
          <t>F905</t>
        </is>
      </c>
      <c r="B906" s="2" t="inlineStr">
        <is>
          <t>management</t>
        </is>
      </c>
      <c r="C906" s="2" t="inlineStr">
        <is>
          <t>strategy_statement</t>
        </is>
      </c>
      <c r="D906" s="3" t="inlineStr">
        <is>
          <t>Stated strategy: year; statement; what happened; source</t>
        </is>
      </c>
      <c r="E906" s="2" t="n"/>
      <c r="F906" s="2" t="n"/>
      <c r="G906" s="2" t="n"/>
      <c r="H906" s="3" t="inlineStr">
        <is>
          <t>year: 2024; statement: pursue growth strategy, which per the auditor 'can only be achieved by raising additional funding'; what happened: new bond money raised in 2024 of EUR 24.4m, 20.7m and 17.1m plus EUR 20.4m in Feb 2025; source: auditor's report p188</t>
        </is>
      </c>
      <c r="I906" s="2" t="inlineStr">
        <is>
          <t>S2</t>
        </is>
      </c>
      <c r="J906" s="2" t="n">
        <v>188</v>
      </c>
      <c r="K906" s="3" t="inlineStr">
        <is>
          <t>Fastned is aiming to pursue their growth strategy and this can only be achieved</t>
        </is>
      </c>
      <c r="L906" s="2" t="inlineStr">
        <is>
          <t>pend</t>
        </is>
      </c>
      <c r="M906" s="2" t="n"/>
      <c r="N906" s="2" t="n"/>
      <c r="O906" s="3" t="inlineStr">
        <is>
          <t>https://vanillabonds.com/dossier-data/pdf/fastned/fastned-2024-annual-report.pdf#page=188</t>
        </is>
      </c>
    </row>
    <row r="907">
      <c r="A907" s="2" t="inlineStr">
        <is>
          <t>F906</t>
        </is>
      </c>
      <c r="B907" s="2" t="inlineStr">
        <is>
          <t>management</t>
        </is>
      </c>
      <c r="C907" s="2" t="inlineStr">
        <is>
          <t>risk_policy</t>
        </is>
      </c>
      <c r="D907" s="3" t="inlineStr">
        <is>
          <t>Financial policy, stated and revealed: item (leverage target, dividend, hedging, cash held, acquisition funding); stated; realised; year</t>
        </is>
      </c>
      <c r="E907" s="2" t="n"/>
      <c r="F907" s="2" t="n"/>
      <c r="G907" s="2" t="n"/>
      <c r="H907" s="3" t="inlineStr">
        <is>
          <t>item: hedging (electricity price); stated: PPAs at fixed prices supporting the 'policy of maintaining stable prices at our charging stations'; realised: three PPAs concluded in 2024 (GLP solar, Ecorus solar, Eemshaven wind); year: 2024</t>
        </is>
      </c>
      <c r="I907" s="2" t="inlineStr">
        <is>
          <t>S2</t>
        </is>
      </c>
      <c r="J907" s="2" t="n">
        <v>58</v>
      </c>
      <c r="K907" s="3" t="inlineStr">
        <is>
          <t>allowing Fastned to purchase electricity at a fixed price, supporting Fastned’s policy of maintaining stable prices at our charging stations.</t>
        </is>
      </c>
      <c r="L907" s="2" t="inlineStr">
        <is>
          <t>pend</t>
        </is>
      </c>
      <c r="M907" s="2" t="n"/>
      <c r="N907" s="2" t="n"/>
      <c r="O907" s="3" t="inlineStr">
        <is>
          <t>https://vanillabonds.com/dossier-data/pdf/fastned/fastned-2024-annual-report.pdf#page=58</t>
        </is>
      </c>
    </row>
    <row r="908">
      <c r="A908" s="2" t="inlineStr">
        <is>
          <t>F907</t>
        </is>
      </c>
      <c r="B908" s="2" t="inlineStr">
        <is>
          <t>management</t>
        </is>
      </c>
      <c r="C908" s="2" t="inlineStr">
        <is>
          <t>risk_policy</t>
        </is>
      </c>
      <c r="D908" s="3" t="inlineStr">
        <is>
          <t>Financial policy, stated and revealed: item (leverage target, dividend, hedging, cash held, acquisition funding); stated; realised; year</t>
        </is>
      </c>
      <c r="E908" s="2" t="n"/>
      <c r="F908" s="2" t="n"/>
      <c r="G908" s="2" t="n"/>
      <c r="H908" s="3" t="inlineStr">
        <is>
          <t>item: dividend; stated: no dividend mentioned; retained earnings €(127.4)m; realised: losses funded by bonds and DR issues; year: 2024</t>
        </is>
      </c>
      <c r="I908" s="2" t="inlineStr">
        <is>
          <t>S2</t>
        </is>
      </c>
      <c r="J908" s="2" t="n">
        <v>102</v>
      </c>
      <c r="K908" s="2" t="inlineStr">
        <is>
          <t>Retained earnings (127,404) (101,821)</t>
        </is>
      </c>
      <c r="L908" s="2" t="inlineStr">
        <is>
          <t>pend</t>
        </is>
      </c>
      <c r="M908" s="2" t="n"/>
      <c r="N908" s="2" t="n"/>
      <c r="O908" s="3" t="inlineStr">
        <is>
          <t>https://vanillabonds.com/dossier-data/pdf/fastned/fastned-2024-annual-report.pdf#page=102</t>
        </is>
      </c>
    </row>
    <row r="909">
      <c r="A909" s="2" t="inlineStr">
        <is>
          <t>F908</t>
        </is>
      </c>
      <c r="B909" s="2" t="inlineStr">
        <is>
          <t>management</t>
        </is>
      </c>
      <c r="C909" s="2" t="inlineStr">
        <is>
          <t>risk_policy</t>
        </is>
      </c>
      <c r="D909" s="3" t="inlineStr">
        <is>
          <t>Financial policy, stated and revealed: item (leverage target, dividend, hedging, cash held, acquisition funding); stated; realised; year</t>
        </is>
      </c>
      <c r="E909" s="2" t="n"/>
      <c r="F909" s="2" t="n"/>
      <c r="G909" s="2" t="n"/>
      <c r="H909" s="3" t="inlineStr">
        <is>
          <t>item: cash held; stated: a 'minimum desired cash level' is maintained throughout the liquidity forecast period, monitored continuously; realised: cash €117.4m at end-2024; year: 2024</t>
        </is>
      </c>
      <c r="I909" s="2" t="inlineStr">
        <is>
          <t>S2</t>
        </is>
      </c>
      <c r="J909" s="2" t="n">
        <v>106</v>
      </c>
      <c r="K909" s="3" t="inlineStr">
        <is>
          <t>Management monitors cash and liquidity forecasts on a continuous basis, whereby a minimum desired cash level is to be maintained throughout the forecast period.</t>
        </is>
      </c>
      <c r="L909" s="2" t="inlineStr">
        <is>
          <t>pend</t>
        </is>
      </c>
      <c r="M909" s="2" t="n"/>
      <c r="N909" s="2" t="n"/>
      <c r="O909" s="3" t="inlineStr">
        <is>
          <t>https://vanillabonds.com/dossier-data/pdf/fastned/fastned-2024-annual-report.pdf#page=106</t>
        </is>
      </c>
    </row>
    <row r="910">
      <c r="A910" s="2" t="inlineStr">
        <is>
          <t>F909</t>
        </is>
      </c>
      <c r="B910" s="2" t="inlineStr">
        <is>
          <t>management</t>
        </is>
      </c>
      <c r="C910" s="2" t="inlineStr">
        <is>
          <t>risk_policy</t>
        </is>
      </c>
      <c r="D910" s="3" t="inlineStr">
        <is>
          <t>Financial policy, stated and revealed: item (leverage target, dividend, hedging, cash held, acquisition funding); stated; realised; year</t>
        </is>
      </c>
      <c r="E910" s="2" t="n"/>
      <c r="F910" s="2" t="n"/>
      <c r="G910" s="2" t="n"/>
      <c r="H910" s="3" t="inlineStr">
        <is>
          <t>item: acquisition funding / capex flexibility; stated: 'Fastned has the ability to reduce capital expenditure if necessary' in the first part of the forecast period; year: 2024</t>
        </is>
      </c>
      <c r="I910" s="2" t="inlineStr">
        <is>
          <t>S2</t>
        </is>
      </c>
      <c r="J910" s="2" t="n">
        <v>106</v>
      </c>
      <c r="K910" s="3" t="inlineStr">
        <is>
          <t>In the first part of the forecast period, Fastned has the ability to reduce capital expenditure if necessary.</t>
        </is>
      </c>
      <c r="L910" s="2" t="inlineStr">
        <is>
          <t>pend</t>
        </is>
      </c>
      <c r="M910" s="2" t="n"/>
      <c r="N910" s="2" t="n"/>
      <c r="O910" s="3" t="inlineStr">
        <is>
          <t>https://vanillabonds.com/dossier-data/pdf/fastned/fastned-2024-annual-report.pdf#page=106</t>
        </is>
      </c>
    </row>
    <row r="911">
      <c r="A911" s="2" t="inlineStr">
        <is>
          <t>F910</t>
        </is>
      </c>
      <c r="B911" s="2" t="inlineStr">
        <is>
          <t>management</t>
        </is>
      </c>
      <c r="C911" s="2" t="inlineStr">
        <is>
          <t>risk_policy</t>
        </is>
      </c>
      <c r="D911" s="3" t="inlineStr">
        <is>
          <t>Financial policy, stated and revealed: item (leverage target, dividend, hedging, cash held, acquisition funding); stated; realised; year</t>
        </is>
      </c>
      <c r="E911" s="2" t="n"/>
      <c r="F911" s="2" t="n"/>
      <c r="G911" s="2" t="n"/>
      <c r="H911" s="3" t="inlineStr">
        <is>
          <t>item: dividend; stated: no dividends since incorporation, none anticipated, policy reviewed by the Board; realised: none paid 2024; year: 2024</t>
        </is>
      </c>
      <c r="I911" s="2" t="inlineStr">
        <is>
          <t>S2</t>
        </is>
      </c>
      <c r="J911" s="2" t="n">
        <v>125</v>
      </c>
      <c r="K911" s="3" t="inlineStr">
        <is>
          <t>expects to retain all earnings, if any, generated by Fastned’s operations for the</t>
        </is>
      </c>
      <c r="L911" s="2" t="inlineStr">
        <is>
          <t>pend</t>
        </is>
      </c>
      <c r="M911" s="2" t="n"/>
      <c r="N911" s="2" t="n"/>
      <c r="O911" s="3" t="inlineStr">
        <is>
          <t>https://vanillabonds.com/dossier-data/pdf/fastned/fastned-2024-annual-report.pdf#page=125</t>
        </is>
      </c>
    </row>
    <row r="912">
      <c r="A912" s="2" t="inlineStr">
        <is>
          <t>F911</t>
        </is>
      </c>
      <c r="B912" s="2" t="inlineStr">
        <is>
          <t>management</t>
        </is>
      </c>
      <c r="C912" s="2" t="inlineStr">
        <is>
          <t>risk_policy</t>
        </is>
      </c>
      <c r="D912" s="3" t="inlineStr">
        <is>
          <t>Financial policy, stated and revealed: item (leverage target, dividend, hedging, cash held, acquisition funding); stated; realised; year</t>
        </is>
      </c>
      <c r="E912" s="2" t="n"/>
      <c r="F912" s="2" t="n"/>
      <c r="G912" s="2" t="n"/>
      <c r="H912" s="3" t="inlineStr">
        <is>
          <t>item: acquisition / investment funding; stated: 'Fastned only invests in new stations when financing is in place'; realised: operations financed by equity issues and new bonds; year: 2024</t>
        </is>
      </c>
      <c r="I912" s="2" t="inlineStr">
        <is>
          <t>S2</t>
        </is>
      </c>
      <c r="J912" s="2" t="n">
        <v>125</v>
      </c>
      <c r="K912" s="3" t="inlineStr">
        <is>
          <t>Fastned only invests in new stations when financing is in place for such an</t>
        </is>
      </c>
      <c r="L912" s="2" t="inlineStr">
        <is>
          <t>pend</t>
        </is>
      </c>
      <c r="M912" s="2" t="n"/>
      <c r="N912" s="2" t="n"/>
      <c r="O912" s="3" t="inlineStr">
        <is>
          <t>https://vanillabonds.com/dossier-data/pdf/fastned/fastned-2024-annual-report.pdf#page=125</t>
        </is>
      </c>
    </row>
    <row r="913">
      <c r="A913" s="2" t="inlineStr">
        <is>
          <t>F912</t>
        </is>
      </c>
      <c r="B913" s="2" t="inlineStr">
        <is>
          <t>management</t>
        </is>
      </c>
      <c r="C913" s="2" t="inlineStr">
        <is>
          <t>risk_policy</t>
        </is>
      </c>
      <c r="D913" s="3" t="inlineStr">
        <is>
          <t>Financial policy, stated and revealed: item (leverage target, dividend, hedging, cash held, acquisition funding); stated; realised; year</t>
        </is>
      </c>
      <c r="E913" s="2" t="n"/>
      <c r="F913" s="2" t="n"/>
      <c r="G913" s="2" t="n"/>
      <c r="H913" s="3" t="inlineStr">
        <is>
          <t>item: capital management; stated: objective is financial flexibility, may adjust dividends, return capital or issue new shares or instruments; realised: no changes in objectives, policies or processes in 2024 and 2023; year: 2024</t>
        </is>
      </c>
      <c r="I913" s="2" t="inlineStr">
        <is>
          <t>S2</t>
        </is>
      </c>
      <c r="J913" s="2" t="n">
        <v>125</v>
      </c>
      <c r="K913" s="3" t="inlineStr">
        <is>
          <t>No changes were made in the objectives, policies or processes for managing</t>
        </is>
      </c>
      <c r="L913" s="2" t="inlineStr">
        <is>
          <t>pend</t>
        </is>
      </c>
      <c r="M913" s="2" t="n"/>
      <c r="N913" s="2" t="n"/>
      <c r="O913" s="3" t="inlineStr">
        <is>
          <t>https://vanillabonds.com/dossier-data/pdf/fastned/fastned-2024-annual-report.pdf#page=125</t>
        </is>
      </c>
    </row>
    <row r="914">
      <c r="A914" s="2" t="inlineStr">
        <is>
          <t>F913</t>
        </is>
      </c>
      <c r="B914" s="2" t="inlineStr">
        <is>
          <t>management</t>
        </is>
      </c>
      <c r="C914" s="2" t="inlineStr">
        <is>
          <t>risk_policy</t>
        </is>
      </c>
      <c r="D914" s="3" t="inlineStr">
        <is>
          <t>Financial policy, stated and revealed: item (leverage target, dividend, hedging, cash held, acquisition funding); stated; realised; year</t>
        </is>
      </c>
      <c r="E914" s="2" t="n"/>
      <c r="F914" s="2" t="n"/>
      <c r="G914" s="2" t="n"/>
      <c r="H914" s="3" t="inlineStr">
        <is>
          <t>item: hedging; stated: no trading in derivatives for speculative purposes, no interest-rate hedging, electricity price hedged with fixed-price PPAs and forwards; realised: PPAs entered 2024, hedged share to rise in 2025; year: 2024</t>
        </is>
      </c>
      <c r="I914" s="2" t="inlineStr">
        <is>
          <t>S2</t>
        </is>
      </c>
      <c r="J914" s="2" t="n">
        <v>150</v>
      </c>
      <c r="K914" s="3" t="inlineStr">
        <is>
          <t>It is the Group’s policy that no trading in derivatives for speculative purposes may</t>
        </is>
      </c>
      <c r="L914" s="2" t="inlineStr">
        <is>
          <t>pend</t>
        </is>
      </c>
      <c r="M914" s="2" t="n"/>
      <c r="N914" s="2" t="n"/>
      <c r="O914" s="3" t="inlineStr">
        <is>
          <t>https://vanillabonds.com/dossier-data/pdf/fastned/fastned-2024-annual-report.pdf#page=150</t>
        </is>
      </c>
    </row>
    <row r="915">
      <c r="A915" s="2" t="inlineStr">
        <is>
          <t>F914</t>
        </is>
      </c>
      <c r="B915" s="2" t="inlineStr">
        <is>
          <t>management</t>
        </is>
      </c>
      <c r="C915" s="2" t="inlineStr">
        <is>
          <t>risk_policy</t>
        </is>
      </c>
      <c r="D915" s="3" t="inlineStr">
        <is>
          <t>Financial policy, stated and revealed: item (leverage target, dividend, hedging, cash held, acquisition funding); stated; realised; year</t>
        </is>
      </c>
      <c r="E915" s="2" t="n"/>
      <c r="F915" s="2" t="n"/>
      <c r="G915" s="2" t="n"/>
      <c r="H915" s="3" t="inlineStr">
        <is>
          <t>item: cash held; stated: surplus funds invested only within counterparty credit limits reviewed annually by the Board; realised: cash EUR 117.4m mainly at two A-rated banks, demand deposits nil at YE2024 (2023: 105.0m); year: 2024</t>
        </is>
      </c>
      <c r="I915" s="2" t="inlineStr">
        <is>
          <t>S2</t>
        </is>
      </c>
      <c r="J915" s="2" t="n">
        <v>151</v>
      </c>
      <c r="K915" s="3" t="inlineStr">
        <is>
          <t>Investments of surplus funds are made only within credit limits assigned to each counterparty.</t>
        </is>
      </c>
      <c r="L915" s="2" t="inlineStr">
        <is>
          <t>pend</t>
        </is>
      </c>
      <c r="M915" s="2" t="n"/>
      <c r="N915" s="2" t="n"/>
      <c r="O915" s="3" t="inlineStr">
        <is>
          <t>https://vanillabonds.com/dossier-data/pdf/fastned/fastned-2024-annual-report.pdf#page=151</t>
        </is>
      </c>
    </row>
    <row r="916">
      <c r="A916" s="2" t="inlineStr">
        <is>
          <t>F915</t>
        </is>
      </c>
      <c r="B916" s="2" t="inlineStr">
        <is>
          <t>management</t>
        </is>
      </c>
      <c r="C916" s="2" t="inlineStr">
        <is>
          <t>risk_policy</t>
        </is>
      </c>
      <c r="D916" s="3" t="inlineStr">
        <is>
          <t>Financial policy, stated and revealed: item (leverage target, dividend, hedging, cash held, acquisition funding); stated; realised; year</t>
        </is>
      </c>
      <c r="E916" s="2" t="n"/>
      <c r="F916" s="2" t="n"/>
      <c r="G916" s="2" t="n"/>
      <c r="H916" s="3" t="inlineStr">
        <is>
          <t>item: leverage / liquidity; stated: regular new equity issues and long-term debt while maintaining a balance between debt and equity, ability to slow building pace; realised: three bond issues 2024 (EUR 24.4m, 20.7m, 17.1m) plus extensions, equity only from option exercises; year: 2024</t>
        </is>
      </c>
      <c r="I916" s="2" t="inlineStr">
        <is>
          <t>S2</t>
        </is>
      </c>
      <c r="J916" s="2" t="n">
        <v>152</v>
      </c>
      <c r="K916" s="3" t="inlineStr">
        <is>
          <t>debt and equity. The Group manages the liquidity risk by regularly issuing new</t>
        </is>
      </c>
      <c r="L916" s="2" t="inlineStr">
        <is>
          <t>pend</t>
        </is>
      </c>
      <c r="M916" s="2" t="n"/>
      <c r="N916" s="2" t="n"/>
      <c r="O916" s="3" t="inlineStr">
        <is>
          <t>https://vanillabonds.com/dossier-data/pdf/fastned/fastned-2024-annual-report.pdf#page=152</t>
        </is>
      </c>
    </row>
    <row r="917">
      <c r="A917" s="2" t="inlineStr">
        <is>
          <t>F916</t>
        </is>
      </c>
      <c r="B917" s="2" t="inlineStr">
        <is>
          <t>management</t>
        </is>
      </c>
      <c r="C917" s="2" t="inlineStr">
        <is>
          <t>insurance</t>
        </is>
      </c>
      <c r="D917" s="3" t="inlineStr">
        <is>
          <t>Insurance: cover (property, business interruption, key person, cyber, D&amp;O); insurer; sum; expiry</t>
        </is>
      </c>
      <c r="E917" s="2" t="n"/>
      <c r="F917" s="2" t="n"/>
      <c r="G917" s="2" t="n"/>
      <c r="H917" s="3" t="inlineStr">
        <is>
          <t>cover: European insurance programme via an intermediary: material (handling, transport, storage), business travel, D&amp;O liability, station disasters (fire, water), property and inventory, construction all-risk; insurer: not named; sum: not stated</t>
        </is>
      </c>
      <c r="I917" s="2" t="inlineStr">
        <is>
          <t>S2</t>
        </is>
      </c>
      <c r="J917" s="2" t="n">
        <v>69</v>
      </c>
      <c r="K917" s="3" t="inlineStr">
        <is>
          <t>insurance program through our intermediary, covering areas such as material insurance for handling, transport, and storage; business travel insurance; directors’ and officers’ liability insurance</t>
        </is>
      </c>
      <c r="L917" s="2" t="inlineStr">
        <is>
          <t>pend</t>
        </is>
      </c>
      <c r="M917" s="2" t="n"/>
      <c r="N917" s="2" t="n"/>
      <c r="O917" s="3" t="inlineStr">
        <is>
          <t>https://vanillabonds.com/dossier-data/pdf/fastned/fastned-2024-annual-report.pdf#page=69</t>
        </is>
      </c>
    </row>
    <row r="918">
      <c r="A918" s="2" t="inlineStr">
        <is>
          <t>F917</t>
        </is>
      </c>
      <c r="B918" s="2" t="inlineStr">
        <is>
          <t>management</t>
        </is>
      </c>
      <c r="C918" s="2" t="inlineStr">
        <is>
          <t>insurance</t>
        </is>
      </c>
      <c r="D918" s="3" t="inlineStr">
        <is>
          <t>Insurance: cover (property, business interruption, key person, cyber, D&amp;O); insurer; sum; expiry</t>
        </is>
      </c>
      <c r="E918" s="2" t="n"/>
      <c r="F918" s="2" t="n"/>
      <c r="G918" s="2" t="n"/>
      <c r="H918" s="3" t="inlineStr">
        <is>
          <t>cover: cybercrime for the joint venture Fast Places under a mandatory policy; insurer: not named</t>
        </is>
      </c>
      <c r="I918" s="2" t="inlineStr">
        <is>
          <t>S2</t>
        </is>
      </c>
      <c r="J918" s="2" t="n">
        <v>69</v>
      </c>
      <c r="K918" s="3" t="inlineStr">
        <is>
          <t>For our joint venture, Fast Places, cybercrime is covered under a mandatory insurance policy.</t>
        </is>
      </c>
      <c r="L918" s="2" t="inlineStr">
        <is>
          <t>pend</t>
        </is>
      </c>
      <c r="M918" s="2" t="n"/>
      <c r="N918" s="2" t="n"/>
      <c r="O918" s="3" t="inlineStr">
        <is>
          <t>https://vanillabonds.com/dossier-data/pdf/fastned/fastned-2024-annual-report.pdf#page=69</t>
        </is>
      </c>
    </row>
    <row r="919">
      <c r="A919" s="2" t="inlineStr">
        <is>
          <t>F918</t>
        </is>
      </c>
      <c r="B919" s="2" t="inlineStr">
        <is>
          <t>management</t>
        </is>
      </c>
      <c r="C919" s="2" t="inlineStr">
        <is>
          <t>team_turnover</t>
        </is>
      </c>
      <c r="D919" s="3" t="inlineStr">
        <is>
          <t>Top-team change: role; person; joined; left; reason as stated</t>
        </is>
      </c>
      <c r="E919" s="2" t="n"/>
      <c r="F919" s="2" t="n"/>
      <c r="G919" s="2" t="n"/>
      <c r="H919" s="3" t="inlineStr">
        <is>
          <t>role: Chief Operating Officer; person: Françoise Poggi; joined: 2024-11-29; reason as stated: evaluation found a third Management Board member would increase effectiveness</t>
        </is>
      </c>
      <c r="I919" s="2" t="inlineStr">
        <is>
          <t>S2</t>
        </is>
      </c>
      <c r="J919" s="2" t="n">
        <v>86</v>
      </c>
      <c r="K919" s="3" t="inlineStr">
        <is>
          <t>The outcome of this evaluation was that adding a third member to the Management Board would increase its effectiveness.</t>
        </is>
      </c>
      <c r="L919" s="2" t="inlineStr">
        <is>
          <t>pend</t>
        </is>
      </c>
      <c r="M919" s="2" t="n"/>
      <c r="N919" s="2" t="n"/>
      <c r="O919" s="3" t="inlineStr">
        <is>
          <t>https://vanillabonds.com/dossier-data/pdf/fastned/fastned-2024-annual-report.pdf#page=86</t>
        </is>
      </c>
    </row>
    <row r="920">
      <c r="A920" s="2" t="inlineStr">
        <is>
          <t>F919</t>
        </is>
      </c>
      <c r="B920" s="2" t="inlineStr">
        <is>
          <t>management</t>
        </is>
      </c>
      <c r="C920" s="2" t="inlineStr">
        <is>
          <t>team_turnover</t>
        </is>
      </c>
      <c r="D920" s="3" t="inlineStr">
        <is>
          <t>Top-team change: role; person; joined; left; reason as stated</t>
        </is>
      </c>
      <c r="E920" s="2" t="n"/>
      <c r="F920" s="2" t="n"/>
      <c r="G920" s="2" t="n"/>
      <c r="H920" s="3" t="inlineStr">
        <is>
          <t>role: Group COO / managing director; person: Francoise Poggi; joined: 2024-11-29</t>
        </is>
      </c>
      <c r="I920" s="2" t="inlineStr">
        <is>
          <t>S2</t>
        </is>
      </c>
      <c r="J920" s="2" t="n">
        <v>164</v>
      </c>
      <c r="K920" s="3" t="inlineStr">
        <is>
          <t>* Françoise Poggi was appointed as Group Chief Operating Officer on 29 November 2024.</t>
        </is>
      </c>
      <c r="L920" s="2" t="inlineStr">
        <is>
          <t>pend</t>
        </is>
      </c>
      <c r="M920" s="2" t="n"/>
      <c r="N920" s="2" t="n"/>
      <c r="O920" s="3" t="inlineStr">
        <is>
          <t>https://vanillabonds.com/dossier-data/pdf/fastned/fastned-2024-annual-report.pdf#page=164</t>
        </is>
      </c>
    </row>
    <row r="921">
      <c r="A921" s="2" t="inlineStr">
        <is>
          <t>F920</t>
        </is>
      </c>
      <c r="B921" s="2" t="inlineStr">
        <is>
          <t>management</t>
        </is>
      </c>
      <c r="C921" s="2" t="inlineStr">
        <is>
          <t>team_turnover</t>
        </is>
      </c>
      <c r="D921" s="3" t="inlineStr">
        <is>
          <t>Top-team change: role; person; joined; left; reason as stated</t>
        </is>
      </c>
      <c r="E921" s="2" t="n"/>
      <c r="F921" s="2" t="n"/>
      <c r="G921" s="2" t="n"/>
      <c r="H921" s="3" t="inlineStr">
        <is>
          <t>role: FAST Board member to Supervisory Board chair; person: Liselotte Kooi; joined: 2023 (chair 2023-06-08)</t>
        </is>
      </c>
      <c r="I921" s="2" t="inlineStr">
        <is>
          <t>S2</t>
        </is>
      </c>
      <c r="J921" s="2" t="n">
        <v>165</v>
      </c>
      <c r="K921" s="3" t="inlineStr">
        <is>
          <t>During 2023, Liselotte Kooi's role changed from member of the FAST Board to</t>
        </is>
      </c>
      <c r="L921" s="2" t="inlineStr">
        <is>
          <t>pend</t>
        </is>
      </c>
      <c r="M921" s="2" t="n"/>
      <c r="N921" s="2" t="n"/>
      <c r="O921" s="3" t="inlineStr">
        <is>
          <t>https://vanillabonds.com/dossier-data/pdf/fastned/fastned-2024-annual-report.pdf#page=165</t>
        </is>
      </c>
    </row>
    <row r="922">
      <c r="A922" s="2" t="inlineStr">
        <is>
          <t>F921</t>
        </is>
      </c>
      <c r="B922" s="2" t="inlineStr">
        <is>
          <t>management</t>
        </is>
      </c>
      <c r="C922" s="2" t="inlineStr">
        <is>
          <t>team_turnover</t>
        </is>
      </c>
      <c r="D922" s="3" t="inlineStr">
        <is>
          <t>Top-team change: role; person; joined; left; reason as stated</t>
        </is>
      </c>
      <c r="E922" s="2" t="n"/>
      <c r="F922" s="2" t="n"/>
      <c r="G922" s="2" t="n"/>
      <c r="H922" s="3" t="inlineStr">
        <is>
          <t>role: Supervisory Board member; person: Marije van Mens; left: 2023-06-08; reason as stated: resigned</t>
        </is>
      </c>
      <c r="I922" s="2" t="inlineStr">
        <is>
          <t>S2</t>
        </is>
      </c>
      <c r="J922" s="2" t="n">
        <v>166</v>
      </c>
      <c r="K922" s="3" t="inlineStr">
        <is>
          <t>On 8 June 2023, Marije van Mens resigned as a member of the Supervisory Board.</t>
        </is>
      </c>
      <c r="L922" s="2" t="inlineStr">
        <is>
          <t>pend</t>
        </is>
      </c>
      <c r="M922" s="2" t="n"/>
      <c r="N922" s="2" t="n"/>
      <c r="O922" s="3" t="inlineStr">
        <is>
          <t>https://vanillabonds.com/dossier-data/pdf/fastned/fastned-2024-annual-report.pdf#page=166</t>
        </is>
      </c>
    </row>
    <row r="923">
      <c r="A923" s="2" t="inlineStr">
        <is>
          <t>F922</t>
        </is>
      </c>
      <c r="B923" s="2" t="inlineStr">
        <is>
          <t>management</t>
        </is>
      </c>
      <c r="C923" s="2" t="inlineStr">
        <is>
          <t>remuneration</t>
        </is>
      </c>
      <c r="D923" s="3" t="inlineStr">
        <is>
          <t>Remuneration as disclosed in the filed accounts: person or body; amount; year</t>
        </is>
      </c>
      <c r="E923" s="2" t="n"/>
      <c r="F923" s="2" t="n"/>
      <c r="G923" s="2" t="n"/>
      <c r="H923" s="3" t="inlineStr">
        <is>
          <t>person or body: Management Board vs employees; pay ratio 1.95 in 2024 (2023: 1.78); average cash compensation MB €151k, employees €77k; year: 2024</t>
        </is>
      </c>
      <c r="I923" s="2" t="inlineStr">
        <is>
          <t>S2</t>
        </is>
      </c>
      <c r="J923" s="2" t="n">
        <v>79</v>
      </c>
      <c r="K923" s="3" t="inlineStr">
        <is>
          <t>Consequently, Fastned’s calculated pay ratio in 2024 was 1.95 (2023: 1.78).</t>
        </is>
      </c>
      <c r="L923" s="2" t="inlineStr">
        <is>
          <t>pend</t>
        </is>
      </c>
      <c r="M923" s="2" t="n"/>
      <c r="N923" s="2" t="n"/>
      <c r="O923" s="3" t="inlineStr">
        <is>
          <t>https://vanillabonds.com/dossier-data/pdf/fastned/fastned-2024-annual-report.pdf#page=79</t>
        </is>
      </c>
    </row>
    <row r="924">
      <c r="A924" s="2" t="inlineStr">
        <is>
          <t>F923</t>
        </is>
      </c>
      <c r="B924" s="2" t="inlineStr">
        <is>
          <t>management</t>
        </is>
      </c>
      <c r="C924" s="2" t="inlineStr">
        <is>
          <t>remuneration</t>
        </is>
      </c>
      <c r="D924" s="3" t="inlineStr">
        <is>
          <t>Remuneration as disclosed in the filed accounts: person or body; amount; year</t>
        </is>
      </c>
      <c r="E924" s="2" t="n"/>
      <c r="F924" s="2" t="n">
        <v>0.129</v>
      </c>
      <c r="G924" s="2" t="n"/>
      <c r="H924" s="3" t="inlineStr">
        <is>
          <t>person or body: Michiel Langezaal (CEO); amount: 0.129 (fixed 116, other benefits 13, no pension, no options); year: 2024</t>
        </is>
      </c>
      <c r="I924" s="2" t="inlineStr">
        <is>
          <t>S2</t>
        </is>
      </c>
      <c r="J924" s="2" t="n">
        <v>80</v>
      </c>
      <c r="K924" s="2" t="inlineStr">
        <is>
          <t>Mr Langezaal 116 — 13 — 129</t>
        </is>
      </c>
      <c r="L924" s="2" t="inlineStr">
        <is>
          <t>pend</t>
        </is>
      </c>
      <c r="M924" s="2" t="n"/>
      <c r="N924" s="2" t="n"/>
      <c r="O924" s="3" t="inlineStr">
        <is>
          <t>https://vanillabonds.com/dossier-data/pdf/fastned/fastned-2024-annual-report.pdf#page=80</t>
        </is>
      </c>
    </row>
    <row r="925">
      <c r="A925" s="2" t="inlineStr">
        <is>
          <t>F924</t>
        </is>
      </c>
      <c r="B925" s="2" t="inlineStr">
        <is>
          <t>management</t>
        </is>
      </c>
      <c r="C925" s="2" t="inlineStr">
        <is>
          <t>remuneration</t>
        </is>
      </c>
      <c r="D925" s="3" t="inlineStr">
        <is>
          <t>Remuneration as disclosed in the filed accounts: person or body; amount; year</t>
        </is>
      </c>
      <c r="E925" s="2" t="n"/>
      <c r="F925" s="2" t="n">
        <v>0.187</v>
      </c>
      <c r="G925" s="2" t="n"/>
      <c r="H925" s="3" t="inlineStr">
        <is>
          <t>person or body: Victor van Dijk (CFO); amount: 0.187 (fixed 164, pension 16, other 7); year: 2024; holds 14,105 options</t>
        </is>
      </c>
      <c r="I925" s="2" t="inlineStr">
        <is>
          <t>S2</t>
        </is>
      </c>
      <c r="J925" s="2" t="n">
        <v>80</v>
      </c>
      <c r="K925" s="2" t="inlineStr">
        <is>
          <t>Mr Van Dijk 164 16 7 — 187</t>
        </is>
      </c>
      <c r="L925" s="2" t="inlineStr">
        <is>
          <t>pend</t>
        </is>
      </c>
      <c r="M925" s="2" t="n"/>
      <c r="N925" s="2" t="n"/>
      <c r="O925" s="3" t="inlineStr">
        <is>
          <t>https://vanillabonds.com/dossier-data/pdf/fastned/fastned-2024-annual-report.pdf#page=80</t>
        </is>
      </c>
    </row>
    <row r="926">
      <c r="A926" s="2" t="inlineStr">
        <is>
          <t>F925</t>
        </is>
      </c>
      <c r="B926" s="2" t="inlineStr">
        <is>
          <t>management</t>
        </is>
      </c>
      <c r="C926" s="2" t="inlineStr">
        <is>
          <t>remuneration</t>
        </is>
      </c>
      <c r="D926" s="3" t="inlineStr">
        <is>
          <t>Remuneration as disclosed in the filed accounts: person or body; amount; year</t>
        </is>
      </c>
      <c r="E926" s="2" t="n"/>
      <c r="F926" s="2" t="n">
        <v>0.045</v>
      </c>
      <c r="G926" s="2" t="n"/>
      <c r="H926" s="3" t="inlineStr">
        <is>
          <t>person or body: Françoise Poggi (COO, from Nov 2024); amount: 0.045 (fixed 38, pension 5, other 2); year: 2024</t>
        </is>
      </c>
      <c r="I926" s="2" t="inlineStr">
        <is>
          <t>S2</t>
        </is>
      </c>
      <c r="J926" s="2" t="n">
        <v>80</v>
      </c>
      <c r="K926" s="2" t="inlineStr">
        <is>
          <t>Ms Poggi 38 5 2 — 45</t>
        </is>
      </c>
      <c r="L926" s="2" t="inlineStr">
        <is>
          <t>pend</t>
        </is>
      </c>
      <c r="M926" s="2" t="n"/>
      <c r="N926" s="2" t="n"/>
      <c r="O926" s="3" t="inlineStr">
        <is>
          <t>https://vanillabonds.com/dossier-data/pdf/fastned/fastned-2024-annual-report.pdf#page=80</t>
        </is>
      </c>
    </row>
    <row r="927">
      <c r="A927" s="2" t="inlineStr">
        <is>
          <t>F926</t>
        </is>
      </c>
      <c r="B927" s="2" t="inlineStr">
        <is>
          <t>management</t>
        </is>
      </c>
      <c r="C927" s="2" t="inlineStr">
        <is>
          <t>remuneration</t>
        </is>
      </c>
      <c r="D927" s="3" t="inlineStr">
        <is>
          <t>Remuneration as disclosed in the filed accounts: person or body; amount; year</t>
        </is>
      </c>
      <c r="E927" s="2" t="n"/>
      <c r="F927" s="2" t="n">
        <v>0.118</v>
      </c>
      <c r="G927" s="2" t="n"/>
      <c r="H927" s="3" t="inlineStr">
        <is>
          <t>person or body: Michiel Langezaal (CEO); amount: 0.118; year: 2023</t>
        </is>
      </c>
      <c r="I927" s="2" t="inlineStr">
        <is>
          <t>S2</t>
        </is>
      </c>
      <c r="J927" s="2" t="n">
        <v>80</v>
      </c>
      <c r="K927" s="2" t="inlineStr">
        <is>
          <t>Mr Langezaal 107 — 11 — 118</t>
        </is>
      </c>
      <c r="L927" s="2" t="inlineStr">
        <is>
          <t>pend</t>
        </is>
      </c>
      <c r="M927" s="2" t="n"/>
      <c r="N927" s="2" t="n"/>
      <c r="O927" s="3" t="inlineStr">
        <is>
          <t>https://vanillabonds.com/dossier-data/pdf/fastned/fastned-2024-annual-report.pdf#page=80</t>
        </is>
      </c>
    </row>
    <row r="928">
      <c r="A928" s="2" t="inlineStr">
        <is>
          <t>F927</t>
        </is>
      </c>
      <c r="B928" s="2" t="inlineStr">
        <is>
          <t>management</t>
        </is>
      </c>
      <c r="C928" s="2" t="inlineStr">
        <is>
          <t>remuneration</t>
        </is>
      </c>
      <c r="D928" s="3" t="inlineStr">
        <is>
          <t>Remuneration as disclosed in the filed accounts: person or body; amount; year</t>
        </is>
      </c>
      <c r="E928" s="2" t="n"/>
      <c r="F928" s="2" t="n">
        <v>0.265</v>
      </c>
      <c r="G928" s="2" t="n"/>
      <c r="H928" s="3" t="inlineStr">
        <is>
          <t>person or body: Victor van Dijk (CFO); amount: 0.265 (incl. Option Plan 96); year: 2023</t>
        </is>
      </c>
      <c r="I928" s="2" t="inlineStr">
        <is>
          <t>S2</t>
        </is>
      </c>
      <c r="J928" s="2" t="n">
        <v>80</v>
      </c>
      <c r="K928" s="2" t="inlineStr">
        <is>
          <t>Mr Van Dijk 150 13 6 96 265</t>
        </is>
      </c>
      <c r="L928" s="2" t="inlineStr">
        <is>
          <t>pend</t>
        </is>
      </c>
      <c r="M928" s="2" t="n"/>
      <c r="N928" s="2" t="n"/>
      <c r="O928" s="3" t="inlineStr">
        <is>
          <t>https://vanillabonds.com/dossier-data/pdf/fastned/fastned-2024-annual-report.pdf#page=80</t>
        </is>
      </c>
    </row>
    <row r="929">
      <c r="A929" s="2" t="inlineStr">
        <is>
          <t>F928</t>
        </is>
      </c>
      <c r="B929" s="2" t="inlineStr">
        <is>
          <t>management</t>
        </is>
      </c>
      <c r="C929" s="2" t="inlineStr">
        <is>
          <t>remuneration</t>
        </is>
      </c>
      <c r="D929" s="3" t="inlineStr">
        <is>
          <t>Remuneration as disclosed in the filed accounts: person or body; amount; year</t>
        </is>
      </c>
      <c r="E929" s="2" t="n"/>
      <c r="F929" s="2" t="n">
        <v>0.0498</v>
      </c>
      <c r="G929" s="2" t="n"/>
      <c r="H929" s="3" t="inlineStr">
        <is>
          <t>person or body: Liselotte Kooi (SB Chair); amount: 0.0498; year: 2024 (2023: 0.0483)</t>
        </is>
      </c>
      <c r="I929" s="2" t="inlineStr">
        <is>
          <t>S2</t>
        </is>
      </c>
      <c r="J929" s="2" t="n">
        <v>82</v>
      </c>
      <c r="K929" s="3" t="inlineStr">
        <is>
          <t>Liselotte Kooi: € 49,760 (2023: € 48,264);</t>
        </is>
      </c>
      <c r="L929" s="2" t="inlineStr">
        <is>
          <t>pend</t>
        </is>
      </c>
      <c r="M929" s="2" t="n"/>
      <c r="N929" s="2" t="n"/>
      <c r="O929" s="3" t="inlineStr">
        <is>
          <t>https://vanillabonds.com/dossier-data/pdf/fastned/fastned-2024-annual-report.pdf#page=82</t>
        </is>
      </c>
    </row>
    <row r="930">
      <c r="A930" s="2" t="inlineStr">
        <is>
          <t>F929</t>
        </is>
      </c>
      <c r="B930" s="2" t="inlineStr">
        <is>
          <t>management</t>
        </is>
      </c>
      <c r="C930" s="2" t="inlineStr">
        <is>
          <t>remuneration</t>
        </is>
      </c>
      <c r="D930" s="3" t="inlineStr">
        <is>
          <t>Remuneration as disclosed in the filed accounts: person or body; amount; year</t>
        </is>
      </c>
      <c r="E930" s="2" t="n"/>
      <c r="F930" s="2" t="n">
        <v>0.0384</v>
      </c>
      <c r="G930" s="2" t="n"/>
      <c r="H930" s="3" t="inlineStr">
        <is>
          <t>person or body: Bart Lubbers (SB member); amount: 0.0384; year: 2024 (2023: 0.0373)</t>
        </is>
      </c>
      <c r="I930" s="2" t="inlineStr">
        <is>
          <t>S2</t>
        </is>
      </c>
      <c r="J930" s="2" t="n">
        <v>82</v>
      </c>
      <c r="K930" s="2" t="inlineStr">
        <is>
          <t>Bart Lubbers: € 38,420 (2023: € 37,264);</t>
        </is>
      </c>
      <c r="L930" s="2" t="inlineStr">
        <is>
          <t>pend</t>
        </is>
      </c>
      <c r="M930" s="2" t="n"/>
      <c r="N930" s="2" t="n"/>
      <c r="O930" s="3" t="inlineStr">
        <is>
          <t>https://vanillabonds.com/dossier-data/pdf/fastned/fastned-2024-annual-report.pdf#page=82</t>
        </is>
      </c>
    </row>
    <row r="931">
      <c r="A931" s="2" t="inlineStr">
        <is>
          <t>F930</t>
        </is>
      </c>
      <c r="B931" s="2" t="inlineStr">
        <is>
          <t>management</t>
        </is>
      </c>
      <c r="C931" s="2" t="inlineStr">
        <is>
          <t>remuneration</t>
        </is>
      </c>
      <c r="D931" s="3" t="inlineStr">
        <is>
          <t>Remuneration as disclosed in the filed accounts: person or body; amount; year</t>
        </is>
      </c>
      <c r="E931" s="2" t="n"/>
      <c r="F931" s="2" t="n">
        <v>0.0384</v>
      </c>
      <c r="G931" s="2" t="n"/>
      <c r="H931" s="3" t="inlineStr">
        <is>
          <t>person or body: Nancy Kabalt (SB member); amount: 0.0384; year: 2024 (2023: 0.0373)</t>
        </is>
      </c>
      <c r="I931" s="2" t="inlineStr">
        <is>
          <t>S2</t>
        </is>
      </c>
      <c r="J931" s="2" t="n">
        <v>82</v>
      </c>
      <c r="K931" s="2" t="inlineStr">
        <is>
          <t>Nancy Kabalt: € 38,420 (2023: € 37,264);</t>
        </is>
      </c>
      <c r="L931" s="2" t="inlineStr">
        <is>
          <t>pend</t>
        </is>
      </c>
      <c r="M931" s="2" t="n"/>
      <c r="N931" s="2" t="n"/>
      <c r="O931" s="3" t="inlineStr">
        <is>
          <t>https://vanillabonds.com/dossier-data/pdf/fastned/fastned-2024-annual-report.pdf#page=82</t>
        </is>
      </c>
    </row>
    <row r="932">
      <c r="A932" s="2" t="inlineStr">
        <is>
          <t>F931</t>
        </is>
      </c>
      <c r="B932" s="2" t="inlineStr">
        <is>
          <t>management</t>
        </is>
      </c>
      <c r="C932" s="2" t="inlineStr">
        <is>
          <t>remuneration</t>
        </is>
      </c>
      <c r="D932" s="3" t="inlineStr">
        <is>
          <t>Remuneration as disclosed in the filed accounts: person or body; amount; year</t>
        </is>
      </c>
      <c r="E932" s="2" t="n"/>
      <c r="F932" s="2" t="n">
        <v>0</v>
      </c>
      <c r="G932" s="2" t="n"/>
      <c r="H932" s="3" t="inlineStr">
        <is>
          <t>person or body: Jérôme Janssen (SB member); amount: 0 (travel expenses only, max €7,500); year: 2024</t>
        </is>
      </c>
      <c r="I932" s="2" t="inlineStr">
        <is>
          <t>S2</t>
        </is>
      </c>
      <c r="J932" s="2" t="n">
        <v>82</v>
      </c>
      <c r="K932" s="2" t="inlineStr">
        <is>
          <t>Jérôme Janssen: nil (2023: nil).</t>
        </is>
      </c>
      <c r="L932" s="2" t="inlineStr">
        <is>
          <t>pend</t>
        </is>
      </c>
      <c r="M932" s="2" t="n"/>
      <c r="N932" s="2" t="n"/>
      <c r="O932" s="3" t="inlineStr">
        <is>
          <t>https://vanillabonds.com/dossier-data/pdf/fastned/fastned-2024-annual-report.pdf#page=82</t>
        </is>
      </c>
    </row>
    <row r="933">
      <c r="A933" s="2" t="inlineStr">
        <is>
          <t>F932</t>
        </is>
      </c>
      <c r="B933" s="2" t="inlineStr">
        <is>
          <t>management</t>
        </is>
      </c>
      <c r="C933" s="2" t="inlineStr">
        <is>
          <t>remuneration</t>
        </is>
      </c>
      <c r="D933" s="3" t="inlineStr">
        <is>
          <t>Remuneration as disclosed in the filed accounts: person or body; amount; year</t>
        </is>
      </c>
      <c r="E933" s="2" t="n"/>
      <c r="F933" s="2" t="n">
        <v>0.017</v>
      </c>
      <c r="G933" s="2" t="n"/>
      <c r="H933" s="3" t="inlineStr">
        <is>
          <t>person or body: Maaike Veen (FAST Board Chair); amount: 0.017; year: 2024</t>
        </is>
      </c>
      <c r="I933" s="2" t="inlineStr">
        <is>
          <t>S2</t>
        </is>
      </c>
      <c r="J933" s="2" t="n">
        <v>82</v>
      </c>
      <c r="K933" s="2" t="inlineStr">
        <is>
          <t>Maaike Veen: € 16,950 (2023: € 16,440);</t>
        </is>
      </c>
      <c r="L933" s="2" t="inlineStr">
        <is>
          <t>pend</t>
        </is>
      </c>
      <c r="M933" s="2" t="n"/>
      <c r="N933" s="2" t="n"/>
      <c r="O933" s="3" t="inlineStr">
        <is>
          <t>https://vanillabonds.com/dossier-data/pdf/fastned/fastned-2024-annual-report.pdf#page=82</t>
        </is>
      </c>
    </row>
    <row r="934">
      <c r="A934" s="2" t="inlineStr">
        <is>
          <t>F933</t>
        </is>
      </c>
      <c r="B934" s="2" t="inlineStr">
        <is>
          <t>management</t>
        </is>
      </c>
      <c r="C934" s="2" t="inlineStr">
        <is>
          <t>remuneration</t>
        </is>
      </c>
      <c r="D934" s="3" t="inlineStr">
        <is>
          <t>Remuneration as disclosed in the filed accounts: person or body; amount; year</t>
        </is>
      </c>
      <c r="E934" s="2" t="n"/>
      <c r="F934" s="2" t="n">
        <v>0.0113</v>
      </c>
      <c r="G934" s="2" t="n"/>
      <c r="H934" s="3" t="inlineStr">
        <is>
          <t>person or body: Henk Pals (FAST Board member); amount: 0.0113; year: 2024</t>
        </is>
      </c>
      <c r="I934" s="2" t="inlineStr">
        <is>
          <t>S2</t>
        </is>
      </c>
      <c r="J934" s="2" t="n">
        <v>82</v>
      </c>
      <c r="K934" s="2" t="inlineStr">
        <is>
          <t>Henk Pals: € 11,300 (2023: €10,960);</t>
        </is>
      </c>
      <c r="L934" s="2" t="inlineStr">
        <is>
          <t>pend</t>
        </is>
      </c>
      <c r="M934" s="2" t="n"/>
      <c r="N934" s="2" t="n"/>
      <c r="O934" s="3" t="inlineStr">
        <is>
          <t>https://vanillabonds.com/dossier-data/pdf/fastned/fastned-2024-annual-report.pdf#page=82</t>
        </is>
      </c>
    </row>
    <row r="935">
      <c r="A935" s="2" t="inlineStr">
        <is>
          <t>F934</t>
        </is>
      </c>
      <c r="B935" s="2" t="inlineStr">
        <is>
          <t>management</t>
        </is>
      </c>
      <c r="C935" s="2" t="inlineStr">
        <is>
          <t>remuneration</t>
        </is>
      </c>
      <c r="D935" s="3" t="inlineStr">
        <is>
          <t>Remuneration as disclosed in the filed accounts: person or body; amount; year</t>
        </is>
      </c>
      <c r="E935" s="2" t="n"/>
      <c r="F935" s="2" t="n">
        <v>0.0113</v>
      </c>
      <c r="G935" s="2" t="n"/>
      <c r="H935" s="3" t="inlineStr">
        <is>
          <t>person or body: Michiel Weghs (FAST Board member); amount: 0.0113; year: 2024</t>
        </is>
      </c>
      <c r="I935" s="2" t="inlineStr">
        <is>
          <t>S2</t>
        </is>
      </c>
      <c r="J935" s="2" t="n">
        <v>82</v>
      </c>
      <c r="K935" s="2" t="inlineStr">
        <is>
          <t>Michiel Weghs: € 11,300 (2023: €6,393).</t>
        </is>
      </c>
      <c r="L935" s="2" t="inlineStr">
        <is>
          <t>pend</t>
        </is>
      </c>
      <c r="M935" s="2" t="n"/>
      <c r="N935" s="2" t="n"/>
      <c r="O935" s="3" t="inlineStr">
        <is>
          <t>https://vanillabonds.com/dossier-data/pdf/fastned/fastned-2024-annual-report.pdf#page=82</t>
        </is>
      </c>
    </row>
    <row r="936">
      <c r="A936" s="2" t="inlineStr">
        <is>
          <t>F935</t>
        </is>
      </c>
      <c r="B936" s="2" t="inlineStr">
        <is>
          <t>management</t>
        </is>
      </c>
      <c r="C936" s="2" t="inlineStr">
        <is>
          <t>remuneration</t>
        </is>
      </c>
      <c r="D936" s="3" t="inlineStr">
        <is>
          <t>Remuneration as disclosed in the filed accounts: person or body; amount; year</t>
        </is>
      </c>
      <c r="E936" s="2" t="n"/>
      <c r="F936" s="2" t="n">
        <v>0.129</v>
      </c>
      <c r="G936" s="2" t="n"/>
      <c r="H936" s="3" t="inlineStr">
        <is>
          <t>person or body: M. Langezaal (CEO); amount: 0.129 (base 0.116, other benefits 0.013, no pension, no options); year: 2024 (2023: 0.118)</t>
        </is>
      </c>
      <c r="I936" s="2" t="inlineStr">
        <is>
          <t>S2</t>
        </is>
      </c>
      <c r="J936" s="2" t="n">
        <v>164</v>
      </c>
      <c r="K936" s="2" t="inlineStr">
        <is>
          <t>M. Langezaal 116 13 — — 129</t>
        </is>
      </c>
      <c r="L936" s="2" t="inlineStr">
        <is>
          <t>pend</t>
        </is>
      </c>
      <c r="M936" s="2" t="n"/>
      <c r="N936" s="2" t="n"/>
      <c r="O936" s="3" t="inlineStr">
        <is>
          <t>https://vanillabonds.com/dossier-data/pdf/fastned/fastned-2024-annual-report.pdf#page=164</t>
        </is>
      </c>
    </row>
    <row r="937">
      <c r="A937" s="2" t="inlineStr">
        <is>
          <t>F936</t>
        </is>
      </c>
      <c r="B937" s="2" t="inlineStr">
        <is>
          <t>management</t>
        </is>
      </c>
      <c r="C937" s="2" t="inlineStr">
        <is>
          <t>remuneration</t>
        </is>
      </c>
      <c r="D937" s="3" t="inlineStr">
        <is>
          <t>Remuneration as disclosed in the filed accounts: person or body; amount; year</t>
        </is>
      </c>
      <c r="E937" s="2" t="n"/>
      <c r="F937" s="2" t="n">
        <v>0.187</v>
      </c>
      <c r="G937" s="2" t="n"/>
      <c r="H937" s="3" t="inlineStr">
        <is>
          <t>person or body: V. van Dijk (CFO); amount: 0.187 (base 0.164, other 0.007, pension 0.016); year: 2024 (2023: 0.265 incl. 0.096 share options)</t>
        </is>
      </c>
      <c r="I937" s="2" t="inlineStr">
        <is>
          <t>S2</t>
        </is>
      </c>
      <c r="J937" s="2" t="n">
        <v>164</v>
      </c>
      <c r="K937" s="2" t="inlineStr">
        <is>
          <t>V. van Dijk 164 7 16 — 187</t>
        </is>
      </c>
      <c r="L937" s="2" t="inlineStr">
        <is>
          <t>pend</t>
        </is>
      </c>
      <c r="M937" s="2" t="n"/>
      <c r="N937" s="2" t="n"/>
      <c r="O937" s="3" t="inlineStr">
        <is>
          <t>https://vanillabonds.com/dossier-data/pdf/fastned/fastned-2024-annual-report.pdf#page=164</t>
        </is>
      </c>
    </row>
    <row r="938">
      <c r="A938" s="2" t="inlineStr">
        <is>
          <t>F937</t>
        </is>
      </c>
      <c r="B938" s="2" t="inlineStr">
        <is>
          <t>management</t>
        </is>
      </c>
      <c r="C938" s="2" t="inlineStr">
        <is>
          <t>remuneration</t>
        </is>
      </c>
      <c r="D938" s="3" t="inlineStr">
        <is>
          <t>Remuneration as disclosed in the filed accounts: person or body; amount; year</t>
        </is>
      </c>
      <c r="E938" s="2" t="n"/>
      <c r="F938" s="2" t="n">
        <v>0.045</v>
      </c>
      <c r="G938" s="2" t="n"/>
      <c r="H938" s="3" t="inlineStr">
        <is>
          <t>person or body: F. Poggi (COO, from 29 Nov 2024); amount: 0.045; year: 2024</t>
        </is>
      </c>
      <c r="I938" s="2" t="inlineStr">
        <is>
          <t>S2</t>
        </is>
      </c>
      <c r="J938" s="2" t="n">
        <v>164</v>
      </c>
      <c r="K938" s="2" t="inlineStr">
        <is>
          <t>F. Poggi* 38 2 5 — 45</t>
        </is>
      </c>
      <c r="L938" s="2" t="inlineStr">
        <is>
          <t>pend</t>
        </is>
      </c>
      <c r="M938" s="2" t="n"/>
      <c r="N938" s="2" t="n"/>
      <c r="O938" s="3" t="inlineStr">
        <is>
          <t>https://vanillabonds.com/dossier-data/pdf/fastned/fastned-2024-annual-report.pdf#page=164</t>
        </is>
      </c>
    </row>
    <row r="939">
      <c r="A939" s="2" t="inlineStr">
        <is>
          <t>F938</t>
        </is>
      </c>
      <c r="B939" s="2" t="inlineStr">
        <is>
          <t>management</t>
        </is>
      </c>
      <c r="C939" s="2" t="inlineStr">
        <is>
          <t>remuneration</t>
        </is>
      </c>
      <c r="D939" s="3" t="inlineStr">
        <is>
          <t>Remuneration as disclosed in the filed accounts: person or body; amount; year</t>
        </is>
      </c>
      <c r="E939" s="2" t="n"/>
      <c r="F939" s="2" t="n">
        <v>0.039</v>
      </c>
      <c r="G939" s="2" t="n"/>
      <c r="H939" s="3" t="inlineStr">
        <is>
          <t>person or body: FAST Board (Veen, Pals, Weghs); amount: 0.039 (2023: 0.038); year: 2024</t>
        </is>
      </c>
      <c r="I939" s="2" t="inlineStr">
        <is>
          <t>S2</t>
        </is>
      </c>
      <c r="J939" s="2" t="n">
        <v>165</v>
      </c>
      <c r="K939" s="2" t="inlineStr">
        <is>
          <t>Total 39 38</t>
        </is>
      </c>
      <c r="L939" s="2" t="inlineStr">
        <is>
          <t>pend</t>
        </is>
      </c>
      <c r="M939" s="2" t="n"/>
      <c r="N939" s="2" t="n"/>
      <c r="O939" s="3" t="inlineStr">
        <is>
          <t>https://vanillabonds.com/dossier-data/pdf/fastned/fastned-2024-annual-report.pdf#page=165</t>
        </is>
      </c>
    </row>
    <row r="940">
      <c r="A940" s="2" t="inlineStr">
        <is>
          <t>F939</t>
        </is>
      </c>
      <c r="B940" s="2" t="inlineStr">
        <is>
          <t>management</t>
        </is>
      </c>
      <c r="C940" s="2" t="inlineStr">
        <is>
          <t>remuneration</t>
        </is>
      </c>
      <c r="D940" s="3" t="inlineStr">
        <is>
          <t>Remuneration as disclosed in the filed accounts: person or body; amount; year</t>
        </is>
      </c>
      <c r="E940" s="2" t="n"/>
      <c r="F940" s="2" t="n">
        <v>0.361</v>
      </c>
      <c r="G940" s="2" t="n"/>
      <c r="H940" s="3" t="inlineStr">
        <is>
          <t>person or body: Management Board (total); amount: 0.361 (2023: 0.383); year: 2024</t>
        </is>
      </c>
      <c r="I940" s="2" t="inlineStr">
        <is>
          <t>S2</t>
        </is>
      </c>
      <c r="J940" s="2" t="n">
        <v>166</v>
      </c>
      <c r="K940" s="3" t="inlineStr">
        <is>
          <t>In 2024, the total remuneration for all management board amounts to €361</t>
        </is>
      </c>
      <c r="L940" s="2" t="inlineStr">
        <is>
          <t>pend</t>
        </is>
      </c>
      <c r="M940" s="2" t="n"/>
      <c r="N940" s="2" t="n"/>
      <c r="O940" s="3" t="inlineStr">
        <is>
          <t>https://vanillabonds.com/dossier-data/pdf/fastned/fastned-2024-annual-report.pdf#page=166</t>
        </is>
      </c>
    </row>
    <row r="941">
      <c r="A941" s="2" t="inlineStr">
        <is>
          <t>F940</t>
        </is>
      </c>
      <c r="B941" s="2" t="inlineStr">
        <is>
          <t>management</t>
        </is>
      </c>
      <c r="C941" s="2" t="inlineStr">
        <is>
          <t>remuneration</t>
        </is>
      </c>
      <c r="D941" s="3" t="inlineStr">
        <is>
          <t>Remuneration as disclosed in the filed accounts: person or body; amount; year</t>
        </is>
      </c>
      <c r="E941" s="2" t="n"/>
      <c r="F941" s="2" t="n">
        <v>0.134</v>
      </c>
      <c r="G941" s="2" t="n"/>
      <c r="H941" s="3" t="inlineStr">
        <is>
          <t>person or body: Supervisory Board (total: Kooi 0.050, Lubbers 0.038, Kabalt 0.038, Janssen 0.008 expenses); amount: 0.134 (2023: 0.123); year: 2024</t>
        </is>
      </c>
      <c r="I941" s="2" t="inlineStr">
        <is>
          <t>S2</t>
        </is>
      </c>
      <c r="J941" s="2" t="n">
        <v>166</v>
      </c>
      <c r="K941" s="2" t="inlineStr">
        <is>
          <t>Total 126 8 134 116 7 123</t>
        </is>
      </c>
      <c r="L941" s="2" t="inlineStr">
        <is>
          <t>pend</t>
        </is>
      </c>
      <c r="M941" s="2" t="n"/>
      <c r="N941" s="2" t="n"/>
      <c r="O941" s="3" t="inlineStr">
        <is>
          <t>https://vanillabonds.com/dossier-data/pdf/fastned/fastned-2024-annual-report.pdf#page=166</t>
        </is>
      </c>
    </row>
    <row r="942">
      <c r="A942" s="2" t="inlineStr">
        <is>
          <t>F941</t>
        </is>
      </c>
      <c r="B942" s="2" t="inlineStr">
        <is>
          <t>management</t>
        </is>
      </c>
      <c r="C942" s="2" t="inlineStr">
        <is>
          <t>remuneration</t>
        </is>
      </c>
      <c r="D942" s="3" t="inlineStr">
        <is>
          <t>Remuneration as disclosed in the filed accounts: person or body; amount; year</t>
        </is>
      </c>
      <c r="E942" s="2" t="n"/>
      <c r="F942" s="2" t="n">
        <v>0.326</v>
      </c>
      <c r="G942" s="2" t="n"/>
      <c r="H942" s="3" t="inlineStr">
        <is>
          <t>person or body: BDO Audit &amp; Assurance B.V. (auditor), audit fees; amount: 0.326 (2023: 0.195) plus 0.032 non-audit and other assurance services (2023: 0.005); year: 2024</t>
        </is>
      </c>
      <c r="I942" s="2" t="inlineStr">
        <is>
          <t>S2</t>
        </is>
      </c>
      <c r="J942" s="2" t="n">
        <v>167</v>
      </c>
      <c r="K942" s="2" t="inlineStr">
        <is>
          <t>Fastned B.V. 326 195</t>
        </is>
      </c>
      <c r="L942" s="2" t="inlineStr">
        <is>
          <t>pend</t>
        </is>
      </c>
      <c r="M942" s="2" t="n"/>
      <c r="N942" s="2" t="n"/>
      <c r="O942" s="3" t="inlineStr">
        <is>
          <t>https://vanillabonds.com/dossier-data/pdf/fastned/fastned-2024-annual-report.pdf#page=167</t>
        </is>
      </c>
    </row>
    <row r="943">
      <c r="A943" s="2" t="inlineStr">
        <is>
          <t>F942</t>
        </is>
      </c>
      <c r="B943" s="2" t="inlineStr">
        <is>
          <t>plan</t>
        </is>
      </c>
      <c r="C943" s="2" t="inlineStr">
        <is>
          <t>plan_variable</t>
        </is>
      </c>
      <c r="D943" s="3" t="inlineStr">
        <is>
          <t>Plan claim as a variable: variable; value; year; reference_class; n; median; spread; percentile; source</t>
        </is>
      </c>
      <c r="E943" s="2" t="n"/>
      <c r="F943" s="2" t="n">
        <v>1000</v>
      </c>
      <c r="G943" s="2" t="n"/>
      <c r="H943" s="3" t="inlineStr">
        <is>
          <t>variable: stations operational; value: 1000; year: 2030; source: company objective (569 locations operational or secured at end-2024)</t>
        </is>
      </c>
      <c r="I943" s="2" t="inlineStr">
        <is>
          <t>S2</t>
        </is>
      </c>
      <c r="J943" s="2" t="n">
        <v>8</v>
      </c>
      <c r="K943" s="3" t="inlineStr">
        <is>
          <t>Our objective is 1,000 stations operational by the end of 2030, so we are delighted that in 2024 we crossed the half-way marker on location acquisition.</t>
        </is>
      </c>
      <c r="L943" s="2" t="inlineStr">
        <is>
          <t>pend</t>
        </is>
      </c>
      <c r="M943" s="2" t="n"/>
      <c r="N943" s="2" t="n"/>
      <c r="O943" s="3" t="inlineStr">
        <is>
          <t>https://vanillabonds.com/dossier-data/pdf/fastned/fastned-2024-annual-report.pdf#page=8</t>
        </is>
      </c>
    </row>
    <row r="944">
      <c r="A944" s="2" t="inlineStr">
        <is>
          <t>F943</t>
        </is>
      </c>
      <c r="B944" s="2" t="inlineStr">
        <is>
          <t>structure</t>
        </is>
      </c>
      <c r="C944" s="2" t="inlineStr">
        <is>
          <t>security_asset</t>
        </is>
      </c>
      <c r="D944" s="3" t="inlineStr">
        <is>
          <t>Security asset: asset; book value; encumbrance (register); insured (yes / no); register</t>
        </is>
      </c>
      <c r="E944" s="2" t="n"/>
      <c r="F944" s="2" t="n">
        <v>0.7</v>
      </c>
      <c r="G944" s="2" t="n"/>
      <c r="H944" s="3" t="inlineStr">
        <is>
          <t>asset: restricted cash pledged for construction and operating guarantees on French stations; book value: 0.7 (2023: 3.4); encumbrance: pledged</t>
        </is>
      </c>
      <c r="I944" s="2" t="inlineStr">
        <is>
          <t>S2</t>
        </is>
      </c>
      <c r="J944" s="2" t="n">
        <v>146</v>
      </c>
      <c r="K944" s="3" t="inlineStr">
        <is>
          <t>The Group has €0.7 million of restricted cash related to construction and</t>
        </is>
      </c>
      <c r="L944" s="2" t="inlineStr">
        <is>
          <t>pend</t>
        </is>
      </c>
      <c r="M944" s="2" t="n"/>
      <c r="N944" s="2" t="n"/>
      <c r="O944" s="3" t="inlineStr">
        <is>
          <t>https://vanillabonds.com/dossier-data/pdf/fastned/fastned-2024-annual-report.pdf#page=146</t>
        </is>
      </c>
    </row>
    <row r="945">
      <c r="A945" s="2" t="inlineStr">
        <is>
          <t>F944</t>
        </is>
      </c>
      <c r="B945" s="2" t="inlineStr">
        <is>
          <t>compliance</t>
        </is>
      </c>
      <c r="C945" s="2" t="inlineStr">
        <is>
          <t>esg_fact</t>
        </is>
      </c>
      <c r="D945" s="3" t="inlineStr">
        <is>
          <t>ESG fact: item (CSRD / VSME status, energy, emissions, taxonomy, permit, incident, labour); value; year; source</t>
        </is>
      </c>
      <c r="E945" s="2" t="n"/>
      <c r="F945" s="2" t="n"/>
      <c r="G945" s="2" t="n"/>
      <c r="H945" s="3" t="inlineStr">
        <is>
          <t>item: Diverse and Inclusive Leadership Award 2024 presented by Deloitte; year: 2024; source: annual report</t>
        </is>
      </c>
      <c r="I945" s="2" t="inlineStr">
        <is>
          <t>S2</t>
        </is>
      </c>
      <c r="J945" s="2" t="n">
        <v>35</v>
      </c>
      <c r="K945" s="3" t="inlineStr">
        <is>
          <t>We were proud to receive the Diverse and Inclusive Leadership Award 2024, presented by Deloitte</t>
        </is>
      </c>
      <c r="L945" s="2" t="inlineStr">
        <is>
          <t>pend</t>
        </is>
      </c>
      <c r="M945" s="2" t="n"/>
      <c r="N945" s="2" t="n"/>
      <c r="O945" s="3" t="inlineStr">
        <is>
          <t>https://vanillabonds.com/dossier-data/pdf/fastned/fastned-2024-annual-report.pdf#page=35</t>
        </is>
      </c>
    </row>
    <row r="946">
      <c r="A946" s="2" t="inlineStr">
        <is>
          <t>F945</t>
        </is>
      </c>
      <c r="B946" s="2" t="inlineStr">
        <is>
          <t>compliance</t>
        </is>
      </c>
      <c r="C946" s="2" t="inlineStr">
        <is>
          <t>esg_fact</t>
        </is>
      </c>
      <c r="D946" s="3" t="inlineStr">
        <is>
          <t>ESG fact: item (CSRD / VSME status, energy, emissions, taxonomy, permit, incident, labour); value; year; source</t>
        </is>
      </c>
      <c r="E946" s="2" t="n"/>
      <c r="F946" s="2" t="n">
        <v>100</v>
      </c>
      <c r="G946" s="2" t="n"/>
      <c r="H946" s="3" t="inlineStr">
        <is>
          <t>item: Guarantees of Origin coverage of electricity use; value: 100%; year: 2024; source: company, limited assurance BDO</t>
        </is>
      </c>
      <c r="I946" s="2" t="inlineStr">
        <is>
          <t>S2</t>
        </is>
      </c>
      <c r="J946" s="2" t="n">
        <v>45</v>
      </c>
      <c r="K946" s="3" t="inlineStr">
        <is>
          <t>Guarantees of Origin purchased (% electricity use covered) 100</t>
        </is>
      </c>
      <c r="L946" s="2" t="inlineStr">
        <is>
          <t>pend</t>
        </is>
      </c>
      <c r="M946" s="2" t="n"/>
      <c r="N946" s="2" t="n"/>
      <c r="O946" s="3" t="inlineStr">
        <is>
          <t>https://vanillabonds.com/dossier-data/pdf/fastned/fastned-2024-annual-report.pdf#page=45</t>
        </is>
      </c>
    </row>
    <row r="947">
      <c r="A947" s="2" t="inlineStr">
        <is>
          <t>F946</t>
        </is>
      </c>
      <c r="B947" s="2" t="inlineStr">
        <is>
          <t>compliance</t>
        </is>
      </c>
      <c r="C947" s="2" t="inlineStr">
        <is>
          <t>esg_fact</t>
        </is>
      </c>
      <c r="D947" s="3" t="inlineStr">
        <is>
          <t>ESG fact: item (CSRD / VSME status, energy, emissions, taxonomy, permit, incident, labour); value; year; source</t>
        </is>
      </c>
      <c r="E947" s="2" t="n"/>
      <c r="F947" s="2" t="n"/>
      <c r="G947" s="2" t="n"/>
      <c r="H947" s="3" t="inlineStr">
        <is>
          <t>item: labour; value: 333 employees, 138 female / 195 male, 45+ nationalities, 272 permanent, 61 temporary, eNPS 54; year: 2024; source: company, gender split with limited assurance</t>
        </is>
      </c>
      <c r="I947" s="2" t="inlineStr">
        <is>
          <t>S2</t>
        </is>
      </c>
      <c r="J947" s="2" t="n">
        <v>45</v>
      </c>
      <c r="K947" s="3" t="inlineStr">
        <is>
          <t>Employee gender split Female: 138 Male: 195</t>
        </is>
      </c>
      <c r="L947" s="2" t="inlineStr">
        <is>
          <t>pend</t>
        </is>
      </c>
      <c r="M947" s="2" t="n"/>
      <c r="N947" s="2" t="n"/>
      <c r="O947" s="3" t="inlineStr">
        <is>
          <t>https://vanillabonds.com/dossier-data/pdf/fastned/fastned-2024-annual-report.pdf#page=45</t>
        </is>
      </c>
    </row>
    <row r="948">
      <c r="A948" s="2" t="inlineStr">
        <is>
          <t>F947</t>
        </is>
      </c>
      <c r="B948" s="2" t="inlineStr">
        <is>
          <t>compliance</t>
        </is>
      </c>
      <c r="C948" s="2" t="inlineStr">
        <is>
          <t>esg_fact</t>
        </is>
      </c>
      <c r="D948" s="3" t="inlineStr">
        <is>
          <t>ESG fact: item (CSRD / VSME status, energy, emissions, taxonomy, permit, incident, labour); value; year; source</t>
        </is>
      </c>
      <c r="E948" s="2" t="n"/>
      <c r="F948" s="2" t="n"/>
      <c r="G948" s="2" t="n"/>
      <c r="H948" s="3" t="inlineStr">
        <is>
          <t>item: energy sold; value: 140,738,694.87 kWh (140.7 GWh, +41%); year: 2024; source: company, limited assurance BDO</t>
        </is>
      </c>
      <c r="I948" s="2" t="inlineStr">
        <is>
          <t>S2</t>
        </is>
      </c>
      <c r="J948" s="2" t="n">
        <v>45</v>
      </c>
      <c r="K948" s="2" t="inlineStr">
        <is>
          <t>kWh sold for FY 2024 140,738,694.87</t>
        </is>
      </c>
      <c r="L948" s="2" t="inlineStr">
        <is>
          <t>pend</t>
        </is>
      </c>
      <c r="M948" s="2" t="n"/>
      <c r="N948" s="2" t="n"/>
      <c r="O948" s="3" t="inlineStr">
        <is>
          <t>https://vanillabonds.com/dossier-data/pdf/fastned/fastned-2024-annual-report.pdf#page=45</t>
        </is>
      </c>
    </row>
    <row r="949">
      <c r="A949" s="2" t="inlineStr">
        <is>
          <t>F948</t>
        </is>
      </c>
      <c r="B949" s="2" t="inlineStr">
        <is>
          <t>compliance</t>
        </is>
      </c>
      <c r="C949" s="2" t="inlineStr">
        <is>
          <t>esg_fact</t>
        </is>
      </c>
      <c r="D949" s="3" t="inlineStr">
        <is>
          <t>ESG fact: item (CSRD / VSME status, energy, emissions, taxonomy, permit, incident, labour); value; year; source</t>
        </is>
      </c>
      <c r="E949" s="2" t="n"/>
      <c r="F949" s="2" t="n"/>
      <c r="G949" s="2" t="n"/>
      <c r="H949" s="3" t="inlineStr">
        <is>
          <t>item: CSRD status; value: double materiality assessment done Feb 2024-Jan 2025, four material topics (network development, customer and network excellence, energy transition, talent); year: 2024; source: annual report</t>
        </is>
      </c>
      <c r="I949" s="2" t="inlineStr">
        <is>
          <t>S2</t>
        </is>
      </c>
      <c r="J949" s="2" t="n">
        <v>48</v>
      </c>
      <c r="K949" s="3" t="inlineStr">
        <is>
          <t>the most material topic was Network Development (A), followed by Customer and Network Excellence (B) and Energy Transition (H).</t>
        </is>
      </c>
      <c r="L949" s="2" t="inlineStr">
        <is>
          <t>pend</t>
        </is>
      </c>
      <c r="M949" s="2" t="n"/>
      <c r="N949" s="2" t="n"/>
      <c r="O949" s="3" t="inlineStr">
        <is>
          <t>https://vanillabonds.com/dossier-data/pdf/fastned/fastned-2024-annual-report.pdf#page=48</t>
        </is>
      </c>
    </row>
    <row r="950">
      <c r="A950" s="2" t="inlineStr">
        <is>
          <t>F949</t>
        </is>
      </c>
      <c r="B950" s="2" t="inlineStr">
        <is>
          <t>compliance</t>
        </is>
      </c>
      <c r="C950" s="2" t="inlineStr">
        <is>
          <t>esg_fact</t>
        </is>
      </c>
      <c r="D950" s="3" t="inlineStr">
        <is>
          <t>ESG fact: item (CSRD / VSME status, energy, emissions, taxonomy, permit, incident, labour); value; year; source</t>
        </is>
      </c>
      <c r="E950" s="2" t="n"/>
      <c r="F950" s="2" t="n"/>
      <c r="G950" s="2" t="n"/>
      <c r="H950" s="3" t="inlineStr">
        <is>
          <t>item: EU taxonomy eligibility; value: turnover 100%, capex 99%, opex 99% eligible (voluntary, unaudited); year: 2024; source: annual report</t>
        </is>
      </c>
      <c r="I950" s="2" t="inlineStr">
        <is>
          <t>S2</t>
        </is>
      </c>
      <c r="J950" s="2" t="n">
        <v>50</v>
      </c>
      <c r="K950" s="3" t="inlineStr">
        <is>
          <t>Turnover 100 % — % 100 % — % CapEx 99 % 1 % 99 % 1 %</t>
        </is>
      </c>
      <c r="L950" s="2" t="inlineStr">
        <is>
          <t>pend</t>
        </is>
      </c>
      <c r="M950" s="2" t="n"/>
      <c r="N950" s="2" t="n"/>
      <c r="O950" s="3" t="inlineStr">
        <is>
          <t>https://vanillabonds.com/dossier-data/pdf/fastned/fastned-2024-annual-report.pdf#page=50</t>
        </is>
      </c>
    </row>
    <row r="951">
      <c r="A951" s="2" t="inlineStr">
        <is>
          <t>F950</t>
        </is>
      </c>
      <c r="B951" s="2" t="inlineStr">
        <is>
          <t>compliance</t>
        </is>
      </c>
      <c r="C951" s="2" t="inlineStr">
        <is>
          <t>esg_fact</t>
        </is>
      </c>
      <c r="D951" s="3" t="inlineStr">
        <is>
          <t>ESG fact: item (CSRD / VSME status, energy, emissions, taxonomy, permit, incident, labour); value; year; source</t>
        </is>
      </c>
      <c r="E951" s="2" t="n"/>
      <c r="F951" s="2" t="n"/>
      <c r="G951" s="2" t="n"/>
      <c r="H951" s="3" t="inlineStr">
        <is>
          <t>item: MSCI ESG rating; value: upgraded from BB to BBB (MSCI's rating); year: 2024; source: MSCI</t>
        </is>
      </c>
      <c r="I951" s="2" t="inlineStr">
        <is>
          <t>S2</t>
        </is>
      </c>
      <c r="J951" s="2" t="n">
        <v>51</v>
      </c>
      <c r="K951" s="3" t="inlineStr">
        <is>
          <t>In 2024, our MSCI rating was upgraded from BB to BBB, owing to improvements identified in our corporate governance practices</t>
        </is>
      </c>
      <c r="L951" s="2" t="inlineStr">
        <is>
          <t>pend</t>
        </is>
      </c>
      <c r="M951" s="2" t="n"/>
      <c r="N951" s="2" t="n"/>
      <c r="O951" s="3" t="inlineStr">
        <is>
          <t>https://vanillabonds.com/dossier-data/pdf/fastned/fastned-2024-annual-report.pdf#page=51</t>
        </is>
      </c>
    </row>
    <row r="952">
      <c r="A952" s="2" t="inlineStr">
        <is>
          <t>F951</t>
        </is>
      </c>
      <c r="B952" s="2" t="inlineStr">
        <is>
          <t>compliance</t>
        </is>
      </c>
      <c r="C952" s="2" t="inlineStr">
        <is>
          <t>esg_fact</t>
        </is>
      </c>
      <c r="D952" s="3" t="inlineStr">
        <is>
          <t>ESG fact: item (CSRD / VSME status, energy, emissions, taxonomy, permit, incident, labour); value; year; source</t>
        </is>
      </c>
      <c r="E952" s="2" t="n"/>
      <c r="F952" s="2" t="n"/>
      <c r="G952" s="2" t="n"/>
      <c r="H952" s="3" t="inlineStr">
        <is>
          <t>item: CDP score; value: 'C' (unchanged); year: 2024; source: CDP</t>
        </is>
      </c>
      <c r="I952" s="2" t="inlineStr">
        <is>
          <t>S2</t>
        </is>
      </c>
      <c r="J952" s="2" t="n">
        <v>51</v>
      </c>
      <c r="K952" s="3" t="inlineStr">
        <is>
          <t>In 2024 Fastned participated in the Carbon Disclosure Project (CDP) for the third time, receiving a ‘C’ score.</t>
        </is>
      </c>
      <c r="L952" s="2" t="inlineStr">
        <is>
          <t>pend</t>
        </is>
      </c>
      <c r="M952" s="2" t="n"/>
      <c r="N952" s="2" t="n"/>
      <c r="O952" s="3" t="inlineStr">
        <is>
          <t>https://vanillabonds.com/dossier-data/pdf/fastned/fastned-2024-annual-report.pdf#page=51</t>
        </is>
      </c>
    </row>
    <row r="953">
      <c r="A953" s="2" t="inlineStr">
        <is>
          <t>F952</t>
        </is>
      </c>
      <c r="B953" s="2" t="inlineStr">
        <is>
          <t>compliance</t>
        </is>
      </c>
      <c r="C953" s="2" t="inlineStr">
        <is>
          <t>esg_fact</t>
        </is>
      </c>
      <c r="D953" s="3" t="inlineStr">
        <is>
          <t>ESG fact: item (CSRD / VSME status, energy, emissions, taxonomy, permit, incident, labour); value; year; source</t>
        </is>
      </c>
      <c r="E953" s="2" t="n"/>
      <c r="F953" s="2" t="n">
        <v>129057</v>
      </c>
      <c r="G953" s="2" t="n"/>
      <c r="H953" s="3" t="inlineStr">
        <is>
          <t>item: CO2e avoided; value: 129,057 tonnes (+34%), cumulative 300,819 tonnes since founding; year: 2024; source: company, limited assurance BDO, emission factor CO2emissiefactoren.nl</t>
        </is>
      </c>
      <c r="I953" s="2" t="inlineStr">
        <is>
          <t>S2</t>
        </is>
      </c>
      <c r="J953" s="2" t="n">
        <v>52</v>
      </c>
      <c r="K953" s="3" t="inlineStr">
        <is>
          <t>Fastned effectively avoided the equivalent of 129,057 tonnes of CO2, a 34% increase from 2023.</t>
        </is>
      </c>
      <c r="L953" s="2" t="inlineStr">
        <is>
          <t>pend</t>
        </is>
      </c>
      <c r="M953" s="2" t="n"/>
      <c r="N953" s="2" t="n"/>
      <c r="O953" s="3" t="inlineStr">
        <is>
          <t>https://vanillabonds.com/dossier-data/pdf/fastned/fastned-2024-annual-report.pdf#page=52</t>
        </is>
      </c>
    </row>
    <row r="954">
      <c r="A954" s="2" t="inlineStr">
        <is>
          <t>F953</t>
        </is>
      </c>
      <c r="B954" s="2" t="inlineStr">
        <is>
          <t>compliance</t>
        </is>
      </c>
      <c r="C954" s="2" t="inlineStr">
        <is>
          <t>esg_fact</t>
        </is>
      </c>
      <c r="D954" s="3" t="inlineStr">
        <is>
          <t>ESG fact: item (CSRD / VSME status, energy, emissions, taxonomy, permit, incident, labour); value; year; source</t>
        </is>
      </c>
      <c r="E954" s="2" t="n"/>
      <c r="F954" s="2" t="n">
        <v>7991</v>
      </c>
      <c r="G954" s="2" t="n"/>
      <c r="H954" s="3" t="inlineStr">
        <is>
          <t>item: station construction footprint (LCA, 49 stations); value: 7,991 tonnes CO2 (2023: 8,851 t for 55 stations); year: 2024; source: company, GHG Protocol</t>
        </is>
      </c>
      <c r="I954" s="2" t="inlineStr">
        <is>
          <t>S2</t>
        </is>
      </c>
      <c r="J954" s="2" t="n">
        <v>53</v>
      </c>
      <c r="K954" s="3" t="inlineStr">
        <is>
          <t>The total footprint for the 49 Fastned stations built in 2024 is approximately 7,991 tonnes of CO2.</t>
        </is>
      </c>
      <c r="L954" s="2" t="inlineStr">
        <is>
          <t>pend</t>
        </is>
      </c>
      <c r="M954" s="2" t="n"/>
      <c r="N954" s="2" t="n"/>
      <c r="O954" s="3" t="inlineStr">
        <is>
          <t>https://vanillabonds.com/dossier-data/pdf/fastned/fastned-2024-annual-report.pdf#page=53</t>
        </is>
      </c>
    </row>
    <row r="955">
      <c r="A955" s="2" t="inlineStr">
        <is>
          <t>F954</t>
        </is>
      </c>
      <c r="B955" s="2" t="inlineStr">
        <is>
          <t>compliance</t>
        </is>
      </c>
      <c r="C955" s="2" t="inlineStr">
        <is>
          <t>esg_fact</t>
        </is>
      </c>
      <c r="D955" s="3" t="inlineStr">
        <is>
          <t>ESG fact: item (CSRD / VSME status, energy, emissions, taxonomy, permit, incident, labour); value; year; source</t>
        </is>
      </c>
      <c r="E955" s="2" t="n"/>
      <c r="F955" s="2" t="n">
        <v>8349</v>
      </c>
      <c r="G955" s="2" t="n"/>
      <c r="H955" s="3" t="inlineStr">
        <is>
          <t>item: Scope 1, 2 and 3 emissions; value: 8,349 tonnes CO2 (scope 1: 4.7; scope 2: 20.9; scope 3: 8,323.4); year: 2024; source: company, limited assurance BDO</t>
        </is>
      </c>
      <c r="I955" s="2" t="inlineStr">
        <is>
          <t>S2</t>
        </is>
      </c>
      <c r="J955" s="2" t="n">
        <v>54</v>
      </c>
      <c r="K955" s="2" t="inlineStr">
        <is>
          <t>Total 7277.8 100 8936.5 100 8349 100 (7)</t>
        </is>
      </c>
      <c r="L955" s="2" t="inlineStr">
        <is>
          <t>pend</t>
        </is>
      </c>
      <c r="M955" s="2" t="n"/>
      <c r="N955" s="2" t="n"/>
      <c r="O955" s="3" t="inlineStr">
        <is>
          <t>https://vanillabonds.com/dossier-data/pdf/fastned/fastned-2024-annual-report.pdf#page=54</t>
        </is>
      </c>
    </row>
    <row r="956">
      <c r="A956" s="2" t="inlineStr">
        <is>
          <t>F955</t>
        </is>
      </c>
      <c r="B956" s="2" t="inlineStr">
        <is>
          <t>compliance</t>
        </is>
      </c>
      <c r="C956" s="2" t="inlineStr">
        <is>
          <t>esg_fact</t>
        </is>
      </c>
      <c r="D956" s="3" t="inlineStr">
        <is>
          <t>ESG fact: item (CSRD / VSME status, energy, emissions, taxonomy, permit, incident, labour); value; year; source</t>
        </is>
      </c>
      <c r="E956" s="2" t="n"/>
      <c r="F956" s="2" t="n">
        <v>8936.5</v>
      </c>
      <c r="G956" s="2" t="n"/>
      <c r="H956" s="3" t="inlineStr">
        <is>
          <t>item: Scope 1, 2 and 3 emissions; value: 8,936.5 tonnes CO2; year: 2023; source: company</t>
        </is>
      </c>
      <c r="I956" s="2" t="inlineStr">
        <is>
          <t>S2</t>
        </is>
      </c>
      <c r="J956" s="2" t="n">
        <v>54</v>
      </c>
      <c r="K956" s="2" t="inlineStr">
        <is>
          <t>Total 7277.8 100 8936.5 100 8349 100 (7)</t>
        </is>
      </c>
      <c r="L956" s="2" t="inlineStr">
        <is>
          <t>pend</t>
        </is>
      </c>
      <c r="M956" s="2" t="n"/>
      <c r="N956" s="2" t="n"/>
      <c r="O956" s="3" t="inlineStr">
        <is>
          <t>https://vanillabonds.com/dossier-data/pdf/fastned/fastned-2024-annual-report.pdf#page=54</t>
        </is>
      </c>
    </row>
    <row r="957">
      <c r="A957" s="2" t="inlineStr">
        <is>
          <t>F956</t>
        </is>
      </c>
      <c r="B957" s="2" t="inlineStr">
        <is>
          <t>compliance</t>
        </is>
      </c>
      <c r="C957" s="2" t="inlineStr">
        <is>
          <t>esg_fact</t>
        </is>
      </c>
      <c r="D957" s="3" t="inlineStr">
        <is>
          <t>ESG fact: item (CSRD / VSME status, energy, emissions, taxonomy, permit, incident, labour); value; year; source</t>
        </is>
      </c>
      <c r="E957" s="2" t="n"/>
      <c r="F957" s="2" t="n">
        <v>7277.8</v>
      </c>
      <c r="G957" s="2" t="n"/>
      <c r="H957" s="3" t="inlineStr">
        <is>
          <t>item: Scope 1, 2 and 3 emissions (base year); value: 7,277.8 tonnes CO2; year: 2022; source: company</t>
        </is>
      </c>
      <c r="I957" s="2" t="inlineStr">
        <is>
          <t>S2</t>
        </is>
      </c>
      <c r="J957" s="2" t="n">
        <v>54</v>
      </c>
      <c r="K957" s="2" t="inlineStr">
        <is>
          <t>Total 7277.8 100 8936.5 100 8349 100 (7)</t>
        </is>
      </c>
      <c r="L957" s="2" t="inlineStr">
        <is>
          <t>pend</t>
        </is>
      </c>
      <c r="M957" s="2" t="n"/>
      <c r="N957" s="2" t="n"/>
      <c r="O957" s="3" t="inlineStr">
        <is>
          <t>https://vanillabonds.com/dossier-data/pdf/fastned/fastned-2024-annual-report.pdf#page=54</t>
        </is>
      </c>
    </row>
    <row r="958">
      <c r="A958" s="2" t="inlineStr">
        <is>
          <t>F957</t>
        </is>
      </c>
      <c r="B958" s="2" t="inlineStr">
        <is>
          <t>compliance</t>
        </is>
      </c>
      <c r="C958" s="2" t="inlineStr">
        <is>
          <t>esg_fact</t>
        </is>
      </c>
      <c r="D958" s="3" t="inlineStr">
        <is>
          <t>ESG fact: item (CSRD / VSME status, energy, emissions, taxonomy, permit, incident, labour); value; year; source</t>
        </is>
      </c>
      <c r="E958" s="2" t="n"/>
      <c r="F958" s="2" t="n"/>
      <c r="G958" s="2" t="n"/>
      <c r="H958" s="3" t="inlineStr">
        <is>
          <t>item: business travel emissions; value: +432% in 2024 with new offices in Madrid, Milan and Copenhagen; year: 2024; source: company</t>
        </is>
      </c>
      <c r="I958" s="2" t="inlineStr">
        <is>
          <t>S2</t>
        </is>
      </c>
      <c r="J958" s="2" t="n">
        <v>55</v>
      </c>
      <c r="K958" s="3" t="inlineStr">
        <is>
          <t>The company’s business travel reflects this, as we saw a 432% increase in related emissions.</t>
        </is>
      </c>
      <c r="L958" s="2" t="inlineStr">
        <is>
          <t>pend</t>
        </is>
      </c>
      <c r="M958" s="2" t="n"/>
      <c r="N958" s="2" t="n"/>
      <c r="O958" s="3" t="inlineStr">
        <is>
          <t>https://vanillabonds.com/dossier-data/pdf/fastned/fastned-2024-annual-report.pdf#page=55</t>
        </is>
      </c>
    </row>
    <row r="959">
      <c r="A959" s="2" t="inlineStr">
        <is>
          <t>F958</t>
        </is>
      </c>
      <c r="B959" s="2" t="inlineStr">
        <is>
          <t>compliance</t>
        </is>
      </c>
      <c r="C959" s="2" t="inlineStr">
        <is>
          <t>esg_fact</t>
        </is>
      </c>
      <c r="D959" s="3" t="inlineStr">
        <is>
          <t>ESG fact: item (CSRD / VSME status, energy, emissions, taxonomy, permit, incident, labour); value; year; source</t>
        </is>
      </c>
      <c r="E959" s="2" t="n"/>
      <c r="F959" s="2" t="n"/>
      <c r="G959" s="2" t="n"/>
      <c r="H959" s="3" t="inlineStr">
        <is>
          <t>item: emissions reduction targets; value: scope 1 CO2/kWh sold -45% by 2025 and -65% by 2030 vs 2022; scope 2 and travel -35%/-60%; commuting and capital goods -40%/-60%; year: 2024; source: company</t>
        </is>
      </c>
      <c r="I959" s="2" t="inlineStr">
        <is>
          <t>S2</t>
        </is>
      </c>
      <c r="J959" s="2" t="n">
        <v>57</v>
      </c>
      <c r="K959" s="3" t="inlineStr">
        <is>
          <t>By 2025, CO2 emissions/kWh sold reduced by 45% (2022 as base year)</t>
        </is>
      </c>
      <c r="L959" s="2" t="inlineStr">
        <is>
          <t>pend</t>
        </is>
      </c>
      <c r="M959" s="2" t="n"/>
      <c r="N959" s="2" t="n"/>
      <c r="O959" s="3" t="inlineStr">
        <is>
          <t>https://vanillabonds.com/dossier-data/pdf/fastned/fastned-2024-annual-report.pdf#page=57</t>
        </is>
      </c>
    </row>
    <row r="960">
      <c r="A960" s="2" t="inlineStr">
        <is>
          <t>F959</t>
        </is>
      </c>
      <c r="B960" s="2" t="inlineStr">
        <is>
          <t>compliance</t>
        </is>
      </c>
      <c r="C960" s="2" t="inlineStr">
        <is>
          <t>esg_fact</t>
        </is>
      </c>
      <c r="D960" s="3" t="inlineStr">
        <is>
          <t>ESG fact: item (CSRD / VSME status, energy, emissions, taxonomy, permit, incident, labour); value; year; source</t>
        </is>
      </c>
      <c r="E960" s="2" t="n"/>
      <c r="F960" s="2" t="n"/>
      <c r="G960" s="2" t="n"/>
      <c r="H960" s="3" t="inlineStr">
        <is>
          <t>item: renewable energy units (HBEs) sold; value: revenue EUR 6.8m (2023: 3.4m), sold in the same period as the underlying kWh; year: 2024; source: note 6</t>
        </is>
      </c>
      <c r="I960" s="2" t="inlineStr">
        <is>
          <t>S2</t>
        </is>
      </c>
      <c r="J960" s="2" t="n">
        <v>129</v>
      </c>
      <c r="K960" s="3" t="inlineStr">
        <is>
          <t>Sales of renewable energy units Goods transferred at a point in time 6,839 3,372</t>
        </is>
      </c>
      <c r="L960" s="2" t="inlineStr">
        <is>
          <t>pend</t>
        </is>
      </c>
      <c r="M960" s="2" t="n"/>
      <c r="N960" s="2" t="n"/>
      <c r="O960" s="3" t="inlineStr">
        <is>
          <t>https://vanillabonds.com/dossier-data/pdf/fastned/fastned-2024-annual-report.pdf#page=129</t>
        </is>
      </c>
    </row>
    <row r="961">
      <c r="A961" s="2" t="inlineStr">
        <is>
          <t>F960</t>
        </is>
      </c>
      <c r="B961" s="2" t="inlineStr">
        <is>
          <t>compliance</t>
        </is>
      </c>
      <c r="C961" s="2" t="inlineStr">
        <is>
          <t>esg_fact</t>
        </is>
      </c>
      <c r="D961" s="3" t="inlineStr">
        <is>
          <t>ESG fact: item (CSRD / VSME status, energy, emissions, taxonomy, permit, incident, labour); value; year; source</t>
        </is>
      </c>
      <c r="E961" s="2" t="n"/>
      <c r="F961" s="2" t="n"/>
      <c r="G961" s="2" t="n"/>
      <c r="H961" s="3" t="inlineStr">
        <is>
          <t>item: government grants (German regional tender and others); value: EUR 4.30m received in 2024 (2023: 2.61m), grant assets NBV EUR 8.2m netted in PP&amp;E; year: 2024; source: note 12</t>
        </is>
      </c>
      <c r="I961" s="2" t="inlineStr">
        <is>
          <t>S2</t>
        </is>
      </c>
      <c r="J961" s="2" t="n">
        <v>143</v>
      </c>
      <c r="K961" s="3" t="inlineStr">
        <is>
          <t>amounts to € 4.30 million (2023: 2.61 million). Net book value of the government</t>
        </is>
      </c>
      <c r="L961" s="2" t="inlineStr">
        <is>
          <t>pend</t>
        </is>
      </c>
      <c r="M961" s="2" t="n"/>
      <c r="N961" s="2" t="n"/>
      <c r="O961" s="3" t="inlineStr">
        <is>
          <t>https://vanillabonds.com/dossier-data/pdf/fastned/fastned-2024-annual-report.pdf#page=143</t>
        </is>
      </c>
    </row>
    <row r="962">
      <c r="A962" s="2" t="inlineStr">
        <is>
          <t>F961</t>
        </is>
      </c>
      <c r="B962" s="2" t="inlineStr">
        <is>
          <t>compliance</t>
        </is>
      </c>
      <c r="C962" s="2" t="inlineStr">
        <is>
          <t>esg_fact</t>
        </is>
      </c>
      <c r="D962" s="3" t="inlineStr">
        <is>
          <t>ESG fact: item (CSRD / VSME status, energy, emissions, taxonomy, permit, incident, labour); value; year; source</t>
        </is>
      </c>
      <c r="E962" s="2" t="n"/>
      <c r="F962" s="2" t="n"/>
      <c r="G962" s="2" t="n"/>
      <c r="H962" s="3" t="inlineStr">
        <is>
          <t>item: ESG KPI assurance; value: limited assurance by BDO on kWh sold, CO2 avoided, Guarantees of Origin purchased, Scope 1-3 emissions and gender ratio; year: 2024; source: assurance report of the independent accountant, 26 March 2025</t>
        </is>
      </c>
      <c r="I962" s="2" t="inlineStr">
        <is>
          <t>S2</t>
        </is>
      </c>
      <c r="J962" s="2" t="n">
        <v>196</v>
      </c>
      <c r="K962" s="3" t="inlineStr">
        <is>
          <t>We have examined whether the selected ESG key performance indicators,</t>
        </is>
      </c>
      <c r="L962" s="2" t="inlineStr">
        <is>
          <t>pend</t>
        </is>
      </c>
      <c r="M962" s="2" t="n"/>
      <c r="N962" s="2" t="n"/>
      <c r="O962" s="3" t="inlineStr">
        <is>
          <t>https://vanillabonds.com/dossier-data/pdf/fastned/fastned-2024-annual-report.pdf#page=196</t>
        </is>
      </c>
    </row>
    <row r="963">
      <c r="A963" s="2" t="inlineStr">
        <is>
          <t>F962</t>
        </is>
      </c>
      <c r="B963" s="2" t="inlineStr">
        <is>
          <t>compliance</t>
        </is>
      </c>
      <c r="C963" s="2" t="inlineStr">
        <is>
          <t>esg_fact</t>
        </is>
      </c>
      <c r="D963" s="3" t="inlineStr">
        <is>
          <t>ESG fact: item (CSRD / VSME status, energy, emissions, taxonomy, permit, incident, labour); value; year; source</t>
        </is>
      </c>
      <c r="E963" s="2" t="n"/>
      <c r="F963" s="2" t="n"/>
      <c r="G963" s="2" t="n"/>
      <c r="H963" s="3" t="inlineStr">
        <is>
          <t>item: UN SDGs; value: five SDGs adopted in 2022 (13 Climate Action, 11, 5, 9, 12); year: 2022; source: sustainability appendix</t>
        </is>
      </c>
      <c r="I963" s="2" t="inlineStr">
        <is>
          <t>S2</t>
        </is>
      </c>
      <c r="J963" s="2" t="n">
        <v>199</v>
      </c>
      <c r="K963" s="3" t="inlineStr">
        <is>
          <t>In 2022, Fastned adopted five United Nations (UN) Sustainable Development</t>
        </is>
      </c>
      <c r="L963" s="2" t="inlineStr">
        <is>
          <t>pend</t>
        </is>
      </c>
      <c r="M963" s="2" t="n"/>
      <c r="N963" s="2" t="n"/>
      <c r="O963" s="3" t="inlineStr">
        <is>
          <t>https://vanillabonds.com/dossier-data/pdf/fastned/fastned-2024-annual-report.pdf#page=199</t>
        </is>
      </c>
    </row>
    <row r="964">
      <c r="A964" s="2" t="inlineStr">
        <is>
          <t>F963</t>
        </is>
      </c>
      <c r="B964" s="2" t="inlineStr">
        <is>
          <t>compliance</t>
        </is>
      </c>
      <c r="C964" s="2" t="inlineStr">
        <is>
          <t>esg_fact</t>
        </is>
      </c>
      <c r="D964" s="3" t="inlineStr">
        <is>
          <t>ESG fact: item (CSRD / VSME status, energy, emissions, taxonomy, permit, incident, labour); value; year; source</t>
        </is>
      </c>
      <c r="E964" s="2" t="n"/>
      <c r="F964" s="2" t="n"/>
      <c r="G964" s="2" t="n"/>
      <c r="H964" s="3" t="inlineStr">
        <is>
          <t>item: Guarantees of Origin; value: verified by an independent third party in 2024, statement published on website, to be repeated annually; year: 2024; source: stakeholder section</t>
        </is>
      </c>
      <c r="I964" s="2" t="inlineStr">
        <is>
          <t>S2</t>
        </is>
      </c>
      <c r="J964" s="2" t="n">
        <v>200</v>
      </c>
      <c r="K964" s="3" t="inlineStr">
        <is>
          <t>Guarantees of Origin with an independent third party and shared the official</t>
        </is>
      </c>
      <c r="L964" s="2" t="inlineStr">
        <is>
          <t>pend</t>
        </is>
      </c>
      <c r="M964" s="2" t="n"/>
      <c r="N964" s="2" t="n"/>
      <c r="O964" s="3" t="inlineStr">
        <is>
          <t>https://vanillabonds.com/dossier-data/pdf/fastned/fastned-2024-annual-report.pdf#page=200</t>
        </is>
      </c>
    </row>
    <row r="965">
      <c r="A965" s="2" t="inlineStr">
        <is>
          <t>F964</t>
        </is>
      </c>
      <c r="B965" s="2" t="inlineStr">
        <is>
          <t>compliance</t>
        </is>
      </c>
      <c r="C965" s="2" t="inlineStr">
        <is>
          <t>esg_fact</t>
        </is>
      </c>
      <c r="D965" s="3" t="inlineStr">
        <is>
          <t>ESG fact: item (CSRD / VSME status, energy, emissions, taxonomy, permit, incident, labour); value; year; source</t>
        </is>
      </c>
      <c r="E965" s="2" t="n"/>
      <c r="F965" s="2" t="n"/>
      <c r="G965" s="2" t="n"/>
      <c r="H965" s="3" t="inlineStr">
        <is>
          <t>item: CSRD / reporting framework status; value: GRI Standards used as guidance, report 'not prepared with reference to the GRI Standards'; year: 2024; source: GRI content index</t>
        </is>
      </c>
      <c r="I965" s="2" t="inlineStr">
        <is>
          <t>S2</t>
        </is>
      </c>
      <c r="J965" s="2" t="n">
        <v>204</v>
      </c>
      <c r="K965" s="3" t="inlineStr">
        <is>
          <t>This report is not prepared with reference to the GRI Standards.</t>
        </is>
      </c>
      <c r="L965" s="2" t="inlineStr">
        <is>
          <t>pend</t>
        </is>
      </c>
      <c r="M965" s="2" t="n"/>
      <c r="N965" s="2" t="n"/>
      <c r="O965" s="3" t="inlineStr">
        <is>
          <t>https://vanillabonds.com/dossier-data/pdf/fastned/fastned-2024-annual-report.pdf#page=204</t>
        </is>
      </c>
    </row>
    <row r="966">
      <c r="A966" s="2" t="inlineStr">
        <is>
          <t>F965</t>
        </is>
      </c>
      <c r="B966" s="2" t="inlineStr">
        <is>
          <t>compliance</t>
        </is>
      </c>
      <c r="C966" s="2" t="inlineStr">
        <is>
          <t>esg_fact</t>
        </is>
      </c>
      <c r="D966" s="3" t="inlineStr">
        <is>
          <t>ESG fact: item (CSRD / VSME status, energy, emissions, taxonomy, permit, incident, labour); value; year; source</t>
        </is>
      </c>
      <c r="E966" s="2" t="n"/>
      <c r="F966" s="2" t="n"/>
      <c r="G966" s="2" t="n"/>
      <c r="H966" s="3" t="inlineStr">
        <is>
          <t>item: policies; value: Supplier Code of Conduct and whistleblower policy in place (GRI 2-23, 2-26); year: 2024; source: GRI content index</t>
        </is>
      </c>
      <c r="I966" s="2" t="inlineStr">
        <is>
          <t>S2</t>
        </is>
      </c>
      <c r="J966" s="2" t="n">
        <v>205</v>
      </c>
      <c r="K966" s="3" t="inlineStr">
        <is>
          <t>Supplier Code of Conduct, Whistleblower policy</t>
        </is>
      </c>
      <c r="L966" s="2" t="inlineStr">
        <is>
          <t>pend</t>
        </is>
      </c>
      <c r="M966" s="2" t="n"/>
      <c r="N966" s="2" t="n"/>
      <c r="O966" s="3" t="inlineStr">
        <is>
          <t>https://vanillabonds.com/dossier-data/pdf/fastned/fastned-2024-annual-report.pdf#page=205</t>
        </is>
      </c>
    </row>
    <row r="967">
      <c r="A967" s="2" t="inlineStr">
        <is>
          <t>F966</t>
        </is>
      </c>
      <c r="B967" s="2" t="inlineStr">
        <is>
          <t>compliance</t>
        </is>
      </c>
      <c r="C967" s="2" t="inlineStr">
        <is>
          <t>esg_fact</t>
        </is>
      </c>
      <c r="D967" s="3" t="inlineStr">
        <is>
          <t>ESG fact: item (CSRD / VSME status, energy, emissions, taxonomy, permit, incident, labour); value; year; source</t>
        </is>
      </c>
      <c r="E967" s="2" t="n"/>
      <c r="F967" s="2" t="n"/>
      <c r="G967" s="2" t="n"/>
      <c r="H967" s="3" t="inlineStr">
        <is>
          <t>item: labour; value: Works Council in place (GRI 2-30 collective bargaining); year: 2024; source: GRI content index</t>
        </is>
      </c>
      <c r="I967" s="2" t="inlineStr">
        <is>
          <t>S2</t>
        </is>
      </c>
      <c r="J967" s="2" t="n">
        <v>206</v>
      </c>
      <c r="K967" s="3" t="inlineStr">
        <is>
          <t>2-30 Collective bargaining agreements Works Council</t>
        </is>
      </c>
      <c r="L967" s="2" t="inlineStr">
        <is>
          <t>pend</t>
        </is>
      </c>
      <c r="M967" s="2" t="n"/>
      <c r="N967" s="2" t="n"/>
      <c r="O967" s="3" t="inlineStr">
        <is>
          <t>https://vanillabonds.com/dossier-data/pdf/fastned/fastned-2024-annual-report.pdf#page=206</t>
        </is>
      </c>
    </row>
    <row r="968">
      <c r="A968" s="2" t="inlineStr">
        <is>
          <t>F967</t>
        </is>
      </c>
      <c r="B968" s="2" t="inlineStr">
        <is>
          <t>market_data</t>
        </is>
      </c>
      <c r="C968" s="2" t="inlineStr">
        <is>
          <t>instrument_term</t>
        </is>
      </c>
      <c r="D968" s="3" t="inlineStr">
        <is>
          <t>Instrument term: term (rate type, base rate, maturity, call, listing, ISIN, denomination, settlement, holders, transfer); value</t>
        </is>
      </c>
      <c r="E968" s="2" t="n"/>
      <c r="F968" s="2" t="n"/>
      <c r="G968" s="2" t="n"/>
      <c r="H968" s="3" t="inlineStr">
        <is>
          <t>term: maturity; value: bonds mature after 5 years</t>
        </is>
      </c>
      <c r="I968" s="2" t="inlineStr">
        <is>
          <t>S2</t>
        </is>
      </c>
      <c r="J968" s="2" t="n">
        <v>147</v>
      </c>
      <c r="K968" s="3" t="inlineStr">
        <is>
          <t>The bonds mature after 5 years. The purpose of the bond is to finance new</t>
        </is>
      </c>
      <c r="L968" s="2" t="inlineStr">
        <is>
          <t>pend</t>
        </is>
      </c>
      <c r="M968" s="2" t="n"/>
      <c r="N968" s="2" t="n"/>
      <c r="O968" s="3" t="inlineStr">
        <is>
          <t>https://vanillabonds.com/dossier-data/pdf/fastned/fastned-2024-annual-report.pdf#page=147</t>
        </is>
      </c>
    </row>
    <row r="969">
      <c r="A969" s="2" t="inlineStr">
        <is>
          <t>F968</t>
        </is>
      </c>
      <c r="B969" s="2" t="inlineStr">
        <is>
          <t>market_data</t>
        </is>
      </c>
      <c r="C969" s="2" t="inlineStr">
        <is>
          <t>instrument_term</t>
        </is>
      </c>
      <c r="D969" s="3" t="inlineStr">
        <is>
          <t>Instrument term: term (rate type, base rate, maturity, call, listing, ISIN, denomination, settlement, holders, transfer); value</t>
        </is>
      </c>
      <c r="E969" s="2" t="n"/>
      <c r="F969" s="2" t="n"/>
      <c r="G969" s="2" t="n"/>
      <c r="H969" s="3" t="inlineStr">
        <is>
          <t>term: security; value: none, bonds unsecured</t>
        </is>
      </c>
      <c r="I969" s="2" t="inlineStr">
        <is>
          <t>S2</t>
        </is>
      </c>
      <c r="J969" s="2" t="n">
        <v>147</v>
      </c>
      <c r="K969" s="3" t="inlineStr">
        <is>
          <t>stations and operating expenses. There are no securities for the bonds and there</t>
        </is>
      </c>
      <c r="L969" s="2" t="inlineStr">
        <is>
          <t>pend</t>
        </is>
      </c>
      <c r="M969" s="2" t="n"/>
      <c r="N969" s="2" t="n"/>
      <c r="O969" s="3" t="inlineStr">
        <is>
          <t>https://vanillabonds.com/dossier-data/pdf/fastned/fastned-2024-annual-report.pdf#page=147</t>
        </is>
      </c>
    </row>
    <row r="970">
      <c r="A970" s="2" t="inlineStr">
        <is>
          <t>F969</t>
        </is>
      </c>
      <c r="B970" s="2" t="inlineStr">
        <is>
          <t>market_data</t>
        </is>
      </c>
      <c r="C970" s="2" t="inlineStr">
        <is>
          <t>instrument_term</t>
        </is>
      </c>
      <c r="D970" s="3" t="inlineStr">
        <is>
          <t>Instrument term: term (rate type, base rate, maturity, call, listing, ISIN, denomination, settlement, holders, transfer); value</t>
        </is>
      </c>
      <c r="E970" s="2" t="n"/>
      <c r="F970" s="2" t="n"/>
      <c r="G970" s="2" t="n"/>
      <c r="H970" s="2" t="inlineStr">
        <is>
          <t>term: ranking; value: not subordinated</t>
        </is>
      </c>
      <c r="I970" s="2" t="inlineStr">
        <is>
          <t>S2</t>
        </is>
      </c>
      <c r="J970" s="2" t="n">
        <v>147</v>
      </c>
      <c r="K970" s="3" t="inlineStr">
        <is>
          <t>The bonds are not subordinated and trading is very limited as they are not</t>
        </is>
      </c>
      <c r="L970" s="2" t="inlineStr">
        <is>
          <t>pend</t>
        </is>
      </c>
      <c r="M970" s="2" t="n"/>
      <c r="N970" s="2" t="n"/>
      <c r="O970" s="3" t="inlineStr">
        <is>
          <t>https://vanillabonds.com/dossier-data/pdf/fastned/fastned-2024-annual-report.pdf#page=147</t>
        </is>
      </c>
    </row>
    <row r="971">
      <c r="A971" s="2" t="inlineStr">
        <is>
          <t>F970</t>
        </is>
      </c>
      <c r="B971" s="2" t="inlineStr">
        <is>
          <t>market_data</t>
        </is>
      </c>
      <c r="C971" s="2" t="inlineStr">
        <is>
          <t>instrument_term</t>
        </is>
      </c>
      <c r="D971" s="3" t="inlineStr">
        <is>
          <t>Instrument term: term (rate type, base rate, maturity, call, listing, ISIN, denomination, settlement, holders, transfer); value</t>
        </is>
      </c>
      <c r="E971" s="2" t="n"/>
      <c r="F971" s="2" t="n"/>
      <c r="G971" s="2" t="n"/>
      <c r="H971" s="3" t="inlineStr">
        <is>
          <t>term: listing; value: not registered on any exchange, trading 'very limited' (company)</t>
        </is>
      </c>
      <c r="I971" s="2" t="inlineStr">
        <is>
          <t>S2</t>
        </is>
      </c>
      <c r="J971" s="2" t="n">
        <v>147</v>
      </c>
      <c r="K971" s="3" t="inlineStr">
        <is>
          <t>trading is very limited as they are not registered on any exchange.</t>
        </is>
      </c>
      <c r="L971" s="2" t="inlineStr">
        <is>
          <t>pend</t>
        </is>
      </c>
      <c r="M971" s="2" t="n"/>
      <c r="N971" s="2" t="n"/>
      <c r="O971" s="3" t="inlineStr">
        <is>
          <t>https://vanillabonds.com/dossier-data/pdf/fastned/fastned-2024-annual-report.pdf#page=147</t>
        </is>
      </c>
    </row>
    <row r="972">
      <c r="A972" s="2" t="inlineStr">
        <is>
          <t>F971</t>
        </is>
      </c>
      <c r="B972" s="2" t="inlineStr">
        <is>
          <t>market_data</t>
        </is>
      </c>
      <c r="C972" s="2" t="inlineStr">
        <is>
          <t>instrument_term</t>
        </is>
      </c>
      <c r="D972" s="3" t="inlineStr">
        <is>
          <t>Instrument term: term (rate type, base rate, maturity, call, listing, ISIN, denomination, settlement, holders, transfer); value</t>
        </is>
      </c>
      <c r="E972" s="2" t="n"/>
      <c r="F972" s="2" t="n"/>
      <c r="G972" s="2" t="n"/>
      <c r="H972" s="3" t="inlineStr">
        <is>
          <t>term: coupon payment; value: quarterly in arrears (5.5% to 6.0% per annum on 2024 issues)</t>
        </is>
      </c>
      <c r="I972" s="2" t="inlineStr">
        <is>
          <t>S2</t>
        </is>
      </c>
      <c r="J972" s="2" t="n">
        <v>147</v>
      </c>
      <c r="K972" s="3" t="inlineStr">
        <is>
          <t>Interest on this bond is 5.5% per annum, payable quarterly in arrears.</t>
        </is>
      </c>
      <c r="L972" s="2" t="inlineStr">
        <is>
          <t>pend</t>
        </is>
      </c>
      <c r="M972" s="2" t="n"/>
      <c r="N972" s="2" t="n"/>
      <c r="O972" s="3" t="inlineStr">
        <is>
          <t>https://vanillabonds.com/dossier-data/pdf/fastned/fastned-2024-annual-report.pdf#page=147</t>
        </is>
      </c>
    </row>
    <row r="973">
      <c r="A973" s="2" t="inlineStr">
        <is>
          <t>F972</t>
        </is>
      </c>
      <c r="B973" s="2" t="inlineStr">
        <is>
          <t>market_data</t>
        </is>
      </c>
      <c r="C973" s="2" t="inlineStr">
        <is>
          <t>instrument_term</t>
        </is>
      </c>
      <c r="D973" s="3" t="inlineStr">
        <is>
          <t>Instrument term: term (rate type, base rate, maturity, call, listing, ISIN, denomination, settlement, holders, transfer); value</t>
        </is>
      </c>
      <c r="E973" s="2" t="n"/>
      <c r="F973" s="2" t="n"/>
      <c r="G973" s="2" t="n"/>
      <c r="H973" s="3" t="inlineStr">
        <is>
          <t>term: purpose; value: finance new stations and operating expenses</t>
        </is>
      </c>
      <c r="I973" s="2" t="inlineStr">
        <is>
          <t>S2</t>
        </is>
      </c>
      <c r="J973" s="2" t="n">
        <v>147</v>
      </c>
      <c r="K973" s="3" t="inlineStr">
        <is>
          <t>The purpose of the bond is to finance new stations and operating expenses.</t>
        </is>
      </c>
      <c r="L973" s="2" t="inlineStr">
        <is>
          <t>pend</t>
        </is>
      </c>
      <c r="M973" s="2" t="n"/>
      <c r="N973" s="2" t="n"/>
      <c r="O973" s="3" t="inlineStr">
        <is>
          <t>https://vanillabonds.com/dossier-data/pdf/fastned/fastned-2024-annual-report.pdf#page=147</t>
        </is>
      </c>
    </row>
    <row r="974">
      <c r="A974" s="2" t="inlineStr">
        <is>
          <t>F973</t>
        </is>
      </c>
      <c r="B974" s="2" t="inlineStr">
        <is>
          <t>market_data</t>
        </is>
      </c>
      <c r="C974" s="2" t="inlineStr">
        <is>
          <t>instrument_term</t>
        </is>
      </c>
      <c r="D974" s="3" t="inlineStr">
        <is>
          <t>Instrument term: term (rate type, base rate, maturity, call, listing, ISIN, denomination, settlement, holders, transfer); value</t>
        </is>
      </c>
      <c r="E974" s="2" t="n"/>
      <c r="F974" s="2" t="n"/>
      <c r="G974" s="2" t="n"/>
      <c r="H974" s="3" t="inlineStr">
        <is>
          <t>term: rate type (Caisse des Depots loan); value: 4% fixed capitalised in first three years, variable component based on kWh sold after three years, payable annually in arrears</t>
        </is>
      </c>
      <c r="I974" s="2" t="inlineStr">
        <is>
          <t>S2</t>
        </is>
      </c>
      <c r="J974" s="2" t="n">
        <v>147</v>
      </c>
      <c r="K974" s="3" t="inlineStr">
        <is>
          <t>million in interest was capitalised. A variable component will be added after three</t>
        </is>
      </c>
      <c r="L974" s="2" t="inlineStr">
        <is>
          <t>pend</t>
        </is>
      </c>
      <c r="M974" s="2" t="n"/>
      <c r="N974" s="2" t="n"/>
      <c r="O974" s="3" t="inlineStr">
        <is>
          <t>https://vanillabonds.com/dossier-data/pdf/fastned/fastned-2024-annual-report.pdf#page=147</t>
        </is>
      </c>
    </row>
    <row r="975">
      <c r="A975" s="2" t="inlineStr">
        <is>
          <t>F974</t>
        </is>
      </c>
      <c r="B975" s="2" t="inlineStr">
        <is>
          <t>market_data</t>
        </is>
      </c>
      <c r="C975" s="2" t="inlineStr">
        <is>
          <t>instrument_term</t>
        </is>
      </c>
      <c r="D975" s="3" t="inlineStr">
        <is>
          <t>Instrument term: term (rate type, base rate, maturity, call, listing, ISIN, denomination, settlement, holders, transfer); value</t>
        </is>
      </c>
      <c r="E975" s="2" t="n"/>
      <c r="F975" s="2" t="n"/>
      <c r="G975" s="2" t="n"/>
      <c r="H975" s="3" t="inlineStr">
        <is>
          <t>term: repayment (German grant loan); value: interest-free liability unwound over the term, reduced through fee-sharing arrangement</t>
        </is>
      </c>
      <c r="I975" s="2" t="inlineStr">
        <is>
          <t>S2</t>
        </is>
      </c>
      <c r="J975" s="2" t="n">
        <v>147</v>
      </c>
      <c r="K975" s="3" t="inlineStr">
        <is>
          <t>treated as an interest-free loan and treated as a financial liability, which is</t>
        </is>
      </c>
      <c r="L975" s="2" t="inlineStr">
        <is>
          <t>pend</t>
        </is>
      </c>
      <c r="M975" s="2" t="n"/>
      <c r="N975" s="2" t="n"/>
      <c r="O975" s="3" t="inlineStr">
        <is>
          <t>https://vanillabonds.com/dossier-data/pdf/fastned/fastned-2024-annual-report.pdf#page=147</t>
        </is>
      </c>
    </row>
    <row r="976">
      <c r="A976" s="2" t="inlineStr">
        <is>
          <t>F975</t>
        </is>
      </c>
      <c r="B976" s="2" t="inlineStr">
        <is>
          <t>market_data</t>
        </is>
      </c>
      <c r="C976" s="2" t="inlineStr">
        <is>
          <t>instrument_term</t>
        </is>
      </c>
      <c r="D976" s="3" t="inlineStr">
        <is>
          <t>Instrument term: term (rate type, base rate, maturity, call, listing, ISIN, denomination, settlement, holders, transfer); value</t>
        </is>
      </c>
      <c r="E976" s="2" t="n"/>
      <c r="F976" s="2" t="n"/>
      <c r="G976" s="2" t="n"/>
      <c r="H976" s="3" t="inlineStr">
        <is>
          <t>term: holders; value: retail investors (retail bond transactions, direct mail, retail investor fairs, marketing for new bond issuances)</t>
        </is>
      </c>
      <c r="I976" s="2" t="inlineStr">
        <is>
          <t>S2</t>
        </is>
      </c>
      <c r="J976" s="2" t="n">
        <v>202</v>
      </c>
      <c r="K976" s="2" t="inlineStr">
        <is>
          <t>Retail bond transactions</t>
        </is>
      </c>
      <c r="L976" s="2" t="inlineStr">
        <is>
          <t>pend</t>
        </is>
      </c>
      <c r="M976" s="2" t="n"/>
      <c r="N976" s="2" t="n"/>
      <c r="O976" s="3" t="inlineStr">
        <is>
          <t>https://vanillabonds.com/dossier-data/pdf/fastned/fastned-2024-annual-report.pdf#page=202</t>
        </is>
      </c>
    </row>
    <row r="977">
      <c r="A977" s="2" t="inlineStr">
        <is>
          <t>F976</t>
        </is>
      </c>
      <c r="B977" s="2" t="inlineStr">
        <is>
          <t>identity</t>
        </is>
      </c>
      <c r="C977" s="2" t="inlineStr">
        <is>
          <t>legal_name</t>
        </is>
      </c>
      <c r="D977" s="2" t="inlineStr">
        <is>
          <t>Legal name</t>
        </is>
      </c>
      <c r="E977" s="2" t="n"/>
      <c r="F977" s="2" t="n"/>
      <c r="G977" s="2" t="n"/>
      <c r="H977" s="2" t="inlineStr">
        <is>
          <t>Fastned B.V.</t>
        </is>
      </c>
      <c r="I977" s="2" t="inlineStr">
        <is>
          <t>S3</t>
        </is>
      </c>
      <c r="J977" s="2" t="n">
        <v>217</v>
      </c>
      <c r="K977" s="3" t="inlineStr">
        <is>
          <t>We have audited the financial statements 2025 of Fastned B.V. (“Fastned” or “the Company”) based in Amsterdam.</t>
        </is>
      </c>
      <c r="L977" s="2" t="inlineStr">
        <is>
          <t>pend</t>
        </is>
      </c>
      <c r="M977" s="2" t="n"/>
      <c r="N977" s="2" t="n"/>
      <c r="O977" s="3" t="inlineStr">
        <is>
          <t>https://vanillabonds.com/dossier-data/pdf/fastned/fastned-2025-annual-report.pdf#page=217</t>
        </is>
      </c>
    </row>
    <row r="978">
      <c r="A978" s="2" t="inlineStr">
        <is>
          <t>F977</t>
        </is>
      </c>
      <c r="B978" s="2" t="inlineStr">
        <is>
          <t>identity</t>
        </is>
      </c>
      <c r="C978" s="2" t="inlineStr">
        <is>
          <t>legal_form</t>
        </is>
      </c>
      <c r="D978" s="2" t="inlineStr">
        <is>
          <t>Legal form</t>
        </is>
      </c>
      <c r="E978" s="2" t="n"/>
      <c r="F978" s="2" t="n"/>
      <c r="G978" s="2" t="n"/>
      <c r="H978" s="3" t="inlineStr">
        <is>
          <t>Dutch B.V. (private limited liability company)</t>
        </is>
      </c>
      <c r="I978" s="2" t="inlineStr">
        <is>
          <t>S3</t>
        </is>
      </c>
      <c r="J978" s="2" t="n">
        <v>86</v>
      </c>
      <c r="K978" s="3" t="inlineStr">
        <is>
          <t>Fastned B.V. (Fastned) is a private liability company incorporated under Dutch law</t>
        </is>
      </c>
      <c r="L978" s="2" t="inlineStr">
        <is>
          <t>pend</t>
        </is>
      </c>
      <c r="M978" s="2" t="n"/>
      <c r="N978" s="2" t="n"/>
      <c r="O978" s="3" t="inlineStr">
        <is>
          <t>https://vanillabonds.com/dossier-data/pdf/fastned/fastned-2025-annual-report.pdf#page=86</t>
        </is>
      </c>
    </row>
    <row r="979">
      <c r="A979" s="2" t="inlineStr">
        <is>
          <t>F978</t>
        </is>
      </c>
      <c r="B979" s="2" t="inlineStr">
        <is>
          <t>identity</t>
        </is>
      </c>
      <c r="C979" s="2" t="inlineStr">
        <is>
          <t>legal_form</t>
        </is>
      </c>
      <c r="D979" s="2" t="inlineStr">
        <is>
          <t>Legal form</t>
        </is>
      </c>
      <c r="E979" s="2" t="n"/>
      <c r="F979" s="2" t="n"/>
      <c r="G979" s="2" t="n"/>
      <c r="H979" s="2" t="inlineStr">
        <is>
          <t>Dutch B.V. (limited company)</t>
        </is>
      </c>
      <c r="I979" s="2" t="inlineStr">
        <is>
          <t>S3</t>
        </is>
      </c>
      <c r="J979" s="2" t="n">
        <v>122</v>
      </c>
      <c r="K979" s="3" t="inlineStr">
        <is>
          <t>Fastned B.V. is a limited company incorporated and domiciled in the Netherlands</t>
        </is>
      </c>
      <c r="L979" s="2" t="inlineStr">
        <is>
          <t>pend</t>
        </is>
      </c>
      <c r="M979" s="2" t="n"/>
      <c r="N979" s="2" t="n"/>
      <c r="O979" s="3" t="inlineStr">
        <is>
          <t>https://vanillabonds.com/dossier-data/pdf/fastned/fastned-2025-annual-report.pdf#page=122</t>
        </is>
      </c>
    </row>
    <row r="980">
      <c r="A980" s="2" t="inlineStr">
        <is>
          <t>F979</t>
        </is>
      </c>
      <c r="B980" s="2" t="inlineStr">
        <is>
          <t>identity</t>
        </is>
      </c>
      <c r="C980" s="2" t="inlineStr">
        <is>
          <t>legal_form</t>
        </is>
      </c>
      <c r="D980" s="2" t="inlineStr">
        <is>
          <t>Legal form</t>
        </is>
      </c>
      <c r="E980" s="2" t="n"/>
      <c r="F980" s="2" t="n"/>
      <c r="G980" s="2" t="n"/>
      <c r="H980" s="2" t="inlineStr">
        <is>
          <t>Dutch B.V.</t>
        </is>
      </c>
      <c r="I980" s="2" t="inlineStr">
        <is>
          <t>S3</t>
        </is>
      </c>
      <c r="J980" s="2" t="n">
        <v>217</v>
      </c>
      <c r="K980" s="3" t="inlineStr">
        <is>
          <t>We have audited the financial statements 2025 of Fastned B.V. (“Fastned” or “the Company”) based in Amsterdam.</t>
        </is>
      </c>
      <c r="L980" s="2" t="inlineStr">
        <is>
          <t>pend</t>
        </is>
      </c>
      <c r="M980" s="2" t="n"/>
      <c r="N980" s="2" t="n"/>
      <c r="O980" s="3" t="inlineStr">
        <is>
          <t>https://vanillabonds.com/dossier-data/pdf/fastned/fastned-2025-annual-report.pdf#page=217</t>
        </is>
      </c>
    </row>
    <row r="981">
      <c r="A981" s="2" t="inlineStr">
        <is>
          <t>F980</t>
        </is>
      </c>
      <c r="B981" s="2" t="inlineStr">
        <is>
          <t>identity</t>
        </is>
      </c>
      <c r="C981" s="2" t="inlineStr">
        <is>
          <t>registry</t>
        </is>
      </c>
      <c r="D981" s="2" t="inlineStr">
        <is>
          <t>Commercial register / registration no.</t>
        </is>
      </c>
      <c r="E981" s="2" t="n"/>
      <c r="F981" s="2" t="n"/>
      <c r="G981" s="2" t="n"/>
      <c r="H981" s="2" t="inlineStr">
        <is>
          <t>Dutch trade register (KvK) 54606179</t>
        </is>
      </c>
      <c r="I981" s="2" t="inlineStr">
        <is>
          <t>S3</t>
        </is>
      </c>
      <c r="J981" s="2" t="n">
        <v>122</v>
      </c>
      <c r="K981" s="3" t="inlineStr">
        <is>
          <t>registered with the Dutch trade register under number 54606179</t>
        </is>
      </c>
      <c r="L981" s="2" t="inlineStr">
        <is>
          <t>pend</t>
        </is>
      </c>
      <c r="M981" s="2" t="n"/>
      <c r="N981" s="2" t="n"/>
      <c r="O981" s="3" t="inlineStr">
        <is>
          <t>https://vanillabonds.com/dossier-data/pdf/fastned/fastned-2025-annual-report.pdf#page=122</t>
        </is>
      </c>
    </row>
    <row r="982">
      <c r="A982" s="2" t="inlineStr">
        <is>
          <t>F981</t>
        </is>
      </c>
      <c r="B982" s="2" t="inlineStr">
        <is>
          <t>identity</t>
        </is>
      </c>
      <c r="C982" s="2" t="inlineStr">
        <is>
          <t>founded</t>
        </is>
      </c>
      <c r="D982" s="2" t="inlineStr">
        <is>
          <t>Founded</t>
        </is>
      </c>
      <c r="E982" s="2" t="n"/>
      <c r="F982" s="2" t="n"/>
      <c r="G982" s="2" t="n"/>
      <c r="H982" s="2" t="inlineStr">
        <is>
          <t>2012 (network build-out since 2012)</t>
        </is>
      </c>
      <c r="I982" s="2" t="inlineStr">
        <is>
          <t>S3</t>
        </is>
      </c>
      <c r="J982" s="2" t="n">
        <v>13</v>
      </c>
      <c r="K982" s="3" t="inlineStr">
        <is>
          <t>Since 2012 we have been building a network of fast charging stations</t>
        </is>
      </c>
      <c r="L982" s="2" t="inlineStr">
        <is>
          <t>pend</t>
        </is>
      </c>
      <c r="M982" s="2" t="n"/>
      <c r="N982" s="2" t="n"/>
      <c r="O982" s="3" t="inlineStr">
        <is>
          <t>https://vanillabonds.com/dossier-data/pdf/fastned/fastned-2025-annual-report.pdf#page=13</t>
        </is>
      </c>
    </row>
    <row r="983">
      <c r="A983" s="2" t="inlineStr">
        <is>
          <t>F982</t>
        </is>
      </c>
      <c r="B983" s="2" t="inlineStr">
        <is>
          <t>identity</t>
        </is>
      </c>
      <c r="C983" s="2" t="inlineStr">
        <is>
          <t>registered_office</t>
        </is>
      </c>
      <c r="D983" s="2" t="inlineStr">
        <is>
          <t>Registered office</t>
        </is>
      </c>
      <c r="E983" s="2" t="n"/>
      <c r="F983" s="2" t="n"/>
      <c r="G983" s="2" t="n"/>
      <c r="H983" s="3" t="inlineStr">
        <is>
          <t>Mondriaantoren, Amstelplein 44, Amsterdam</t>
        </is>
      </c>
      <c r="I983" s="2" t="inlineStr">
        <is>
          <t>S3</t>
        </is>
      </c>
      <c r="J983" s="2" t="n">
        <v>122</v>
      </c>
      <c r="K983" s="3" t="inlineStr">
        <is>
          <t>The registered office is located at Mondriaantoren, floor 21 and 22, Amstelplein 44 in Amsterdam.</t>
        </is>
      </c>
      <c r="L983" s="2" t="inlineStr">
        <is>
          <t>pend</t>
        </is>
      </c>
      <c r="M983" s="2" t="n"/>
      <c r="N983" s="2" t="n"/>
      <c r="O983" s="3" t="inlineStr">
        <is>
          <t>https://vanillabonds.com/dossier-data/pdf/fastned/fastned-2025-annual-report.pdf#page=122</t>
        </is>
      </c>
    </row>
    <row r="984">
      <c r="A984" s="2" t="inlineStr">
        <is>
          <t>F983</t>
        </is>
      </c>
      <c r="B984" s="2" t="inlineStr">
        <is>
          <t>identity</t>
        </is>
      </c>
      <c r="C984" s="2" t="inlineStr">
        <is>
          <t>registered_office</t>
        </is>
      </c>
      <c r="D984" s="2" t="inlineStr">
        <is>
          <t>Registered office</t>
        </is>
      </c>
      <c r="E984" s="2" t="n"/>
      <c r="F984" s="2" t="n"/>
      <c r="G984" s="2" t="n"/>
      <c r="H984" s="3" t="inlineStr">
        <is>
          <t>Amsterdam; office Amstelplein 44, 1096 BC Amsterdam</t>
        </is>
      </c>
      <c r="I984" s="2" t="inlineStr">
        <is>
          <t>S3</t>
        </is>
      </c>
      <c r="J984" s="2" t="n">
        <v>245</v>
      </c>
      <c r="K984" s="3" t="inlineStr">
        <is>
          <t>Fastned B.V 52.34419, 4.91760 Mondriaantoren, floor 21 &amp; 22, Amstelplein 44, 1096 BC Amsterdam</t>
        </is>
      </c>
      <c r="L984" s="2" t="inlineStr">
        <is>
          <t>pend</t>
        </is>
      </c>
      <c r="M984" s="2" t="n"/>
      <c r="N984" s="2" t="n"/>
      <c r="O984" s="3" t="inlineStr">
        <is>
          <t>https://vanillabonds.com/dossier-data/pdf/fastned/fastned-2025-annual-report.pdf#page=245</t>
        </is>
      </c>
    </row>
    <row r="985">
      <c r="A985" s="2" t="inlineStr">
        <is>
          <t>F984</t>
        </is>
      </c>
      <c r="B985" s="2" t="inlineStr">
        <is>
          <t>identity</t>
        </is>
      </c>
      <c r="C985" s="2" t="inlineStr">
        <is>
          <t>country</t>
        </is>
      </c>
      <c r="D985" s="2" t="inlineStr">
        <is>
          <t>Country of incorporation (ISO-2)</t>
        </is>
      </c>
      <c r="E985" s="2" t="n"/>
      <c r="F985" s="2" t="n"/>
      <c r="G985" s="2" t="n"/>
      <c r="H985" s="2" t="inlineStr">
        <is>
          <t>NL</t>
        </is>
      </c>
      <c r="I985" s="2" t="inlineStr">
        <is>
          <t>S3</t>
        </is>
      </c>
      <c r="J985" s="2" t="n">
        <v>217</v>
      </c>
      <c r="K985" s="3" t="inlineStr">
        <is>
          <t>We have audited the financial statements 2025 of Fastned B.V. (“Fastned” or “the Company”) based in Amsterdam.</t>
        </is>
      </c>
      <c r="L985" s="2" t="inlineStr">
        <is>
          <t>pend</t>
        </is>
      </c>
      <c r="M985" s="2" t="n"/>
      <c r="N985" s="2" t="n"/>
      <c r="O985" s="3" t="inlineStr">
        <is>
          <t>https://vanillabonds.com/dossier-data/pdf/fastned/fastned-2025-annual-report.pdf#page=217</t>
        </is>
      </c>
    </row>
    <row r="986">
      <c r="A986" s="2" t="inlineStr">
        <is>
          <t>F985</t>
        </is>
      </c>
      <c r="B986" s="2" t="inlineStr">
        <is>
          <t>identity</t>
        </is>
      </c>
      <c r="C986" s="2" t="inlineStr">
        <is>
          <t>sector</t>
        </is>
      </c>
      <c r="D986" s="2" t="inlineStr">
        <is>
          <t>Sector</t>
        </is>
      </c>
      <c r="E986" s="2" t="n"/>
      <c r="F986" s="2" t="n"/>
      <c r="G986" s="2" t="n"/>
      <c r="H986" s="3" t="inlineStr">
        <is>
          <t>EV fast-charging infrastructure; NACE F42.1.1</t>
        </is>
      </c>
      <c r="I986" s="2" t="inlineStr">
        <is>
          <t>S3</t>
        </is>
      </c>
      <c r="J986" s="2" t="n">
        <v>50</v>
      </c>
      <c r="K986" s="3" t="inlineStr">
        <is>
          <t>Fastned is a private limited liability undertaking, whose relevant NACE code is F42.1.1</t>
        </is>
      </c>
      <c r="L986" s="2" t="inlineStr">
        <is>
          <t>pend</t>
        </is>
      </c>
      <c r="M986" s="2" t="n"/>
      <c r="N986" s="2" t="n"/>
      <c r="O986" s="3" t="inlineStr">
        <is>
          <t>https://vanillabonds.com/dossier-data/pdf/fastned/fastned-2025-annual-report.pdf#page=50</t>
        </is>
      </c>
    </row>
    <row r="987">
      <c r="A987" s="2" t="inlineStr">
        <is>
          <t>F986</t>
        </is>
      </c>
      <c r="B987" s="2" t="inlineStr">
        <is>
          <t>identity</t>
        </is>
      </c>
      <c r="C987" s="2" t="inlineStr">
        <is>
          <t>sector</t>
        </is>
      </c>
      <c r="D987" s="2" t="inlineStr">
        <is>
          <t>Sector</t>
        </is>
      </c>
      <c r="E987" s="2" t="n"/>
      <c r="F987" s="2" t="n"/>
      <c r="G987" s="2" t="n"/>
      <c r="H987" s="3" t="inlineStr">
        <is>
          <t>Fast charging stations for electric vehicles</t>
        </is>
      </c>
      <c r="I987" s="2" t="inlineStr">
        <is>
          <t>S3</t>
        </is>
      </c>
      <c r="J987" s="2" t="n">
        <v>122</v>
      </c>
      <c r="K987" s="3" t="inlineStr">
        <is>
          <t>The principal activity of Fastned B.V. and subsidiaries (the Group) consist of the exploitation of fast charging facilities for fully electric and hybrid cars.</t>
        </is>
      </c>
      <c r="L987" s="2" t="inlineStr">
        <is>
          <t>pend</t>
        </is>
      </c>
      <c r="M987" s="2" t="n"/>
      <c r="N987" s="2" t="n"/>
      <c r="O987" s="3" t="inlineStr">
        <is>
          <t>https://vanillabonds.com/dossier-data/pdf/fastned/fastned-2025-annual-report.pdf#page=122</t>
        </is>
      </c>
    </row>
    <row r="988">
      <c r="A988" s="2" t="inlineStr">
        <is>
          <t>F987</t>
        </is>
      </c>
      <c r="B988" s="2" t="inlineStr">
        <is>
          <t>identity</t>
        </is>
      </c>
      <c r="C988" s="2" t="inlineStr">
        <is>
          <t>sector</t>
        </is>
      </c>
      <c r="D988" s="2" t="inlineStr">
        <is>
          <t>Sector</t>
        </is>
      </c>
      <c r="E988" s="2" t="n"/>
      <c r="F988" s="2" t="n"/>
      <c r="G988" s="2" t="n"/>
      <c r="H988" s="2" t="inlineStr">
        <is>
          <t>High-speed EV charging stations</t>
        </is>
      </c>
      <c r="I988" s="2" t="inlineStr">
        <is>
          <t>S3</t>
        </is>
      </c>
      <c r="J988" s="2" t="n">
        <v>234</v>
      </c>
      <c r="K988" s="3" t="inlineStr">
        <is>
          <t>As a high-speed EV charging station company, it is a priority to ensure that we have strong relationships with charger OEMs</t>
        </is>
      </c>
      <c r="L988" s="2" t="inlineStr">
        <is>
          <t>pend</t>
        </is>
      </c>
      <c r="M988" s="2" t="n"/>
      <c r="N988" s="2" t="n"/>
      <c r="O988" s="3" t="inlineStr">
        <is>
          <t>https://vanillabonds.com/dossier-data/pdf/fastned/fastned-2025-annual-report.pdf#page=234</t>
        </is>
      </c>
    </row>
    <row r="989">
      <c r="A989" s="2" t="inlineStr">
        <is>
          <t>F988</t>
        </is>
      </c>
      <c r="B989" s="2" t="inlineStr">
        <is>
          <t>identity</t>
        </is>
      </c>
      <c r="C989" s="2" t="inlineStr">
        <is>
          <t>sites</t>
        </is>
      </c>
      <c r="D989" s="2" t="inlineStr">
        <is>
          <t>Sites / countries of operation</t>
        </is>
      </c>
      <c r="E989" s="2" t="n"/>
      <c r="F989" s="2" t="n"/>
      <c r="G989" s="2" t="n"/>
      <c r="H989" s="3" t="inlineStr">
        <is>
          <t>406 stations in 9 countries; offices in 10 incl. Austria</t>
        </is>
      </c>
      <c r="I989" s="2" t="inlineStr">
        <is>
          <t>S3</t>
        </is>
      </c>
      <c r="J989" s="2" t="n">
        <v>13</v>
      </c>
      <c r="K989" s="3" t="inlineStr">
        <is>
          <t>At the end of 2025, Fastned operated 406 stations in nine European countries, up from 346 stations across seven countries at the end of 2024.</t>
        </is>
      </c>
      <c r="L989" s="2" t="inlineStr">
        <is>
          <t>pend</t>
        </is>
      </c>
      <c r="M989" s="2" t="n"/>
      <c r="N989" s="2" t="n"/>
      <c r="O989" s="3" t="inlineStr">
        <is>
          <t>https://vanillabonds.com/dossier-data/pdf/fastned/fastned-2025-annual-report.pdf#page=13</t>
        </is>
      </c>
    </row>
    <row r="990">
      <c r="A990" s="2" t="inlineStr">
        <is>
          <t>F989</t>
        </is>
      </c>
      <c r="B990" s="2" t="inlineStr">
        <is>
          <t>identity</t>
        </is>
      </c>
      <c r="C990" s="2" t="inlineStr">
        <is>
          <t>sites</t>
        </is>
      </c>
      <c r="D990" s="2" t="inlineStr">
        <is>
          <t>Sites / countries of operation</t>
        </is>
      </c>
      <c r="E990" s="2" t="n"/>
      <c r="F990" s="2" t="n"/>
      <c r="G990" s="2" t="n"/>
      <c r="H990" s="3" t="inlineStr">
        <is>
          <t>9 countries: NL, DE, UK, BE, FR, CH, IT, ES, DK</t>
        </is>
      </c>
      <c r="I990" s="2" t="inlineStr">
        <is>
          <t>S3</t>
        </is>
      </c>
      <c r="J990" s="2" t="n">
        <v>154</v>
      </c>
      <c r="K990" s="2" t="inlineStr">
        <is>
          <t>The Group operates in nine countries.</t>
        </is>
      </c>
      <c r="L990" s="2" t="inlineStr">
        <is>
          <t>pend</t>
        </is>
      </c>
      <c r="M990" s="2" t="n"/>
      <c r="N990" s="2" t="n"/>
      <c r="O990" s="3" t="inlineStr">
        <is>
          <t>https://vanillabonds.com/dossier-data/pdf/fastned/fastned-2025-annual-report.pdf#page=154</t>
        </is>
      </c>
    </row>
    <row r="991">
      <c r="A991" s="2" t="inlineStr">
        <is>
          <t>F990</t>
        </is>
      </c>
      <c r="B991" s="2" t="inlineStr">
        <is>
          <t>identity</t>
        </is>
      </c>
      <c r="C991" s="2" t="inlineStr">
        <is>
          <t>sites</t>
        </is>
      </c>
      <c r="D991" s="2" t="inlineStr">
        <is>
          <t>Sites / countries of operation</t>
        </is>
      </c>
      <c r="E991" s="2" t="n"/>
      <c r="F991" s="2" t="n"/>
      <c r="G991" s="2" t="n"/>
      <c r="H991" s="3" t="inlineStr">
        <is>
          <t>Offices: NL, GB, BE, FR, DE, CH, DK, ES, IT, AT</t>
        </is>
      </c>
      <c r="I991" s="2" t="inlineStr">
        <is>
          <t>S3</t>
        </is>
      </c>
      <c r="J991" s="2" t="n">
        <v>245</v>
      </c>
      <c r="K991" s="3" t="inlineStr">
        <is>
          <t>Our offices and facilities The Netherlands Office Fastned B.V 52.34419, 4.91760</t>
        </is>
      </c>
      <c r="L991" s="2" t="inlineStr">
        <is>
          <t>pend</t>
        </is>
      </c>
      <c r="M991" s="2" t="n"/>
      <c r="N991" s="2" t="n"/>
      <c r="O991" s="3" t="inlineStr">
        <is>
          <t>https://vanillabonds.com/dossier-data/pdf/fastned/fastned-2025-annual-report.pdf#page=245</t>
        </is>
      </c>
    </row>
    <row r="992">
      <c r="A992" s="2" t="inlineStr">
        <is>
          <t>F991</t>
        </is>
      </c>
      <c r="B992" s="2" t="inlineStr">
        <is>
          <t>identity</t>
        </is>
      </c>
      <c r="C992" s="2" t="inlineStr">
        <is>
          <t>employees</t>
        </is>
      </c>
      <c r="D992" s="2" t="inlineStr">
        <is>
          <t>Employees (FTE, period end)</t>
        </is>
      </c>
      <c r="E992" s="2" t="inlineStr">
        <is>
          <t>FY2024</t>
        </is>
      </c>
      <c r="F992" s="2" t="n">
        <v>265</v>
      </c>
      <c r="G992" s="2" t="n"/>
      <c r="H992" s="3" t="inlineStr">
        <is>
          <t>Average number of FTEs in 2024 (period-end figure not stated)</t>
        </is>
      </c>
      <c r="I992" s="2" t="inlineStr">
        <is>
          <t>S3</t>
        </is>
      </c>
      <c r="J992" s="2" t="n">
        <v>157</v>
      </c>
      <c r="K992" s="3" t="inlineStr">
        <is>
          <t>In 2025, the average number of FTEs of the Group was 375 (2024 : 265).</t>
        </is>
      </c>
      <c r="L992" s="2" t="inlineStr">
        <is>
          <t>pend</t>
        </is>
      </c>
      <c r="M992" s="2" t="n"/>
      <c r="N992" s="3" t="inlineStr">
        <is>
          <t>conflict: S2·p35 333 vs S2·p134 265 vs S3·p157 265</t>
        </is>
      </c>
      <c r="O992" s="3" t="inlineStr">
        <is>
          <t>https://vanillabonds.com/dossier-data/pdf/fastned/fastned-2025-annual-report.pdf#page=157</t>
        </is>
      </c>
    </row>
    <row r="993">
      <c r="A993" s="2" t="inlineStr">
        <is>
          <t>F992</t>
        </is>
      </c>
      <c r="B993" s="2" t="inlineStr">
        <is>
          <t>identity</t>
        </is>
      </c>
      <c r="C993" s="2" t="inlineStr">
        <is>
          <t>employees</t>
        </is>
      </c>
      <c r="D993" s="2" t="inlineStr">
        <is>
          <t>Employees (FTE, period end)</t>
        </is>
      </c>
      <c r="E993" s="2" t="inlineStr">
        <is>
          <t>FY2025</t>
        </is>
      </c>
      <c r="F993" s="2" t="n">
        <v>414</v>
      </c>
      <c r="G993" s="2" t="n"/>
      <c r="H993" s="3" t="inlineStr">
        <is>
          <t>headcount 414 at end-2025 (headcount, not FTE)</t>
        </is>
      </c>
      <c r="I993" s="2" t="inlineStr">
        <is>
          <t>S3</t>
        </is>
      </c>
      <c r="J993" s="2" t="n">
        <v>37</v>
      </c>
      <c r="K993" s="3" t="inlineStr">
        <is>
          <t>Compared to 2024, we increased our headcount by about 24% to 414 as of the end of 2025, with 129 new additions to our team</t>
        </is>
      </c>
      <c r="L993" s="2" t="inlineStr">
        <is>
          <t>pend</t>
        </is>
      </c>
      <c r="M993" s="2" t="n"/>
      <c r="N993" s="2" t="inlineStr">
        <is>
          <t>conflict: S3·p37 414 vs S3·p157 375</t>
        </is>
      </c>
      <c r="O993" s="3" t="inlineStr">
        <is>
          <t>https://vanillabonds.com/dossier-data/pdf/fastned/fastned-2025-annual-report.pdf#page=37</t>
        </is>
      </c>
    </row>
    <row r="994">
      <c r="A994" s="2" t="inlineStr">
        <is>
          <t>F993</t>
        </is>
      </c>
      <c r="B994" s="2" t="inlineStr">
        <is>
          <t>identity</t>
        </is>
      </c>
      <c r="C994" s="2" t="inlineStr">
        <is>
          <t>employees</t>
        </is>
      </c>
      <c r="D994" s="2" t="inlineStr">
        <is>
          <t>Employees (FTE, period end)</t>
        </is>
      </c>
      <c r="E994" s="2" t="inlineStr">
        <is>
          <t>FY2025</t>
        </is>
      </c>
      <c r="F994" s="2" t="n">
        <v>375</v>
      </c>
      <c r="G994" s="2" t="n"/>
      <c r="H994" s="3" t="inlineStr">
        <is>
          <t>Average number of FTEs in 2025 (period-end figure not stated)</t>
        </is>
      </c>
      <c r="I994" s="2" t="inlineStr">
        <is>
          <t>S3</t>
        </is>
      </c>
      <c r="J994" s="2" t="n">
        <v>157</v>
      </c>
      <c r="K994" s="3" t="inlineStr">
        <is>
          <t>In 2025, the average number of FTEs of the Group was 375 (2024 : 265).</t>
        </is>
      </c>
      <c r="L994" s="2" t="inlineStr">
        <is>
          <t>pend</t>
        </is>
      </c>
      <c r="M994" s="2" t="n"/>
      <c r="N994" s="2" t="inlineStr">
        <is>
          <t>conflict: S3·p37 414 vs S3·p157 375</t>
        </is>
      </c>
      <c r="O994" s="3" t="inlineStr">
        <is>
          <t>https://vanillabonds.com/dossier-data/pdf/fastned/fastned-2025-annual-report.pdf#page=157</t>
        </is>
      </c>
    </row>
    <row r="995">
      <c r="A995" s="2" t="inlineStr">
        <is>
          <t>F994</t>
        </is>
      </c>
      <c r="B995" s="2" t="inlineStr">
        <is>
          <t>identity</t>
        </is>
      </c>
      <c r="C995" s="2" t="inlineStr">
        <is>
          <t>ownership</t>
        </is>
      </c>
      <c r="D995" s="2" t="inlineStr">
        <is>
          <t>Ownership / UBO</t>
        </is>
      </c>
      <c r="E995" s="2" t="n"/>
      <c r="F995" s="2" t="n"/>
      <c r="G995" s="2" t="n"/>
      <c r="H995" s="3" t="inlineStr">
        <is>
          <t>FAST trust office holds 100% of shares; DRs listed</t>
        </is>
      </c>
      <c r="I995" s="2" t="inlineStr">
        <is>
          <t>S3</t>
        </is>
      </c>
      <c r="J995" s="2" t="n">
        <v>89</v>
      </c>
      <c r="K995" s="3" t="inlineStr">
        <is>
          <t>FAST holds all shares of Fastned (including those previously held by the founders and other major shareholders) and issues depository receipts (DRs) for these shares to investors and founders.</t>
        </is>
      </c>
      <c r="L995" s="2" t="inlineStr">
        <is>
          <t>pend</t>
        </is>
      </c>
      <c r="M995" s="2" t="n"/>
      <c r="N995" s="2" t="n"/>
      <c r="O995" s="3" t="inlineStr">
        <is>
          <t>https://vanillabonds.com/dossier-data/pdf/fastned/fastned-2025-annual-report.pdf#page=89</t>
        </is>
      </c>
    </row>
    <row r="996">
      <c r="A996" s="2" t="inlineStr">
        <is>
          <t>F995</t>
        </is>
      </c>
      <c r="B996" s="2" t="inlineStr">
        <is>
          <t>identity</t>
        </is>
      </c>
      <c r="C996" s="2" t="inlineStr">
        <is>
          <t>ownership</t>
        </is>
      </c>
      <c r="D996" s="2" t="inlineStr">
        <is>
          <t>Ownership / UBO</t>
        </is>
      </c>
      <c r="E996" s="2" t="n"/>
      <c r="F996" s="2" t="n"/>
      <c r="G996" s="2" t="n"/>
      <c r="H996" s="3" t="inlineStr">
        <is>
          <t>All shares held by FAST Foundation; DR holders via Euronext</t>
        </is>
      </c>
      <c r="I996" s="2" t="inlineStr">
        <is>
          <t>S3</t>
        </is>
      </c>
      <c r="J996" s="2" t="n">
        <v>122</v>
      </c>
      <c r="K996" s="3" t="inlineStr">
        <is>
          <t>The ultimate parent of the Group is the Fastned Administratie Stichting (hereafter: FAST Foundation).</t>
        </is>
      </c>
      <c r="L996" s="2" t="inlineStr">
        <is>
          <t>pend</t>
        </is>
      </c>
      <c r="M996" s="2" t="n"/>
      <c r="N996" s="2" t="n"/>
      <c r="O996" s="3" t="inlineStr">
        <is>
          <t>https://vanillabonds.com/dossier-data/pdf/fastned/fastned-2025-annual-report.pdf#page=122</t>
        </is>
      </c>
    </row>
    <row r="997">
      <c r="A997" s="2" t="inlineStr">
        <is>
          <t>F996</t>
        </is>
      </c>
      <c r="B997" s="2" t="inlineStr">
        <is>
          <t>identity</t>
        </is>
      </c>
      <c r="C997" s="2" t="inlineStr">
        <is>
          <t>listing</t>
        </is>
      </c>
      <c r="D997" s="2" t="inlineStr">
        <is>
          <t>Listings (equity, bonds)</t>
        </is>
      </c>
      <c r="E997" s="2" t="n"/>
      <c r="F997" s="2" t="n"/>
      <c r="G997" s="2" t="n"/>
      <c r="H997" s="3" t="inlineStr">
        <is>
          <t>DRs (100% of share capital) on Euronext Amsterdam</t>
        </is>
      </c>
      <c r="I997" s="2" t="inlineStr">
        <is>
          <t>S3</t>
        </is>
      </c>
      <c r="J997" s="2" t="n">
        <v>89</v>
      </c>
      <c r="K997" s="3" t="inlineStr">
        <is>
          <t>All DRs (100% of the Fastned share capital) are listed on Euronext Amsterdam.</t>
        </is>
      </c>
      <c r="L997" s="2" t="inlineStr">
        <is>
          <t>pend</t>
        </is>
      </c>
      <c r="M997" s="2" t="n"/>
      <c r="N997" s="2" t="n"/>
      <c r="O997" s="3" t="inlineStr">
        <is>
          <t>https://vanillabonds.com/dossier-data/pdf/fastned/fastned-2025-annual-report.pdf#page=89</t>
        </is>
      </c>
    </row>
    <row r="998">
      <c r="A998" s="2" t="inlineStr">
        <is>
          <t>F997</t>
        </is>
      </c>
      <c r="B998" s="2" t="inlineStr">
        <is>
          <t>identity</t>
        </is>
      </c>
      <c r="C998" s="2" t="inlineStr">
        <is>
          <t>listing</t>
        </is>
      </c>
      <c r="D998" s="2" t="inlineStr">
        <is>
          <t>Listings (equity, bonds)</t>
        </is>
      </c>
      <c r="E998" s="2" t="n"/>
      <c r="F998" s="2" t="n"/>
      <c r="G998" s="2" t="n"/>
      <c r="H998" s="3" t="inlineStr">
        <is>
          <t>Certificates of shares (DRs) traded on Euronext; bonds unlisted</t>
        </is>
      </c>
      <c r="I998" s="2" t="inlineStr">
        <is>
          <t>S3</t>
        </is>
      </c>
      <c r="J998" s="2" t="n">
        <v>122</v>
      </c>
      <c r="K998" s="3" t="inlineStr">
        <is>
          <t>whose certificates are publicly traded on the trading platform Euronext</t>
        </is>
      </c>
      <c r="L998" s="2" t="inlineStr">
        <is>
          <t>pend</t>
        </is>
      </c>
      <c r="M998" s="2" t="n"/>
      <c r="N998" s="2" t="n"/>
      <c r="O998" s="3" t="inlineStr">
        <is>
          <t>https://vanillabonds.com/dossier-data/pdf/fastned/fastned-2025-annual-report.pdf#page=122</t>
        </is>
      </c>
    </row>
    <row r="999">
      <c r="A999" s="2" t="inlineStr">
        <is>
          <t>F998</t>
        </is>
      </c>
      <c r="B999" s="2" t="inlineStr">
        <is>
          <t>identity</t>
        </is>
      </c>
      <c r="C999" s="2" t="inlineStr">
        <is>
          <t>listing</t>
        </is>
      </c>
      <c r="D999" s="2" t="inlineStr">
        <is>
          <t>Listings (equity, bonds)</t>
        </is>
      </c>
      <c r="E999" s="2" t="n"/>
      <c r="F999" s="2" t="n"/>
      <c r="G999" s="2" t="n"/>
      <c r="H999" s="3" t="inlineStr">
        <is>
          <t>Files with Euronext; regulated information (Wft 5:25c)</t>
        </is>
      </c>
      <c r="I999" s="2" t="inlineStr">
        <is>
          <t>S3</t>
        </is>
      </c>
      <c r="J999" s="2" t="n">
        <v>232</v>
      </c>
      <c r="K999" s="3" t="inlineStr">
        <is>
          <t>Further details of potential risks and uncertainties affecting the Group are described in the Group’s filings with Euronext.</t>
        </is>
      </c>
      <c r="L999" s="2" t="inlineStr">
        <is>
          <t>pend</t>
        </is>
      </c>
      <c r="M999" s="2" t="n"/>
      <c r="N999" s="2" t="n"/>
      <c r="O999" s="3" t="inlineStr">
        <is>
          <t>https://vanillabonds.com/dossier-data/pdf/fastned/fastned-2025-annual-report.pdf#page=232</t>
        </is>
      </c>
    </row>
    <row r="1000">
      <c r="A1000" s="2" t="inlineStr">
        <is>
          <t>F999</t>
        </is>
      </c>
      <c r="B1000" s="2" t="inlineStr">
        <is>
          <t>identity</t>
        </is>
      </c>
      <c r="C1000" s="2" t="inlineStr">
        <is>
          <t>auditor</t>
        </is>
      </c>
      <c r="D1000" s="2" t="inlineStr">
        <is>
          <t>Auditor</t>
        </is>
      </c>
      <c r="E1000" s="2" t="n"/>
      <c r="F1000" s="2" t="n"/>
      <c r="G1000" s="2" t="n"/>
      <c r="H1000" s="2" t="inlineStr">
        <is>
          <t>BDO Audit &amp; Assurance B.V.</t>
        </is>
      </c>
      <c r="I1000" s="2" t="inlineStr">
        <is>
          <t>S3</t>
        </is>
      </c>
      <c r="J1000" s="2" t="n">
        <v>103</v>
      </c>
      <c r="K1000" s="3" t="inlineStr">
        <is>
          <t>unqualified independent auditor’s report from BDO Audit &amp; Assurance B.V.</t>
        </is>
      </c>
      <c r="L1000" s="2" t="inlineStr">
        <is>
          <t>pend</t>
        </is>
      </c>
      <c r="M1000" s="2" t="n"/>
      <c r="N1000" s="2" t="n"/>
      <c r="O1000" s="3" t="inlineStr">
        <is>
          <t>https://vanillabonds.com/dossier-data/pdf/fastned/fastned-2025-annual-report.pdf#page=103</t>
        </is>
      </c>
    </row>
    <row r="1001">
      <c r="A1001" s="2" t="inlineStr">
        <is>
          <t>F1000</t>
        </is>
      </c>
      <c r="B1001" s="2" t="inlineStr">
        <is>
          <t>identity</t>
        </is>
      </c>
      <c r="C1001" s="2" t="inlineStr">
        <is>
          <t>auditor</t>
        </is>
      </c>
      <c r="D1001" s="2" t="inlineStr">
        <is>
          <t>Auditor</t>
        </is>
      </c>
      <c r="E1001" s="2" t="n"/>
      <c r="F1001" s="2" t="n"/>
      <c r="G1001" s="2" t="n"/>
      <c r="H1001" s="3" t="inlineStr">
        <is>
          <t>BDO Audit &amp; Assurance B.V., partner J.F. van Erve RA</t>
        </is>
      </c>
      <c r="I1001" s="2" t="inlineStr">
        <is>
          <t>S3</t>
        </is>
      </c>
      <c r="J1001" s="2" t="n">
        <v>229</v>
      </c>
      <c r="K1001" s="3" t="inlineStr">
        <is>
          <t>For and on behalf of BDO Audit &amp; Assurance B.V., w.s. drs. J.F. van Erve RA</t>
        </is>
      </c>
      <c r="L1001" s="2" t="inlineStr">
        <is>
          <t>pend</t>
        </is>
      </c>
      <c r="M1001" s="2" t="n"/>
      <c r="N1001" s="2" t="n"/>
      <c r="O1001" s="3" t="inlineStr">
        <is>
          <t>https://vanillabonds.com/dossier-data/pdf/fastned/fastned-2025-annual-report.pdf#page=229</t>
        </is>
      </c>
    </row>
    <row r="1002">
      <c r="A1002" s="2" t="inlineStr">
        <is>
          <t>F1001</t>
        </is>
      </c>
      <c r="B1002" s="2" t="inlineStr">
        <is>
          <t>identity</t>
        </is>
      </c>
      <c r="C1002" s="2" t="inlineStr">
        <is>
          <t>audit_opinion</t>
        </is>
      </c>
      <c r="D1002" s="2" t="inlineStr">
        <is>
          <t>Audit opinion</t>
        </is>
      </c>
      <c r="E1002" s="2" t="inlineStr">
        <is>
          <t>FY2025</t>
        </is>
      </c>
      <c r="F1002" s="2" t="n"/>
      <c r="G1002" s="2" t="n"/>
      <c r="H1002" s="3" t="inlineStr">
        <is>
          <t>unqualified; independent auditor's report from BDO Audit &amp; Assurance B.V. (per Report of the Supervisory Board; the auditor's report itself is in part 3)</t>
        </is>
      </c>
      <c r="I1002" s="2" t="inlineStr">
        <is>
          <t>S3</t>
        </is>
      </c>
      <c r="J1002" s="2" t="n">
        <v>103</v>
      </c>
      <c r="K1002" s="3" t="inlineStr">
        <is>
          <t>unqualified independent auditor’s report from BDO Audit &amp; Assurance B.V.</t>
        </is>
      </c>
      <c r="L1002" s="2" t="inlineStr">
        <is>
          <t>pend</t>
        </is>
      </c>
      <c r="M1002" s="2" t="n"/>
      <c r="N1002" s="2" t="n"/>
      <c r="O1002" s="3" t="inlineStr">
        <is>
          <t>https://vanillabonds.com/dossier-data/pdf/fastned/fastned-2025-annual-report.pdf#page=103</t>
        </is>
      </c>
    </row>
    <row r="1003">
      <c r="A1003" s="2" t="inlineStr">
        <is>
          <t>F1002</t>
        </is>
      </c>
      <c r="B1003" s="2" t="inlineStr">
        <is>
          <t>identity</t>
        </is>
      </c>
      <c r="C1003" s="2" t="inlineStr">
        <is>
          <t>audit_opinion</t>
        </is>
      </c>
      <c r="D1003" s="2" t="inlineStr">
        <is>
          <t>Audit opinion</t>
        </is>
      </c>
      <c r="E1003" s="2" t="inlineStr">
        <is>
          <t>FY2025</t>
        </is>
      </c>
      <c r="F1003" s="2" t="n"/>
      <c r="G1003" s="2" t="n"/>
      <c r="H1003" s="3" t="inlineStr">
        <is>
          <t>unqualified; BDO: the consolidated statements give a 'true and fair view' under EU-IFRS and Part 9 Book 2 Dutch Civil Code; 'no material uncertainty' on going concern for the twelve months after signing on 18 March 2026</t>
        </is>
      </c>
      <c r="I1003" s="2" t="inlineStr">
        <is>
          <t>S3</t>
        </is>
      </c>
      <c r="J1003" s="2" t="n">
        <v>217</v>
      </c>
      <c r="K1003" s="3" t="inlineStr">
        <is>
          <t>the accompanying consolidated financial statements give a true and fair view of the financial position of Fastned B.V. as at 31 December 2025 and of its result and its cash flows for 2025</t>
        </is>
      </c>
      <c r="L1003" s="2" t="inlineStr">
        <is>
          <t>pend</t>
        </is>
      </c>
      <c r="M1003" s="2" t="n"/>
      <c r="N1003" s="2" t="n"/>
      <c r="O1003" s="3" t="inlineStr">
        <is>
          <t>https://vanillabonds.com/dossier-data/pdf/fastned/fastned-2025-annual-report.pdf#page=217</t>
        </is>
      </c>
    </row>
    <row r="1004">
      <c r="A1004" s="2" t="inlineStr">
        <is>
          <t>F1003</t>
        </is>
      </c>
      <c r="B1004" s="2" t="inlineStr">
        <is>
          <t>identity</t>
        </is>
      </c>
      <c r="C1004" s="2" t="inlineStr">
        <is>
          <t>accounting_standard</t>
        </is>
      </c>
      <c r="D1004" s="2" t="inlineStr">
        <is>
          <t>Accounting standard</t>
        </is>
      </c>
      <c r="E1004" s="2" t="n"/>
      <c r="F1004" s="2" t="n"/>
      <c r="G1004" s="2" t="n"/>
      <c r="H1004" s="2" t="inlineStr">
        <is>
          <t>IFRS and Dutch Civil Code</t>
        </is>
      </c>
      <c r="I1004" s="2" t="inlineStr">
        <is>
          <t>S3</t>
        </is>
      </c>
      <c r="J1004" s="2" t="n">
        <v>82</v>
      </c>
      <c r="K1004" s="3" t="inlineStr">
        <is>
          <t>Fastned’s financial reporting is prepared in accordance with IFRS and the Dutch Civil Code</t>
        </is>
      </c>
      <c r="L1004" s="2" t="inlineStr">
        <is>
          <t>pend</t>
        </is>
      </c>
      <c r="M1004" s="2" t="n"/>
      <c r="N1004" s="2" t="n"/>
      <c r="O1004" s="3" t="inlineStr">
        <is>
          <t>https://vanillabonds.com/dossier-data/pdf/fastned/fastned-2025-annual-report.pdf#page=82</t>
        </is>
      </c>
    </row>
    <row r="1005">
      <c r="A1005" s="2" t="inlineStr">
        <is>
          <t>F1004</t>
        </is>
      </c>
      <c r="B1005" s="2" t="inlineStr">
        <is>
          <t>identity</t>
        </is>
      </c>
      <c r="C1005" s="2" t="inlineStr">
        <is>
          <t>accounting_standard</t>
        </is>
      </c>
      <c r="D1005" s="2" t="inlineStr">
        <is>
          <t>Accounting standard</t>
        </is>
      </c>
      <c r="E1005" s="2" t="n"/>
      <c r="F1005" s="2" t="n"/>
      <c r="G1005" s="2" t="n"/>
      <c r="H1005" s="3" t="inlineStr">
        <is>
          <t>IFRS as adopted by the EU; Part 9 Book 2 Dutch Civil Code</t>
        </is>
      </c>
      <c r="I1005" s="2" t="inlineStr">
        <is>
          <t>S3</t>
        </is>
      </c>
      <c r="J1005" s="2" t="n">
        <v>122</v>
      </c>
      <c r="K1005" s="3" t="inlineStr">
        <is>
          <t>The financial statements have been prepared in accordance with International Financial Reporting Standards (IFRS) as adopted by the European Union (EU).</t>
        </is>
      </c>
      <c r="L1005" s="2" t="inlineStr">
        <is>
          <t>pend</t>
        </is>
      </c>
      <c r="M1005" s="2" t="n"/>
      <c r="N1005" s="2" t="n"/>
      <c r="O1005" s="3" t="inlineStr">
        <is>
          <t>https://vanillabonds.com/dossier-data/pdf/fastned/fastned-2025-annual-report.pdf#page=122</t>
        </is>
      </c>
    </row>
    <row r="1006">
      <c r="A1006" s="2" t="inlineStr">
        <is>
          <t>F1005</t>
        </is>
      </c>
      <c r="B1006" s="2" t="inlineStr">
        <is>
          <t>identity</t>
        </is>
      </c>
      <c r="C1006" s="2" t="inlineStr">
        <is>
          <t>accounting_standard</t>
        </is>
      </c>
      <c r="D1006" s="2" t="inlineStr">
        <is>
          <t>Accounting standard</t>
        </is>
      </c>
      <c r="E1006" s="2" t="n"/>
      <c r="F1006" s="2" t="n"/>
      <c r="G1006" s="2" t="n"/>
      <c r="H1006" s="2" t="inlineStr">
        <is>
          <t>EU-IFRS; Part 9 Book 2 Dutch Civil Code</t>
        </is>
      </c>
      <c r="I1006" s="2" t="inlineStr">
        <is>
          <t>S3</t>
        </is>
      </c>
      <c r="J1006" s="2" t="n">
        <v>199</v>
      </c>
      <c r="K1006" s="3" t="inlineStr">
        <is>
          <t>These financial statements have been prepared in accordance with International Financial Reporting Standards (IFRSs) as adopted by the European Union (EU)</t>
        </is>
      </c>
      <c r="L1006" s="2" t="inlineStr">
        <is>
          <t>pend</t>
        </is>
      </c>
      <c r="M1006" s="2" t="n"/>
      <c r="N1006" s="2" t="n"/>
      <c r="O1006" s="3" t="inlineStr">
        <is>
          <t>https://vanillabonds.com/dossier-data/pdf/fastned/fastned-2025-annual-report.pdf#page=199</t>
        </is>
      </c>
    </row>
    <row r="1007">
      <c r="A1007" s="2" t="inlineStr">
        <is>
          <t>F1006</t>
        </is>
      </c>
      <c r="B1007" s="2" t="inlineStr">
        <is>
          <t>identity</t>
        </is>
      </c>
      <c r="C1007" s="2" t="inlineStr">
        <is>
          <t>fiscal_year_end</t>
        </is>
      </c>
      <c r="D1007" s="2" t="inlineStr">
        <is>
          <t>Fiscal year end</t>
        </is>
      </c>
      <c r="E1007" s="2" t="n"/>
      <c r="F1007" s="2" t="n"/>
      <c r="G1007" s="2" t="n"/>
      <c r="H1007" s="2" t="inlineStr">
        <is>
          <t>31 December</t>
        </is>
      </c>
      <c r="I1007" s="2" t="inlineStr">
        <is>
          <t>S3</t>
        </is>
      </c>
      <c r="J1007" s="2" t="n">
        <v>199</v>
      </c>
      <c r="K1007" s="3" t="inlineStr">
        <is>
          <t>Notes to the parent company financial statements for the year ended 31 December 2025</t>
        </is>
      </c>
      <c r="L1007" s="2" t="inlineStr">
        <is>
          <t>pend</t>
        </is>
      </c>
      <c r="M1007" s="2" t="n"/>
      <c r="N1007" s="2" t="n"/>
      <c r="O1007" s="3" t="inlineStr">
        <is>
          <t>https://vanillabonds.com/dossier-data/pdf/fastned/fastned-2025-annual-report.pdf#page=199</t>
        </is>
      </c>
    </row>
    <row r="1008">
      <c r="A1008" s="2" t="inlineStr">
        <is>
          <t>F1007</t>
        </is>
      </c>
      <c r="B1008" s="2" t="inlineStr">
        <is>
          <t>business</t>
        </is>
      </c>
      <c r="C1008" s="2" t="inlineStr">
        <is>
          <t>business_fact</t>
        </is>
      </c>
      <c r="D1008" s="2" t="inlineStr">
        <is>
          <t>Business fact</t>
        </is>
      </c>
      <c r="E1008" s="2" t="n"/>
      <c r="F1008" s="2" t="n"/>
      <c r="G1008" s="2" t="n"/>
      <c r="H1008" s="3" t="inlineStr">
        <is>
          <t>2025 operations: 914.8 million electric km (+30%), 2,629 chargers (+25%), 6.8 million charging sessions (+26%), station uptime above 99%.</t>
        </is>
      </c>
      <c r="I1008" s="2" t="inlineStr">
        <is>
          <t>S3</t>
        </is>
      </c>
      <c r="J1008" s="2" t="n">
        <v>5</v>
      </c>
      <c r="K1008" s="3" t="inlineStr">
        <is>
          <t>Electric kilometres powered Chargers Charging sessions 914.8 million km 2,629 6.8 million</t>
        </is>
      </c>
      <c r="L1008" s="2" t="inlineStr">
        <is>
          <t>pend</t>
        </is>
      </c>
      <c r="M1008" s="2" t="n"/>
      <c r="N1008" s="2" t="n"/>
      <c r="O1008" s="3" t="inlineStr">
        <is>
          <t>https://vanillabonds.com/dossier-data/pdf/fastned/fastned-2025-annual-report.pdf#page=5</t>
        </is>
      </c>
    </row>
    <row r="1009">
      <c r="A1009" s="2" t="inlineStr">
        <is>
          <t>F1008</t>
        </is>
      </c>
      <c r="B1009" s="2" t="inlineStr">
        <is>
          <t>business</t>
        </is>
      </c>
      <c r="C1009" s="2" t="inlineStr">
        <is>
          <t>business_fact</t>
        </is>
      </c>
      <c r="D1009" s="2" t="inlineStr">
        <is>
          <t>Business fact</t>
        </is>
      </c>
      <c r="E1009" s="2" t="n"/>
      <c r="F1009" s="2" t="n"/>
      <c r="G1009" s="2" t="n"/>
      <c r="H1009" s="3" t="inlineStr">
        <is>
          <t>663 locations secured at end-2025 including operational stations (net +94 in 2025; 10 locations removed from the pipeline).</t>
        </is>
      </c>
      <c r="I1009" s="2" t="inlineStr">
        <is>
          <t>S3</t>
        </is>
      </c>
      <c r="J1009" s="2" t="n">
        <v>13</v>
      </c>
      <c r="K1009" s="3" t="inlineStr">
        <is>
          <t>At the end of the year we had 663 locations secured (including operational stations).</t>
        </is>
      </c>
      <c r="L1009" s="2" t="inlineStr">
        <is>
          <t>pend</t>
        </is>
      </c>
      <c r="M1009" s="2" t="n"/>
      <c r="N1009" s="2" t="n"/>
      <c r="O1009" s="3" t="inlineStr">
        <is>
          <t>https://vanillabonds.com/dossier-data/pdf/fastned/fastned-2025-annual-report.pdf#page=13</t>
        </is>
      </c>
    </row>
    <row r="1010">
      <c r="A1010" s="2" t="inlineStr">
        <is>
          <t>F1009</t>
        </is>
      </c>
      <c r="B1010" s="2" t="inlineStr">
        <is>
          <t>business</t>
        </is>
      </c>
      <c r="C1010" s="2" t="inlineStr">
        <is>
          <t>business_fact</t>
        </is>
      </c>
      <c r="D1010" s="2" t="inlineStr">
        <is>
          <t>Business fact</t>
        </is>
      </c>
      <c r="E1010" s="2" t="n"/>
      <c r="F1010" s="2" t="n"/>
      <c r="G1010" s="2" t="n"/>
      <c r="H1010" s="3" t="inlineStr">
        <is>
          <t>Site leases are typically signed for 15 years or more.</t>
        </is>
      </c>
      <c r="I1010" s="2" t="inlineStr">
        <is>
          <t>S3</t>
        </is>
      </c>
      <c r="J1010" s="2" t="n">
        <v>14</v>
      </c>
      <c r="K1010" s="3" t="inlineStr">
        <is>
          <t>We typically sign leases of 15 years or more</t>
        </is>
      </c>
      <c r="L1010" s="2" t="inlineStr">
        <is>
          <t>pend</t>
        </is>
      </c>
      <c r="M1010" s="2" t="n"/>
      <c r="N1010" s="2" t="n"/>
      <c r="O1010" s="3" t="inlineStr">
        <is>
          <t>https://vanillabonds.com/dossier-data/pdf/fastned/fastned-2025-annual-report.pdf#page=14</t>
        </is>
      </c>
    </row>
    <row r="1011">
      <c r="A1011" s="2" t="inlineStr">
        <is>
          <t>F1010</t>
        </is>
      </c>
      <c r="B1011" s="2" t="inlineStr">
        <is>
          <t>business</t>
        </is>
      </c>
      <c r="C1011" s="2" t="inlineStr">
        <is>
          <t>business_fact</t>
        </is>
      </c>
      <c r="D1011" s="2" t="inlineStr">
        <is>
          <t>Business fact</t>
        </is>
      </c>
      <c r="E1011" s="2" t="n"/>
      <c r="F1011" s="2" t="n"/>
      <c r="G1011" s="2" t="n"/>
      <c r="H1011" s="3" t="inlineStr">
        <is>
          <t>60 new stations opened in 2025 (50 in 2024), of which 43 in the second half of 2025.</t>
        </is>
      </c>
      <c r="I1011" s="2" t="inlineStr">
        <is>
          <t>S3</t>
        </is>
      </c>
      <c r="J1011" s="2" t="n">
        <v>16</v>
      </c>
      <c r="K1011" s="3" t="inlineStr">
        <is>
          <t>During the year we opened 60 new fast charging stations (compared to 50 in 2024)</t>
        </is>
      </c>
      <c r="L1011" s="2" t="inlineStr">
        <is>
          <t>pend</t>
        </is>
      </c>
      <c r="M1011" s="2" t="n"/>
      <c r="N1011" s="2" t="n"/>
      <c r="O1011" s="3" t="inlineStr">
        <is>
          <t>https://vanillabonds.com/dossier-data/pdf/fastned/fastned-2025-annual-report.pdf#page=16</t>
        </is>
      </c>
    </row>
    <row r="1012">
      <c r="A1012" s="2" t="inlineStr">
        <is>
          <t>F1011</t>
        </is>
      </c>
      <c r="B1012" s="2" t="inlineStr">
        <is>
          <t>business</t>
        </is>
      </c>
      <c r="C1012" s="2" t="inlineStr">
        <is>
          <t>business_fact</t>
        </is>
      </c>
      <c r="D1012" s="2" t="inlineStr">
        <is>
          <t>Business fact</t>
        </is>
      </c>
      <c r="E1012" s="2" t="n"/>
      <c r="F1012" s="2" t="n"/>
      <c r="G1012" s="2" t="n"/>
      <c r="H1012" s="3" t="inlineStr">
        <is>
          <t>At end-2025 222 stations are outside the Netherlands and 184 inside.</t>
        </is>
      </c>
      <c r="I1012" s="2" t="inlineStr">
        <is>
          <t>S3</t>
        </is>
      </c>
      <c r="J1012" s="2" t="n">
        <v>16</v>
      </c>
      <c r="K1012" s="3" t="inlineStr">
        <is>
          <t>there are now more Fastned stations outside the Netherlands (222) than inside (184)</t>
        </is>
      </c>
      <c r="L1012" s="2" t="inlineStr">
        <is>
          <t>pend</t>
        </is>
      </c>
      <c r="M1012" s="2" t="n"/>
      <c r="N1012" s="2" t="n"/>
      <c r="O1012" s="3" t="inlineStr">
        <is>
          <t>https://vanillabonds.com/dossier-data/pdf/fastned/fastned-2025-annual-report.pdf#page=16</t>
        </is>
      </c>
    </row>
    <row r="1013">
      <c r="A1013" s="2" t="inlineStr">
        <is>
          <t>F1012</t>
        </is>
      </c>
      <c r="B1013" s="2" t="inlineStr">
        <is>
          <t>business</t>
        </is>
      </c>
      <c r="C1013" s="2" t="inlineStr">
        <is>
          <t>business_fact</t>
        </is>
      </c>
      <c r="D1013" s="2" t="inlineStr">
        <is>
          <t>Business fact</t>
        </is>
      </c>
      <c r="E1013" s="2" t="n"/>
      <c r="F1013" s="2" t="n"/>
      <c r="G1013" s="2" t="n"/>
      <c r="H1013" s="3" t="inlineStr">
        <is>
          <t>Net Promoter Score 63.27 in 2025 from 2,845 responses.</t>
        </is>
      </c>
      <c r="I1013" s="2" t="inlineStr">
        <is>
          <t>S3</t>
        </is>
      </c>
      <c r="J1013" s="2" t="n">
        <v>19</v>
      </c>
      <c r="K1013" s="3" t="inlineStr">
        <is>
          <t>In 2025 our Net Promoter Score (NPS) was 63.27 (from 2,845 responses)</t>
        </is>
      </c>
      <c r="L1013" s="2" t="inlineStr">
        <is>
          <t>pend</t>
        </is>
      </c>
      <c r="M1013" s="2" t="n"/>
      <c r="N1013" s="2" t="n"/>
      <c r="O1013" s="3" t="inlineStr">
        <is>
          <t>https://vanillabonds.com/dossier-data/pdf/fastned/fastned-2025-annual-report.pdf#page=19</t>
        </is>
      </c>
    </row>
    <row r="1014">
      <c r="A1014" s="2" t="inlineStr">
        <is>
          <t>F1013</t>
        </is>
      </c>
      <c r="B1014" s="2" t="inlineStr">
        <is>
          <t>business</t>
        </is>
      </c>
      <c r="C1014" s="2" t="inlineStr">
        <is>
          <t>business_fact</t>
        </is>
      </c>
      <c r="D1014" s="2" t="inlineStr">
        <is>
          <t>Business fact</t>
        </is>
      </c>
      <c r="E1014" s="2" t="n"/>
      <c r="F1014" s="2" t="n"/>
      <c r="G1014" s="2" t="n"/>
      <c r="H1014" s="3" t="inlineStr">
        <is>
          <t>Alpitronic HYC 1000 megawatt-class charger piloted at Aalscholver (NL) against the standard HYC 400; BESS pilots expanded in 2025.</t>
        </is>
      </c>
      <c r="I1014" s="2" t="inlineStr">
        <is>
          <t>S3</t>
        </is>
      </c>
      <c r="J1014" s="2" t="n">
        <v>19</v>
      </c>
      <c r="K1014" s="3" t="inlineStr">
        <is>
          <t>Fastned has begun piloting the Alpitronic HYC 1000 charger – a megawatt-class platform – to test customer experience and evaluate it against our standard HYC 400 charger.</t>
        </is>
      </c>
      <c r="L1014" s="2" t="inlineStr">
        <is>
          <t>pend</t>
        </is>
      </c>
      <c r="M1014" s="2" t="n"/>
      <c r="N1014" s="2" t="n"/>
      <c r="O1014" s="3" t="inlineStr">
        <is>
          <t>https://vanillabonds.com/dossier-data/pdf/fastned/fastned-2025-annual-report.pdf#page=19</t>
        </is>
      </c>
    </row>
    <row r="1015">
      <c r="A1015" s="2" t="inlineStr">
        <is>
          <t>F1014</t>
        </is>
      </c>
      <c r="B1015" s="2" t="inlineStr">
        <is>
          <t>business</t>
        </is>
      </c>
      <c r="C1015" s="2" t="inlineStr">
        <is>
          <t>business_fact</t>
        </is>
      </c>
      <c r="D1015" s="2" t="inlineStr">
        <is>
          <t>Business fact</t>
        </is>
      </c>
      <c r="E1015" s="2" t="n"/>
      <c r="F1015" s="2" t="n"/>
      <c r="G1015" s="2" t="n"/>
      <c r="H1015" s="3" t="inlineStr">
        <is>
          <t>Gentbrugge (BE) flagship on the E17: 16 charging points up to 400 kW plus four 400 kW truck chargers on each side, with restaurant and 24/7 shop.</t>
        </is>
      </c>
      <c r="I1015" s="2" t="inlineStr">
        <is>
          <t>S3</t>
        </is>
      </c>
      <c r="J1015" s="2" t="n">
        <v>20</v>
      </c>
      <c r="K1015" s="3" t="inlineStr">
        <is>
          <t>Each side of the motorway combines 16 fast charging points of up to 400 kW each, under our Solar Tree canopies, alongside four more dedicated chargers for electric trucks.</t>
        </is>
      </c>
      <c r="L1015" s="2" t="inlineStr">
        <is>
          <t>pend</t>
        </is>
      </c>
      <c r="M1015" s="2" t="n"/>
      <c r="N1015" s="2" t="n"/>
      <c r="O1015" s="3" t="inlineStr">
        <is>
          <t>https://vanillabonds.com/dossier-data/pdf/fastned/fastned-2025-annual-report.pdf#page=20</t>
        </is>
      </c>
    </row>
    <row r="1016">
      <c r="A1016" s="2" t="inlineStr">
        <is>
          <t>F1015</t>
        </is>
      </c>
      <c r="B1016" s="2" t="inlineStr">
        <is>
          <t>business</t>
        </is>
      </c>
      <c r="C1016" s="2" t="inlineStr">
        <is>
          <t>business_fact</t>
        </is>
      </c>
      <c r="D1016" s="2" t="inlineStr">
        <is>
          <t>Business fact</t>
        </is>
      </c>
      <c r="E1016" s="2" t="n"/>
      <c r="F1016" s="2" t="n"/>
      <c r="G1016" s="2" t="n"/>
      <c r="H1016" s="3" t="inlineStr">
        <is>
          <t>129 new hires in 2025 (72 male, 57 female); 61% based outside the Netherlands; 47 employees left.</t>
        </is>
      </c>
      <c r="I1016" s="2" t="inlineStr">
        <is>
          <t>S3</t>
        </is>
      </c>
      <c r="J1016" s="2" t="n">
        <v>37</v>
      </c>
      <c r="K1016" s="3" t="inlineStr">
        <is>
          <t>In 2025, 39% (50 individuals) of new hires were based in the Netherlands, with 61% (79 individuals) based outside the Netherlands.</t>
        </is>
      </c>
      <c r="L1016" s="2" t="inlineStr">
        <is>
          <t>pend</t>
        </is>
      </c>
      <c r="M1016" s="2" t="n"/>
      <c r="N1016" s="2" t="n"/>
      <c r="O1016" s="3" t="inlineStr">
        <is>
          <t>https://vanillabonds.com/dossier-data/pdf/fastned/fastned-2025-annual-report.pdf#page=37</t>
        </is>
      </c>
    </row>
    <row r="1017">
      <c r="A1017" s="2" t="inlineStr">
        <is>
          <t>F1016</t>
        </is>
      </c>
      <c r="B1017" s="2" t="inlineStr">
        <is>
          <t>business</t>
        </is>
      </c>
      <c r="C1017" s="2" t="inlineStr">
        <is>
          <t>business_fact</t>
        </is>
      </c>
      <c r="D1017" s="2" t="inlineStr">
        <is>
          <t>Business fact</t>
        </is>
      </c>
      <c r="E1017" s="2" t="n"/>
      <c r="F1017" s="2" t="n"/>
      <c r="G1017" s="2" t="n"/>
      <c r="H1017" s="3" t="inlineStr">
        <is>
          <t>Gross profit related to charging EUR 96.2m in 2025 (2024: 68.5; 2023: 44.9), margin 79% (2024: 82%; 2023: 74%).</t>
        </is>
      </c>
      <c r="I1017" s="2" t="inlineStr">
        <is>
          <t>S3</t>
        </is>
      </c>
      <c r="J1017" s="2" t="n">
        <v>45</v>
      </c>
      <c r="K1017" s="3" t="inlineStr">
        <is>
          <t>Gross profit related to charging 96.2 68.5 44.9 41</t>
        </is>
      </c>
      <c r="L1017" s="2" t="inlineStr">
        <is>
          <t>pend</t>
        </is>
      </c>
      <c r="M1017" s="2" t="n"/>
      <c r="N1017" s="2" t="n"/>
      <c r="O1017" s="3" t="inlineStr">
        <is>
          <t>https://vanillabonds.com/dossier-data/pdf/fastned/fastned-2025-annual-report.pdf#page=45</t>
        </is>
      </c>
    </row>
    <row r="1018">
      <c r="A1018" s="2" t="inlineStr">
        <is>
          <t>F1017</t>
        </is>
      </c>
      <c r="B1018" s="2" t="inlineStr">
        <is>
          <t>business</t>
        </is>
      </c>
      <c r="C1018" s="2" t="inlineStr">
        <is>
          <t>business_fact</t>
        </is>
      </c>
      <c r="D1018" s="2" t="inlineStr">
        <is>
          <t>Business fact</t>
        </is>
      </c>
      <c r="E1018" s="2" t="n"/>
      <c r="F1018" s="2" t="n"/>
      <c r="G1018" s="2" t="n"/>
      <c r="H1018" s="3" t="inlineStr">
        <is>
          <t>Operational EBITDA (company measure before network expansion costs) EUR 43.7m in 2025, 32.6 in 2024, 23.8 in 2023.</t>
        </is>
      </c>
      <c r="I1018" s="2" t="inlineStr">
        <is>
          <t>S3</t>
        </is>
      </c>
      <c r="J1018" s="2" t="n">
        <v>45</v>
      </c>
      <c r="K1018" s="2" t="inlineStr">
        <is>
          <t>Operational EBITDA 43.7 32.6 23.8 34</t>
        </is>
      </c>
      <c r="L1018" s="2" t="inlineStr">
        <is>
          <t>pend</t>
        </is>
      </c>
      <c r="M1018" s="2" t="n"/>
      <c r="N1018" s="2" t="n"/>
      <c r="O1018" s="3" t="inlineStr">
        <is>
          <t>https://vanillabonds.com/dossier-data/pdf/fastned/fastned-2025-annual-report.pdf#page=45</t>
        </is>
      </c>
    </row>
    <row r="1019">
      <c r="A1019" s="2" t="inlineStr">
        <is>
          <t>F1018</t>
        </is>
      </c>
      <c r="B1019" s="2" t="inlineStr">
        <is>
          <t>business</t>
        </is>
      </c>
      <c r="C1019" s="2" t="inlineStr">
        <is>
          <t>business_fact</t>
        </is>
      </c>
      <c r="D1019" s="2" t="inlineStr">
        <is>
          <t>Business fact</t>
        </is>
      </c>
      <c r="E1019" s="2" t="n"/>
      <c r="F1019" s="2" t="n"/>
      <c r="G1019" s="2" t="n"/>
      <c r="H1019" s="3" t="inlineStr">
        <is>
          <t>Diluted loss per depository receipt EUR (1.55) in 2025 (2024: (1.38); 2023: (1.00)).</t>
        </is>
      </c>
      <c r="I1019" s="2" t="inlineStr">
        <is>
          <t>S3</t>
        </is>
      </c>
      <c r="J1019" s="2" t="n">
        <v>45</v>
      </c>
      <c r="K1019" s="3" t="inlineStr">
        <is>
          <t>Earnings per share (depository receipt) (diluted) (1.55) (1.38) (1.00)</t>
        </is>
      </c>
      <c r="L1019" s="2" t="inlineStr">
        <is>
          <t>pend</t>
        </is>
      </c>
      <c r="M1019" s="2" t="n"/>
      <c r="N1019" s="2" t="n"/>
      <c r="O1019" s="3" t="inlineStr">
        <is>
          <t>https://vanillabonds.com/dossier-data/pdf/fastned/fastned-2025-annual-report.pdf#page=45</t>
        </is>
      </c>
    </row>
    <row r="1020">
      <c r="A1020" s="2" t="inlineStr">
        <is>
          <t>F1019</t>
        </is>
      </c>
      <c r="B1020" s="2" t="inlineStr">
        <is>
          <t>business</t>
        </is>
      </c>
      <c r="C1020" s="2" t="inlineStr">
        <is>
          <t>business_fact</t>
        </is>
      </c>
      <c r="D1020" s="2" t="inlineStr">
        <is>
          <t>Business fact</t>
        </is>
      </c>
      <c r="E1020" s="2" t="n"/>
      <c r="F1020" s="2" t="n"/>
      <c r="G1020" s="2" t="n"/>
      <c r="H1020" s="3" t="inlineStr">
        <is>
          <t>Underlying net loss EUR (36.7)m in 2025 (2024: (25.3); 2023: (16.0)).</t>
        </is>
      </c>
      <c r="I1020" s="2" t="inlineStr">
        <is>
          <t>S3</t>
        </is>
      </c>
      <c r="J1020" s="2" t="n">
        <v>45</v>
      </c>
      <c r="K1020" s="3" t="inlineStr">
        <is>
          <t>Underlying net profit / (loss) (36.7) (25.3) (16.0)</t>
        </is>
      </c>
      <c r="L1020" s="2" t="inlineStr">
        <is>
          <t>pend</t>
        </is>
      </c>
      <c r="M1020" s="2" t="n"/>
      <c r="N1020" s="2" t="n"/>
      <c r="O1020" s="3" t="inlineStr">
        <is>
          <t>https://vanillabonds.com/dossier-data/pdf/fastned/fastned-2025-annual-report.pdf#page=45</t>
        </is>
      </c>
    </row>
    <row r="1021">
      <c r="A1021" s="2" t="inlineStr">
        <is>
          <t>F1020</t>
        </is>
      </c>
      <c r="B1021" s="2" t="inlineStr">
        <is>
          <t>business</t>
        </is>
      </c>
      <c r="C1021" s="2" t="inlineStr">
        <is>
          <t>business_fact</t>
        </is>
      </c>
      <c r="D1021" s="2" t="inlineStr">
        <is>
          <t>Business fact</t>
        </is>
      </c>
      <c r="E1021" s="2" t="n"/>
      <c r="F1021" s="2" t="n"/>
      <c r="G1021" s="2" t="n"/>
      <c r="H1021" s="3" t="inlineStr">
        <is>
          <t>Share of results of associates and joint ventures EUR (0.2)m in 2025.</t>
        </is>
      </c>
      <c r="I1021" s="2" t="inlineStr">
        <is>
          <t>S3</t>
        </is>
      </c>
      <c r="J1021" s="2" t="n">
        <v>45</v>
      </c>
      <c r="K1021" s="3" t="inlineStr">
        <is>
          <t>Share of results of associates and joint ventures (0.2)</t>
        </is>
      </c>
      <c r="L1021" s="2" t="inlineStr">
        <is>
          <t>pend</t>
        </is>
      </c>
      <c r="M1021" s="2" t="n"/>
      <c r="N1021" s="2" t="n"/>
      <c r="O1021" s="3" t="inlineStr">
        <is>
          <t>https://vanillabonds.com/dossier-data/pdf/fastned/fastned-2025-annual-report.pdf#page=45</t>
        </is>
      </c>
    </row>
    <row r="1022">
      <c r="A1022" s="2" t="inlineStr">
        <is>
          <t>F1021</t>
        </is>
      </c>
      <c r="B1022" s="2" t="inlineStr">
        <is>
          <t>business</t>
        </is>
      </c>
      <c r="C1022" s="2" t="inlineStr">
        <is>
          <t>business_fact</t>
        </is>
      </c>
      <c r="D1022" s="2" t="inlineStr">
        <is>
          <t>Business fact</t>
        </is>
      </c>
      <c r="E1022" s="2" t="n"/>
      <c r="F1022" s="2" t="n"/>
      <c r="G1022" s="2" t="n"/>
      <c r="H1022" s="3" t="inlineStr">
        <is>
          <t>Total revenue EUR 139.2m in 2025, up 66%; revenue related to charging EUR 122.4m, up 47%; charging sessions +26%.</t>
        </is>
      </c>
      <c r="I1022" s="2" t="inlineStr">
        <is>
          <t>S3</t>
        </is>
      </c>
      <c r="J1022" s="2" t="n">
        <v>46</v>
      </c>
      <c r="K1022" s="3" t="inlineStr">
        <is>
          <t>Total revenue was €139.2 million, up 66% compared to the previous year.</t>
        </is>
      </c>
      <c r="L1022" s="2" t="inlineStr">
        <is>
          <t>pend</t>
        </is>
      </c>
      <c r="M1022" s="2" t="n"/>
      <c r="N1022" s="2" t="n"/>
      <c r="O1022" s="3" t="inlineStr">
        <is>
          <t>https://vanillabonds.com/dossier-data/pdf/fastned/fastned-2025-annual-report.pdf#page=46</t>
        </is>
      </c>
    </row>
    <row r="1023">
      <c r="A1023" s="2" t="inlineStr">
        <is>
          <t>F1022</t>
        </is>
      </c>
      <c r="B1023" s="2" t="inlineStr">
        <is>
          <t>business</t>
        </is>
      </c>
      <c r="C1023" s="2" t="inlineStr">
        <is>
          <t>business_fact</t>
        </is>
      </c>
      <c r="D1023" s="2" t="inlineStr">
        <is>
          <t>Business fact</t>
        </is>
      </c>
      <c r="E1023" s="2" t="n"/>
      <c r="F1023" s="2" t="n"/>
      <c r="G1023" s="2" t="n"/>
      <c r="H1023" s="3" t="inlineStr">
        <is>
          <t>Annual revenue per station EUR 331 thousand in 2025 (+27%); annual volume per station 495 MWh (+13%).</t>
        </is>
      </c>
      <c r="I1023" s="2" t="inlineStr">
        <is>
          <t>S3</t>
        </is>
      </c>
      <c r="J1023" s="2" t="n">
        <v>46</v>
      </c>
      <c r="K1023" s="3" t="inlineStr">
        <is>
          <t>Annual revenue per station grew to €331 thousand, an increase of 27% from 2024. Annual volume per station reached 495 MWh, an increase of 13% from 2024.</t>
        </is>
      </c>
      <c r="L1023" s="2" t="inlineStr">
        <is>
          <t>pend</t>
        </is>
      </c>
      <c r="M1023" s="2" t="n"/>
      <c r="N1023" s="2" t="n"/>
      <c r="O1023" s="3" t="inlineStr">
        <is>
          <t>https://vanillabonds.com/dossier-data/pdf/fastned/fastned-2025-annual-report.pdf#page=46</t>
        </is>
      </c>
    </row>
    <row r="1024">
      <c r="A1024" s="2" t="inlineStr">
        <is>
          <t>F1023</t>
        </is>
      </c>
      <c r="B1024" s="2" t="inlineStr">
        <is>
          <t>business</t>
        </is>
      </c>
      <c r="C1024" s="2" t="inlineStr">
        <is>
          <t>business_fact</t>
        </is>
      </c>
      <c r="D1024" s="2" t="inlineStr">
        <is>
          <t>Business fact</t>
        </is>
      </c>
      <c r="E1024" s="2" t="n"/>
      <c r="F1024" s="2" t="n"/>
      <c r="G1024" s="2" t="n"/>
      <c r="H1024" s="3" t="inlineStr">
        <is>
          <t>Network utilisation 13.2% in 2025, unchanged from 2024; the network counted 23% more chargers than the 2024 average.</t>
        </is>
      </c>
      <c r="I1024" s="2" t="inlineStr">
        <is>
          <t>S3</t>
        </is>
      </c>
      <c r="J1024" s="2" t="n">
        <v>46</v>
      </c>
      <c r="K1024" s="3" t="inlineStr">
        <is>
          <t>Network utilisation in 2025 was 13.2%, the same as in 2024.</t>
        </is>
      </c>
      <c r="L1024" s="2" t="inlineStr">
        <is>
          <t>pend</t>
        </is>
      </c>
      <c r="M1024" s="2" t="n"/>
      <c r="N1024" s="2" t="n"/>
      <c r="O1024" s="3" t="inlineStr">
        <is>
          <t>https://vanillabonds.com/dossier-data/pdf/fastned/fastned-2025-annual-report.pdf#page=46</t>
        </is>
      </c>
    </row>
    <row r="1025">
      <c r="A1025" s="2" t="inlineStr">
        <is>
          <t>F1024</t>
        </is>
      </c>
      <c r="B1025" s="2" t="inlineStr">
        <is>
          <t>business</t>
        </is>
      </c>
      <c r="C1025" s="2" t="inlineStr">
        <is>
          <t>business_fact</t>
        </is>
      </c>
      <c r="D1025" s="2" t="inlineStr">
        <is>
          <t>Business fact</t>
        </is>
      </c>
      <c r="E1025" s="2" t="n"/>
      <c r="F1025" s="2" t="n"/>
      <c r="G1025" s="2" t="n"/>
      <c r="H1025" s="3" t="inlineStr">
        <is>
          <t>Network operation costs EUR 52.5m in 2025 (+47%); per charger EUR 22.6 thousand (+19%) on higher grid fees, maintenance and other direct costs.</t>
        </is>
      </c>
      <c r="I1025" s="2" t="inlineStr">
        <is>
          <t>S3</t>
        </is>
      </c>
      <c r="J1025" s="2" t="n">
        <v>46</v>
      </c>
      <c r="K1025" s="3" t="inlineStr">
        <is>
          <t>Network operation costs per charger, the more relevant metric, increased by 19% to € 22.6 thousand.</t>
        </is>
      </c>
      <c r="L1025" s="2" t="inlineStr">
        <is>
          <t>pend</t>
        </is>
      </c>
      <c r="M1025" s="2" t="n"/>
      <c r="N1025" s="2" t="n"/>
      <c r="O1025" s="3" t="inlineStr">
        <is>
          <t>https://vanillabonds.com/dossier-data/pdf/fastned/fastned-2025-annual-report.pdf#page=46</t>
        </is>
      </c>
    </row>
    <row r="1026">
      <c r="A1026" s="2" t="inlineStr">
        <is>
          <t>F1025</t>
        </is>
      </c>
      <c r="B1026" s="2" t="inlineStr">
        <is>
          <t>business</t>
        </is>
      </c>
      <c r="C1026" s="2" t="inlineStr">
        <is>
          <t>business_fact</t>
        </is>
      </c>
      <c r="D1026" s="2" t="inlineStr">
        <is>
          <t>Business fact</t>
        </is>
      </c>
      <c r="E1026" s="2" t="n"/>
      <c r="F1026" s="2" t="n"/>
      <c r="G1026" s="2" t="n"/>
      <c r="H1026" s="3" t="inlineStr">
        <is>
          <t>Operational EBITDA per station EUR 118.4 thousand in 2025 (+15%); operational EBITDA margin 36% (2024: 38%).</t>
        </is>
      </c>
      <c r="I1026" s="2" t="inlineStr">
        <is>
          <t>S3</t>
        </is>
      </c>
      <c r="J1026" s="2" t="n">
        <v>46</v>
      </c>
      <c r="K1026" s="3" t="inlineStr">
        <is>
          <t>Operational EBITDA (€43.7 million) and operational EBITDA per station (€118.4 thousand) grew strongly in 2025 compared to 2024: 34% and 15%, respectively.</t>
        </is>
      </c>
      <c r="L1026" s="2" t="inlineStr">
        <is>
          <t>pend</t>
        </is>
      </c>
      <c r="M1026" s="2" t="n"/>
      <c r="N1026" s="2" t="n"/>
      <c r="O1026" s="3" t="inlineStr">
        <is>
          <t>https://vanillabonds.com/dossier-data/pdf/fastned/fastned-2025-annual-report.pdf#page=46</t>
        </is>
      </c>
    </row>
    <row r="1027">
      <c r="A1027" s="2" t="inlineStr">
        <is>
          <t>F1026</t>
        </is>
      </c>
      <c r="B1027" s="2" t="inlineStr">
        <is>
          <t>business</t>
        </is>
      </c>
      <c r="C1027" s="2" t="inlineStr">
        <is>
          <t>business_fact</t>
        </is>
      </c>
      <c r="D1027" s="2" t="inlineStr">
        <is>
          <t>Business fact</t>
        </is>
      </c>
      <c r="E1027" s="2" t="n"/>
      <c r="F1027" s="2" t="n"/>
      <c r="G1027" s="2" t="n"/>
      <c r="H1027" s="3" t="inlineStr">
        <is>
          <t>Network expansion costs EUR 34.3m in 2025 (+48%; 2024: 23.2; 2023: 15.2), with 42% more employees dedicated to growing the network.</t>
        </is>
      </c>
      <c r="I1027" s="2" t="inlineStr">
        <is>
          <t>S3</t>
        </is>
      </c>
      <c r="J1027" s="2" t="n">
        <v>46</v>
      </c>
      <c r="K1027" s="3" t="inlineStr">
        <is>
          <t>Network expansion costs increased 48%, mainly due to the 42% increase in the number of employees dedicated to growing the network.</t>
        </is>
      </c>
      <c r="L1027" s="2" t="inlineStr">
        <is>
          <t>pend</t>
        </is>
      </c>
      <c r="M1027" s="2" t="n"/>
      <c r="N1027" s="2" t="n"/>
      <c r="O1027" s="3" t="inlineStr">
        <is>
          <t>https://vanillabonds.com/dossier-data/pdf/fastned/fastned-2025-annual-report.pdf#page=46</t>
        </is>
      </c>
    </row>
    <row r="1028">
      <c r="A1028" s="2" t="inlineStr">
        <is>
          <t>F1027</t>
        </is>
      </c>
      <c r="B1028" s="2" t="inlineStr">
        <is>
          <t>business</t>
        </is>
      </c>
      <c r="C1028" s="2" t="inlineStr">
        <is>
          <t>business_fact</t>
        </is>
      </c>
      <c r="D1028" s="2" t="inlineStr">
        <is>
          <t>Business fact</t>
        </is>
      </c>
      <c r="E1028" s="2" t="n"/>
      <c r="F1028" s="2" t="n"/>
      <c r="G1028" s="2" t="n"/>
      <c r="H1028" s="3" t="inlineStr">
        <is>
          <t>Working capital change EUR (21.8)m in 2025 (2024: (7.1)), including a EUR (7.7)m timing effect from construction services activity.</t>
        </is>
      </c>
      <c r="I1028" s="2" t="inlineStr">
        <is>
          <t>S3</t>
        </is>
      </c>
      <c r="J1028" s="2" t="n">
        <v>47</v>
      </c>
      <c r="K1028" s="3" t="inlineStr">
        <is>
          <t>were influenced by adverse working capital changes due to timing effects from construction services activity €(7.7) million.</t>
        </is>
      </c>
      <c r="L1028" s="2" t="inlineStr">
        <is>
          <t>pend</t>
        </is>
      </c>
      <c r="M1028" s="2" t="n"/>
      <c r="N1028" s="2" t="n"/>
      <c r="O1028" s="3" t="inlineStr">
        <is>
          <t>https://vanillabonds.com/dossier-data/pdf/fastned/fastned-2025-annual-report.pdf#page=47</t>
        </is>
      </c>
    </row>
    <row r="1029">
      <c r="A1029" s="2" t="inlineStr">
        <is>
          <t>F1028</t>
        </is>
      </c>
      <c r="B1029" s="2" t="inlineStr">
        <is>
          <t>business</t>
        </is>
      </c>
      <c r="C1029" s="2" t="inlineStr">
        <is>
          <t>business_fact</t>
        </is>
      </c>
      <c r="D1029" s="2" t="inlineStr">
        <is>
          <t>Business fact</t>
        </is>
      </c>
      <c r="E1029" s="2" t="n"/>
      <c r="F1029" s="2" t="n"/>
      <c r="G1029" s="2" t="n"/>
      <c r="H1029" s="3" t="inlineStr">
        <is>
          <t>Net cash used in investing activities EUR (86.3)m in 2025 (2024: (68.0); 2023: (66.8)), reflecting the pace of station rollout.</t>
        </is>
      </c>
      <c r="I1029" s="2" t="inlineStr">
        <is>
          <t>S3</t>
        </is>
      </c>
      <c r="J1029" s="2" t="n">
        <v>47</v>
      </c>
      <c r="K1029" s="3" t="inlineStr">
        <is>
          <t>Cash flows from investing activities were €(86.3) million, compared to €(68.0) million in 2024, reflecting the increasing pace of rollout of new charging stations.</t>
        </is>
      </c>
      <c r="L1029" s="2" t="inlineStr">
        <is>
          <t>pend</t>
        </is>
      </c>
      <c r="M1029" s="2" t="n"/>
      <c r="N1029" s="2" t="n"/>
      <c r="O1029" s="3" t="inlineStr">
        <is>
          <t>https://vanillabonds.com/dossier-data/pdf/fastned/fastned-2025-annual-report.pdf#page=47</t>
        </is>
      </c>
    </row>
    <row r="1030">
      <c r="A1030" s="2" t="inlineStr">
        <is>
          <t>F1029</t>
        </is>
      </c>
      <c r="B1030" s="2" t="inlineStr">
        <is>
          <t>business</t>
        </is>
      </c>
      <c r="C1030" s="2" t="inlineStr">
        <is>
          <t>business_fact</t>
        </is>
      </c>
      <c r="D1030" s="2" t="inlineStr">
        <is>
          <t>Business fact</t>
        </is>
      </c>
      <c r="E1030" s="2" t="n"/>
      <c r="F1030" s="2" t="n"/>
      <c r="G1030" s="2" t="n"/>
      <c r="H1030" s="3" t="inlineStr">
        <is>
          <t>Net cash from financing activities EUR 59.3m in 2025 (2024: 67.0; 2023: 47.1), mainly from three bond issues.</t>
        </is>
      </c>
      <c r="I1030" s="2" t="inlineStr">
        <is>
          <t>S3</t>
        </is>
      </c>
      <c r="J1030" s="2" t="n">
        <v>47</v>
      </c>
      <c r="K1030" s="3" t="inlineStr">
        <is>
          <t>Cash flows from financing activities were €59.3 million, stemming mainly from three bond issues in 2025.</t>
        </is>
      </c>
      <c r="L1030" s="2" t="inlineStr">
        <is>
          <t>pend</t>
        </is>
      </c>
      <c r="M1030" s="2" t="n"/>
      <c r="N1030" s="2" t="n"/>
      <c r="O1030" s="3" t="inlineStr">
        <is>
          <t>https://vanillabonds.com/dossier-data/pdf/fastned/fastned-2025-annual-report.pdf#page=47</t>
        </is>
      </c>
    </row>
    <row r="1031">
      <c r="A1031" s="2" t="inlineStr">
        <is>
          <t>F1030</t>
        </is>
      </c>
      <c r="B1031" s="2" t="inlineStr">
        <is>
          <t>business</t>
        </is>
      </c>
      <c r="C1031" s="2" t="inlineStr">
        <is>
          <t>business_fact</t>
        </is>
      </c>
      <c r="D1031" s="2" t="inlineStr">
        <is>
          <t>Business fact</t>
        </is>
      </c>
      <c r="E1031" s="2" t="n"/>
      <c r="F1031" s="2" t="n"/>
      <c r="G1031" s="2" t="n"/>
      <c r="H1031" s="3" t="inlineStr">
        <is>
          <t>Net decrease in cash and cash equivalents EUR (47.5)m in 2025 (2024: (9.2); 2023: (22.9)).</t>
        </is>
      </c>
      <c r="I1031" s="2" t="inlineStr">
        <is>
          <t>S3</t>
        </is>
      </c>
      <c r="J1031" s="2" t="n">
        <v>47</v>
      </c>
      <c r="K1031" s="3" t="inlineStr">
        <is>
          <t>Net increase/(decrease) in cash and cash equivalents (47.5) (9.2) (22.9)</t>
        </is>
      </c>
      <c r="L1031" s="2" t="inlineStr">
        <is>
          <t>pend</t>
        </is>
      </c>
      <c r="M1031" s="2" t="n"/>
      <c r="N1031" s="2" t="n"/>
      <c r="O1031" s="3" t="inlineStr">
        <is>
          <t>https://vanillabonds.com/dossier-data/pdf/fastned/fastned-2025-annual-report.pdf#page=47</t>
        </is>
      </c>
    </row>
    <row r="1032">
      <c r="A1032" s="2" t="inlineStr">
        <is>
          <t>F1031</t>
        </is>
      </c>
      <c r="B1032" s="2" t="inlineStr">
        <is>
          <t>business</t>
        </is>
      </c>
      <c r="C1032" s="2" t="inlineStr">
        <is>
          <t>business_fact</t>
        </is>
      </c>
      <c r="D1032" s="2" t="inlineStr">
        <is>
          <t>Business fact</t>
        </is>
      </c>
      <c r="E1032" s="2" t="n"/>
      <c r="F1032" s="2" t="n"/>
      <c r="G1032" s="2" t="n"/>
      <c r="H1032" s="3" t="inlineStr">
        <is>
          <t>Total liabilities EUR 409.8m at end-2025 (2024: 304.0; 2023: 211.4): non-current 361.4, current 48.4.</t>
        </is>
      </c>
      <c r="I1032" s="2" t="inlineStr">
        <is>
          <t>S3</t>
        </is>
      </c>
      <c r="J1032" s="2" t="n">
        <v>47</v>
      </c>
      <c r="K1032" s="2" t="inlineStr">
        <is>
          <t>Total liabilities 409.8 304.0 211.4</t>
        </is>
      </c>
      <c r="L1032" s="2" t="inlineStr">
        <is>
          <t>pend</t>
        </is>
      </c>
      <c r="M1032" s="2" t="n"/>
      <c r="N1032" s="2" t="n"/>
      <c r="O1032" s="3" t="inlineStr">
        <is>
          <t>https://vanillabonds.com/dossier-data/pdf/fastned/fastned-2025-annual-report.pdf#page=47</t>
        </is>
      </c>
    </row>
    <row r="1033">
      <c r="A1033" s="2" t="inlineStr">
        <is>
          <t>F1032</t>
        </is>
      </c>
      <c r="B1033" s="2" t="inlineStr">
        <is>
          <t>business</t>
        </is>
      </c>
      <c r="C1033" s="2" t="inlineStr">
        <is>
          <t>business_fact</t>
        </is>
      </c>
      <c r="D1033" s="2" t="inlineStr">
        <is>
          <t>Business fact</t>
        </is>
      </c>
      <c r="E1033" s="2" t="n"/>
      <c r="F1033" s="2" t="n"/>
      <c r="G1033" s="2" t="n"/>
      <c r="H1033" s="3" t="inlineStr">
        <is>
          <t>Non-current assets EUR 368.9m at end-2025 (2024: 275.2; 2023: 209.5); other current assets 63.0.</t>
        </is>
      </c>
      <c r="I1033" s="2" t="inlineStr">
        <is>
          <t>S3</t>
        </is>
      </c>
      <c r="J1033" s="2" t="n">
        <v>47</v>
      </c>
      <c r="K1033" s="2" t="inlineStr">
        <is>
          <t>Non-current assets 368.9 275.2 209.5</t>
        </is>
      </c>
      <c r="L1033" s="2" t="inlineStr">
        <is>
          <t>pend</t>
        </is>
      </c>
      <c r="M1033" s="2" t="n"/>
      <c r="N1033" s="2" t="n"/>
      <c r="O1033" s="3" t="inlineStr">
        <is>
          <t>https://vanillabonds.com/dossier-data/pdf/fastned/fastned-2025-annual-report.pdf#page=47</t>
        </is>
      </c>
    </row>
    <row r="1034">
      <c r="A1034" s="2" t="inlineStr">
        <is>
          <t>F1033</t>
        </is>
      </c>
      <c r="B1034" s="2" t="inlineStr">
        <is>
          <t>business</t>
        </is>
      </c>
      <c r="C1034" s="2" t="inlineStr">
        <is>
          <t>business_fact</t>
        </is>
      </c>
      <c r="D1034" s="2" t="inlineStr">
        <is>
          <t>Business fact</t>
        </is>
      </c>
      <c r="E1034" s="2" t="n"/>
      <c r="F1034" s="2" t="n"/>
      <c r="G1034" s="2" t="n"/>
      <c r="H1034" s="3" t="inlineStr">
        <is>
          <t>Fastned designs, builds and operates fast-charging stations for cars across Europe, with charging and station operations run in-house.</t>
        </is>
      </c>
      <c r="I1034" s="2" t="inlineStr">
        <is>
          <t>S3</t>
        </is>
      </c>
      <c r="J1034" s="2" t="n">
        <v>50</v>
      </c>
      <c r="K1034" s="3" t="inlineStr">
        <is>
          <t>Fastned designs, builds, and operates electric fast-charging stations for cars across Europe, contributing to the growing infrastructure for electric vehicle drivers.</t>
        </is>
      </c>
      <c r="L1034" s="2" t="inlineStr">
        <is>
          <t>pend</t>
        </is>
      </c>
      <c r="M1034" s="2" t="n"/>
      <c r="N1034" s="2" t="n"/>
      <c r="O1034" s="3" t="inlineStr">
        <is>
          <t>https://vanillabonds.com/dossier-data/pdf/fastned/fastned-2025-annual-report.pdf#page=50</t>
        </is>
      </c>
    </row>
    <row r="1035">
      <c r="A1035" s="2" t="inlineStr">
        <is>
          <t>F1034</t>
        </is>
      </c>
      <c r="B1035" s="2" t="inlineStr">
        <is>
          <t>business</t>
        </is>
      </c>
      <c r="C1035" s="2" t="inlineStr">
        <is>
          <t>business_fact</t>
        </is>
      </c>
      <c r="D1035" s="2" t="inlineStr">
        <is>
          <t>Business fact</t>
        </is>
      </c>
      <c r="E1035" s="2" t="n"/>
      <c r="F1035" s="2" t="n"/>
      <c r="G1035" s="2" t="n"/>
      <c r="H1035" s="3" t="inlineStr">
        <is>
          <t>The sustainability statements cover Fastned B.V. and all its entities, 1 January to 31 December 2025, consolidated.</t>
        </is>
      </c>
      <c r="I1035" s="2" t="inlineStr">
        <is>
          <t>S3</t>
        </is>
      </c>
      <c r="J1035" s="2" t="n">
        <v>50</v>
      </c>
      <c r="K1035" s="3" t="inlineStr">
        <is>
          <t>The scope of this report covers Fastned B.V. and all of its entities from 1 January, 2025 through 31 December, 2025, prepared on a consolidated basis.</t>
        </is>
      </c>
      <c r="L1035" s="2" t="inlineStr">
        <is>
          <t>pend</t>
        </is>
      </c>
      <c r="M1035" s="2" t="n"/>
      <c r="N1035" s="2" t="n"/>
      <c r="O1035" s="3" t="inlineStr">
        <is>
          <t>https://vanillabonds.com/dossier-data/pdf/fastned/fastned-2025-annual-report.pdf#page=50</t>
        </is>
      </c>
    </row>
    <row r="1036">
      <c r="A1036" s="2" t="inlineStr">
        <is>
          <t>F1035</t>
        </is>
      </c>
      <c r="B1036" s="2" t="inlineStr">
        <is>
          <t>business</t>
        </is>
      </c>
      <c r="C1036" s="2" t="inlineStr">
        <is>
          <t>business_fact</t>
        </is>
      </c>
      <c r="D1036" s="2" t="inlineStr">
        <is>
          <t>Business fact</t>
        </is>
      </c>
      <c r="E1036" s="2" t="n"/>
      <c r="F1036" s="2" t="n"/>
      <c r="G1036" s="2" t="n"/>
      <c r="H1036" s="3" t="inlineStr">
        <is>
          <t>Four active PPAs in 2025; Bleiswijk rooftop solar (just over 4 GWh/yr) added July 2025.</t>
        </is>
      </c>
      <c r="I1036" s="2" t="inlineStr">
        <is>
          <t>S3</t>
        </is>
      </c>
      <c r="J1036" s="2" t="n">
        <v>65</v>
      </c>
      <c r="K1036" s="3" t="inlineStr">
        <is>
          <t>Fastned had a total of four active PPAs in 2025.</t>
        </is>
      </c>
      <c r="L1036" s="2" t="inlineStr">
        <is>
          <t>pend</t>
        </is>
      </c>
      <c r="M1036" s="2" t="n"/>
      <c r="N1036" s="2" t="n"/>
      <c r="O1036" s="3" t="inlineStr">
        <is>
          <t>https://vanillabonds.com/dossier-data/pdf/fastned/fastned-2025-annual-report.pdf#page=65</t>
        </is>
      </c>
    </row>
    <row r="1037">
      <c r="A1037" s="2" t="inlineStr">
        <is>
          <t>F1036</t>
        </is>
      </c>
      <c r="B1037" s="2" t="inlineStr">
        <is>
          <t>business</t>
        </is>
      </c>
      <c r="C1037" s="2" t="inlineStr">
        <is>
          <t>business_fact</t>
        </is>
      </c>
      <c r="D1037" s="2" t="inlineStr">
        <is>
          <t>Business fact</t>
        </is>
      </c>
      <c r="E1037" s="2" t="n"/>
      <c r="F1037" s="2" t="n"/>
      <c r="G1037" s="2" t="n"/>
      <c r="H1037" s="3" t="inlineStr">
        <is>
          <t>Average station concession considered 10-15 years; station materials last around 20 years excluding the charger.</t>
        </is>
      </c>
      <c r="I1037" s="2" t="inlineStr">
        <is>
          <t>S3</t>
        </is>
      </c>
      <c r="J1037" s="2" t="n">
        <v>67</v>
      </c>
      <c r="K1037" s="3" t="inlineStr">
        <is>
          <t>we consider the average length of a Fastned station concession to be 10-15 years, and the longevity of the materials used to build it around 20 years, excluding the charger.</t>
        </is>
      </c>
      <c r="L1037" s="2" t="inlineStr">
        <is>
          <t>pend</t>
        </is>
      </c>
      <c r="M1037" s="2" t="n"/>
      <c r="N1037" s="2" t="n"/>
      <c r="O1037" s="3" t="inlineStr">
        <is>
          <t>https://vanillabonds.com/dossier-data/pdf/fastned/fastned-2025-annual-report.pdf#page=67</t>
        </is>
      </c>
    </row>
    <row r="1038">
      <c r="A1038" s="2" t="inlineStr">
        <is>
          <t>F1037</t>
        </is>
      </c>
      <c r="B1038" s="2" t="inlineStr">
        <is>
          <t>business</t>
        </is>
      </c>
      <c r="C1038" s="2" t="inlineStr">
        <is>
          <t>business_fact</t>
        </is>
      </c>
      <c r="D1038" s="2" t="inlineStr">
        <is>
          <t>Business fact</t>
        </is>
      </c>
      <c r="E1038" s="2" t="n"/>
      <c r="F1038" s="2" t="n"/>
      <c r="G1038" s="2" t="n"/>
      <c r="H1038" s="3" t="inlineStr">
        <is>
          <t>Transition to a new customer service provider during 2025.</t>
        </is>
      </c>
      <c r="I1038" s="2" t="inlineStr">
        <is>
          <t>S3</t>
        </is>
      </c>
      <c r="J1038" s="2" t="n">
        <v>83</v>
      </c>
      <c r="K1038" s="3" t="inlineStr">
        <is>
          <t>the transition to a new customer service provider</t>
        </is>
      </c>
      <c r="L1038" s="2" t="inlineStr">
        <is>
          <t>pend</t>
        </is>
      </c>
      <c r="M1038" s="2" t="n"/>
      <c r="N1038" s="2" t="n"/>
      <c r="O1038" s="3" t="inlineStr">
        <is>
          <t>https://vanillabonds.com/dossier-data/pdf/fastned/fastned-2025-annual-report.pdf#page=83</t>
        </is>
      </c>
    </row>
    <row r="1039">
      <c r="A1039" s="2" t="inlineStr">
        <is>
          <t>F1038</t>
        </is>
      </c>
      <c r="B1039" s="2" t="inlineStr">
        <is>
          <t>business</t>
        </is>
      </c>
      <c r="C1039" s="2" t="inlineStr">
        <is>
          <t>business_fact</t>
        </is>
      </c>
      <c r="D1039" s="2" t="inlineStr">
        <is>
          <t>Business fact</t>
        </is>
      </c>
      <c r="E1039" s="2" t="n"/>
      <c r="F1039" s="2" t="n"/>
      <c r="G1039" s="2" t="n"/>
      <c r="H1039" s="3" t="inlineStr">
        <is>
          <t>Station count history: 406 (2025), 346 (2024), 297 (2023), 244 (2022), 188 (2021).</t>
        </is>
      </c>
      <c r="I1039" s="2" t="inlineStr">
        <is>
          <t>S3</t>
        </is>
      </c>
      <c r="J1039" s="2" t="n">
        <v>97</v>
      </c>
      <c r="K1039" s="3" t="inlineStr">
        <is>
          <t>Number of stations 406 17 % 346 16 % 297 22 % 244 30 % 188</t>
        </is>
      </c>
      <c r="L1039" s="2" t="inlineStr">
        <is>
          <t>pend</t>
        </is>
      </c>
      <c r="M1039" s="2" t="n"/>
      <c r="N1039" s="2" t="n"/>
      <c r="O1039" s="3" t="inlineStr">
        <is>
          <t>https://vanillabonds.com/dossier-data/pdf/fastned/fastned-2025-annual-report.pdf#page=97</t>
        </is>
      </c>
    </row>
    <row r="1040">
      <c r="A1040" s="2" t="inlineStr">
        <is>
          <t>F1039</t>
        </is>
      </c>
      <c r="B1040" s="2" t="inlineStr">
        <is>
          <t>business</t>
        </is>
      </c>
      <c r="C1040" s="2" t="inlineStr">
        <is>
          <t>business_fact</t>
        </is>
      </c>
      <c r="D1040" s="2" t="inlineStr">
        <is>
          <t>Business fact</t>
        </is>
      </c>
      <c r="E1040" s="2" t="n"/>
      <c r="F1040" s="2" t="n"/>
      <c r="G1040" s="2" t="n"/>
      <c r="H1040" s="3" t="inlineStr">
        <is>
          <t>Fastned has been present in the UK since 2019 (first ultra-rapid hub in Sunderland); 37 UK stations at end-2025.</t>
        </is>
      </c>
      <c r="I1040" s="2" t="inlineStr">
        <is>
          <t>S3</t>
        </is>
      </c>
      <c r="J1040" s="2" t="n">
        <v>99</v>
      </c>
      <c r="K1040" s="3" t="inlineStr">
        <is>
          <t>Fastned has been present in the UK since 2019, when the company opened what was at that time the UK’s first ultra-rapid charging hub, in Sunderland.</t>
        </is>
      </c>
      <c r="L1040" s="2" t="inlineStr">
        <is>
          <t>pend</t>
        </is>
      </c>
      <c r="M1040" s="2" t="n"/>
      <c r="N1040" s="2" t="n"/>
      <c r="O1040" s="3" t="inlineStr">
        <is>
          <t>https://vanillabonds.com/dossier-data/pdf/fastned/fastned-2025-annual-report.pdf#page=99</t>
        </is>
      </c>
    </row>
    <row r="1041">
      <c r="A1041" s="2" t="inlineStr">
        <is>
          <t>F1040</t>
        </is>
      </c>
      <c r="B1041" s="2" t="inlineStr">
        <is>
          <t>business</t>
        </is>
      </c>
      <c r="C1041" s="2" t="inlineStr">
        <is>
          <t>business_fact</t>
        </is>
      </c>
      <c r="D1041" s="2" t="inlineStr">
        <is>
          <t>Business fact</t>
        </is>
      </c>
      <c r="E1041" s="2" t="n"/>
      <c r="F1041" s="2" t="n"/>
      <c r="G1041" s="2" t="n"/>
      <c r="H1041" s="3" t="inlineStr">
        <is>
          <t>ZapMap drivers voted Fastned the UK's best ultra-rapid charging network and the best medium-sized ultra-rapid network for 2025.</t>
        </is>
      </c>
      <c r="I1041" s="2" t="inlineStr">
        <is>
          <t>S3</t>
        </is>
      </c>
      <c r="J1041" s="2" t="n">
        <v>100</v>
      </c>
      <c r="K1041" s="3" t="inlineStr">
        <is>
          <t>voting Fastned the UK's best ultra-rapid charging network, and most recently the best medium-sized ultra-rapid network for 2025.</t>
        </is>
      </c>
      <c r="L1041" s="2" t="inlineStr">
        <is>
          <t>pend</t>
        </is>
      </c>
      <c r="M1041" s="2" t="n"/>
      <c r="N1041" s="2" t="n"/>
      <c r="O1041" s="3" t="inlineStr">
        <is>
          <t>https://vanillabonds.com/dossier-data/pdf/fastned/fastned-2025-annual-report.pdf#page=100</t>
        </is>
      </c>
    </row>
    <row r="1042">
      <c r="A1042" s="2" t="inlineStr">
        <is>
          <t>F1041</t>
        </is>
      </c>
      <c r="B1042" s="2" t="inlineStr">
        <is>
          <t>business</t>
        </is>
      </c>
      <c r="C1042" s="2" t="inlineStr">
        <is>
          <t>business_fact</t>
        </is>
      </c>
      <c r="D1042" s="2" t="inlineStr">
        <is>
          <t>Business fact</t>
        </is>
      </c>
      <c r="E1042" s="2" t="n"/>
      <c r="F1042" s="2" t="n"/>
      <c r="G1042" s="2" t="n"/>
      <c r="H1042" s="3" t="inlineStr">
        <is>
          <t>The annual report is prepared in ESEF format per Delegated Regulation (EU) 2019/815.</t>
        </is>
      </c>
      <c r="I1042" s="2" t="inlineStr">
        <is>
          <t>S3</t>
        </is>
      </c>
      <c r="J1042" s="2" t="n">
        <v>122</v>
      </c>
      <c r="K1042" s="3" t="inlineStr">
        <is>
          <t>The annual report has been prepared in ESEF</t>
        </is>
      </c>
      <c r="L1042" s="2" t="inlineStr">
        <is>
          <t>pend</t>
        </is>
      </c>
      <c r="M1042" s="2" t="n"/>
      <c r="N1042" s="2" t="n"/>
      <c r="O1042" s="3" t="inlineStr">
        <is>
          <t>https://vanillabonds.com/dossier-data/pdf/fastned/fastned-2025-annual-report.pdf#page=122</t>
        </is>
      </c>
    </row>
    <row r="1043">
      <c r="A1043" s="2" t="inlineStr">
        <is>
          <t>F1042</t>
        </is>
      </c>
      <c r="B1043" s="2" t="inlineStr">
        <is>
          <t>business</t>
        </is>
      </c>
      <c r="C1043" s="2" t="inlineStr">
        <is>
          <t>business_fact</t>
        </is>
      </c>
      <c r="D1043" s="2" t="inlineStr">
        <is>
          <t>Business fact</t>
        </is>
      </c>
      <c r="E1043" s="2" t="n"/>
      <c r="F1043" s="2" t="n"/>
      <c r="G1043" s="2" t="n"/>
      <c r="H1043" s="3" t="inlineStr">
        <is>
          <t>Depreciation straight-line: charging stations and technical installations over 15 or 8 years, transformers 30 years, other operating assets 5 years; land and assets under construction not depreciated.</t>
        </is>
      </c>
      <c r="I1043" s="2" t="inlineStr">
        <is>
          <t>S3</t>
        </is>
      </c>
      <c r="J1043" s="2" t="n">
        <v>133</v>
      </c>
      <c r="K1043" s="3" t="inlineStr">
        <is>
          <t>Charging stations and technical installations 6.66% per year/ 15 year or 12.5% per year/ 8 years</t>
        </is>
      </c>
      <c r="L1043" s="2" t="inlineStr">
        <is>
          <t>pend</t>
        </is>
      </c>
      <c r="M1043" s="2" t="n"/>
      <c r="N1043" s="2" t="n"/>
      <c r="O1043" s="3" t="inlineStr">
        <is>
          <t>https://vanillabonds.com/dossier-data/pdf/fastned/fastned-2025-annual-report.pdf#page=133</t>
        </is>
      </c>
    </row>
    <row r="1044">
      <c r="A1044" s="2" t="inlineStr">
        <is>
          <t>F1043</t>
        </is>
      </c>
      <c r="B1044" s="2" t="inlineStr">
        <is>
          <t>business</t>
        </is>
      </c>
      <c r="C1044" s="2" t="inlineStr">
        <is>
          <t>business_fact</t>
        </is>
      </c>
      <c r="D1044" s="2" t="inlineStr">
        <is>
          <t>Business fact</t>
        </is>
      </c>
      <c r="E1044" s="2" t="n"/>
      <c r="F1044" s="2" t="n"/>
      <c r="G1044" s="2" t="n"/>
      <c r="H1044" s="3" t="inlineStr">
        <is>
          <t>Early adoption from 1 January 2025 of the IFRS 9 and IFRS 7 amendments on contracts referencing nature-dependent electricity (PPAs under own-use); no impact on recognised amounts.</t>
        </is>
      </c>
      <c r="I1044" s="2" t="inlineStr">
        <is>
          <t>S3</t>
        </is>
      </c>
      <c r="J1044" s="2" t="n">
        <v>141</v>
      </c>
      <c r="K1044" s="3" t="inlineStr">
        <is>
          <t>The Group has elected to early adopt these amendments. The amendments are applied for the annual period beginning 1 January 2025.</t>
        </is>
      </c>
      <c r="L1044" s="2" t="inlineStr">
        <is>
          <t>pend</t>
        </is>
      </c>
      <c r="M1044" s="2" t="n"/>
      <c r="N1044" s="2" t="n"/>
      <c r="O1044" s="3" t="inlineStr">
        <is>
          <t>https://vanillabonds.com/dossier-data/pdf/fastned/fastned-2025-annual-report.pdf#page=141</t>
        </is>
      </c>
    </row>
    <row r="1045">
      <c r="A1045" s="2" t="inlineStr">
        <is>
          <t>F1044</t>
        </is>
      </c>
      <c r="B1045" s="2" t="inlineStr">
        <is>
          <t>business</t>
        </is>
      </c>
      <c r="C1045" s="2" t="inlineStr">
        <is>
          <t>business_fact</t>
        </is>
      </c>
      <c r="D1045" s="2" t="inlineStr">
        <is>
          <t>Business fact</t>
        </is>
      </c>
      <c r="E1045" s="2" t="n"/>
      <c r="F1045" s="2" t="n"/>
      <c r="G1045" s="2" t="n"/>
      <c r="H1045" s="3" t="inlineStr">
        <is>
          <t>IFRS 18 and other new standards effective 1 January 2027; presentation impact of IFRS 18 being assessed.</t>
        </is>
      </c>
      <c r="I1045" s="2" t="inlineStr">
        <is>
          <t>S3</t>
        </is>
      </c>
      <c r="J1045" s="2" t="n">
        <v>141</v>
      </c>
      <c r="K1045" s="3" t="inlineStr">
        <is>
          <t>These standards or amendments are effective 01 January 2027.</t>
        </is>
      </c>
      <c r="L1045" s="2" t="inlineStr">
        <is>
          <t>pend</t>
        </is>
      </c>
      <c r="M1045" s="2" t="n"/>
      <c r="N1045" s="2" t="n"/>
      <c r="O1045" s="3" t="inlineStr">
        <is>
          <t>https://vanillabonds.com/dossier-data/pdf/fastned/fastned-2025-annual-report.pdf#page=141</t>
        </is>
      </c>
    </row>
    <row r="1046">
      <c r="A1046" s="2" t="inlineStr">
        <is>
          <t>F1045</t>
        </is>
      </c>
      <c r="B1046" s="2" t="inlineStr">
        <is>
          <t>business</t>
        </is>
      </c>
      <c r="C1046" s="2" t="inlineStr">
        <is>
          <t>business_fact</t>
        </is>
      </c>
      <c r="D1046" s="2" t="inlineStr">
        <is>
          <t>Business fact</t>
        </is>
      </c>
      <c r="E1046" s="2" t="n"/>
      <c r="F1046" s="2" t="n"/>
      <c r="G1046" s="2" t="n"/>
      <c r="H1046" s="3" t="inlineStr">
        <is>
          <t>Decommissioning provision €20.3m at 31 Dec 2025 (2024: €17.6m): removal cost €26-121k per station, 2-30 years to expiry, inflation 2.0%, discount rate 3.37% (2024: 2.60%) on the 20-year Eurozone bond.</t>
        </is>
      </c>
      <c r="I1046" s="2" t="inlineStr">
        <is>
          <t>S3</t>
        </is>
      </c>
      <c r="J1046" s="2" t="n">
        <v>144</v>
      </c>
      <c r="K1046" s="3" t="inlineStr">
        <is>
          <t>The carrying amount of the provision as at 31 December 2025 was €20.3 million (2024: €17.6 million).</t>
        </is>
      </c>
      <c r="L1046" s="2" t="inlineStr">
        <is>
          <t>pend</t>
        </is>
      </c>
      <c r="M1046" s="2" t="n"/>
      <c r="N1046" s="2" t="n"/>
      <c r="O1046" s="3" t="inlineStr">
        <is>
          <t>https://vanillabonds.com/dossier-data/pdf/fastned/fastned-2025-annual-report.pdf#page=144</t>
        </is>
      </c>
    </row>
    <row r="1047">
      <c r="A1047" s="2" t="inlineStr">
        <is>
          <t>F1046</t>
        </is>
      </c>
      <c r="B1047" s="2" t="inlineStr">
        <is>
          <t>business</t>
        </is>
      </c>
      <c r="C1047" s="2" t="inlineStr">
        <is>
          <t>business_fact</t>
        </is>
      </c>
      <c r="D1047" s="2" t="inlineStr">
        <is>
          <t>Business fact</t>
        </is>
      </c>
      <c r="E1047" s="2" t="n"/>
      <c r="F1047" s="2" t="n"/>
      <c r="G1047" s="2" t="n"/>
      <c r="H1047" s="3" t="inlineStr">
        <is>
          <t>Fastned Founders Club (May 2015): investors of at least €25,000 (NPEX) or €50,000 (Nxchange 2016) charge for free for life while holding certificates; deferred income €175k at end 2025 (2024: €185k).</t>
        </is>
      </c>
      <c r="I1047" s="2" t="inlineStr">
        <is>
          <t>S3</t>
        </is>
      </c>
      <c r="J1047" s="2" t="n">
        <v>145</v>
      </c>
      <c r="K1047" s="3" t="inlineStr">
        <is>
          <t>The carrying amount of deferred income as at 31 December 2025 was €175,000 (2024: €185,000).</t>
        </is>
      </c>
      <c r="L1047" s="2" t="inlineStr">
        <is>
          <t>pend</t>
        </is>
      </c>
      <c r="M1047" s="2" t="n"/>
      <c r="N1047" s="2" t="n"/>
      <c r="O1047" s="3" t="inlineStr">
        <is>
          <t>https://vanillabonds.com/dossier-data/pdf/fastned/fastned-2025-annual-report.pdf#page=145</t>
        </is>
      </c>
    </row>
    <row r="1048">
      <c r="A1048" s="2" t="inlineStr">
        <is>
          <t>F1047</t>
        </is>
      </c>
      <c r="B1048" s="2" t="inlineStr">
        <is>
          <t>business</t>
        </is>
      </c>
      <c r="C1048" s="2" t="inlineStr">
        <is>
          <t>business_fact</t>
        </is>
      </c>
      <c r="D1048" s="2" t="inlineStr">
        <is>
          <t>Business fact</t>
        </is>
      </c>
      <c r="E1048" s="2" t="n"/>
      <c r="F1048" s="2" t="n"/>
      <c r="G1048" s="2" t="n"/>
      <c r="H1048" s="3" t="inlineStr">
        <is>
          <t>German Highway Tender terms: price cap for ad-hoc charging, non-discriminatory access for mobility providers, fee to the grantor per kWh supplied, performance-linked penalties on operator fees; infrastructure transfers to the grantor at the end.</t>
        </is>
      </c>
      <c r="I1048" s="2" t="inlineStr">
        <is>
          <t>S3</t>
        </is>
      </c>
      <c r="J1048" s="2" t="n">
        <v>155</v>
      </c>
      <c r="K1048" s="3" t="inlineStr">
        <is>
          <t>The Group's right to charge users is subject to a price cap for ad-hoc charging and non-discriminatory access requirements for mobility providers</t>
        </is>
      </c>
      <c r="L1048" s="2" t="inlineStr">
        <is>
          <t>pend</t>
        </is>
      </c>
      <c r="M1048" s="2" t="n"/>
      <c r="N1048" s="2" t="n"/>
      <c r="O1048" s="3" t="inlineStr">
        <is>
          <t>https://vanillabonds.com/dossier-data/pdf/fastned/fastned-2025-annual-report.pdf#page=155</t>
        </is>
      </c>
    </row>
    <row r="1049">
      <c r="A1049" s="2" t="inlineStr">
        <is>
          <t>F1048</t>
        </is>
      </c>
      <c r="B1049" s="2" t="inlineStr">
        <is>
          <t>business</t>
        </is>
      </c>
      <c r="C1049" s="2" t="inlineStr">
        <is>
          <t>business_fact</t>
        </is>
      </c>
      <c r="D1049" s="2" t="inlineStr">
        <is>
          <t>Business fact</t>
        </is>
      </c>
      <c r="E1049" s="2" t="n"/>
      <c r="F1049" s="2" t="n"/>
      <c r="G1049" s="2" t="n"/>
      <c r="H1049" s="3" t="inlineStr">
        <is>
          <t>Restricted cash of €0.7m held for French construction and operating guarantees was returned in 2025; no pledged assets at end 2025.</t>
        </is>
      </c>
      <c r="I1049" s="2" t="inlineStr">
        <is>
          <t>S3</t>
        </is>
      </c>
      <c r="J1049" s="2" t="n">
        <v>171</v>
      </c>
      <c r="K1049" s="3" t="inlineStr">
        <is>
          <t>During 2025, the related restricted cash of €0.7 million was returned to the Group’s bank account.</t>
        </is>
      </c>
      <c r="L1049" s="2" t="inlineStr">
        <is>
          <t>pend</t>
        </is>
      </c>
      <c r="M1049" s="2" t="n"/>
      <c r="N1049" s="2" t="n"/>
      <c r="O1049" s="3" t="inlineStr">
        <is>
          <t>https://vanillabonds.com/dossier-data/pdf/fastned/fastned-2025-annual-report.pdf#page=171</t>
        </is>
      </c>
    </row>
    <row r="1050">
      <c r="A1050" s="2" t="inlineStr">
        <is>
          <t>F1049</t>
        </is>
      </c>
      <c r="B1050" s="2" t="inlineStr">
        <is>
          <t>business</t>
        </is>
      </c>
      <c r="C1050" s="2" t="inlineStr">
        <is>
          <t>business_fact</t>
        </is>
      </c>
      <c r="D1050" s="2" t="inlineStr">
        <is>
          <t>Business fact</t>
        </is>
      </c>
      <c r="E1050" s="2" t="n"/>
      <c r="F1050" s="2" t="n"/>
      <c r="G1050" s="2" t="n"/>
      <c r="H1050" s="3" t="inlineStr">
        <is>
          <t>Fastned is lessor under a finance lease of one commercial unit (shop) at a station; lease receivable €1.8m; no derivatives used, all financial assets and liabilities at amortised cost.</t>
        </is>
      </c>
      <c r="I1050" s="2" t="inlineStr">
        <is>
          <t>S3</t>
        </is>
      </c>
      <c r="J1050" s="2" t="n">
        <v>171</v>
      </c>
      <c r="K1050" s="3" t="inlineStr">
        <is>
          <t>Fastned is the lessor in a finance lease of a commercial unit at one station location, which is leased to a third party to operate a shop.</t>
        </is>
      </c>
      <c r="L1050" s="2" t="inlineStr">
        <is>
          <t>pend</t>
        </is>
      </c>
      <c r="M1050" s="2" t="n"/>
      <c r="N1050" s="2" t="n"/>
      <c r="O1050" s="3" t="inlineStr">
        <is>
          <t>https://vanillabonds.com/dossier-data/pdf/fastned/fastned-2025-annual-report.pdf#page=171</t>
        </is>
      </c>
    </row>
    <row r="1051">
      <c r="A1051" s="2" t="inlineStr">
        <is>
          <t>F1050</t>
        </is>
      </c>
      <c r="B1051" s="2" t="inlineStr">
        <is>
          <t>business</t>
        </is>
      </c>
      <c r="C1051" s="2" t="inlineStr">
        <is>
          <t>business_fact</t>
        </is>
      </c>
      <c r="D1051" s="2" t="inlineStr">
        <is>
          <t>Business fact</t>
        </is>
      </c>
      <c r="E1051" s="2" t="n"/>
      <c r="F1051" s="2" t="n"/>
      <c r="G1051" s="2" t="n"/>
      <c r="H1051" s="3" t="inlineStr">
        <is>
          <t>German government (Bundesministerium für Verkehr) grants are recognised as an interest-free loan repaid through remuneration sharing per kWh; the portion not expected to be reimbursed is a forgivable loan in PP&amp;E; €4.5m granted but cash not yet received at end 2025.</t>
        </is>
      </c>
      <c r="I1051" s="2" t="inlineStr">
        <is>
          <t>S3</t>
        </is>
      </c>
      <c r="J1051" s="2" t="n">
        <v>173</v>
      </c>
      <c r="K1051" s="3" t="inlineStr">
        <is>
          <t>Included in the balance of the Regional Tender loan is an amount of € 4.5 million which has been granted to Fastned for which the cash has not yet been received</t>
        </is>
      </c>
      <c r="L1051" s="2" t="inlineStr">
        <is>
          <t>pend</t>
        </is>
      </c>
      <c r="M1051" s="2" t="n"/>
      <c r="N1051" s="2" t="n"/>
      <c r="O1051" s="3" t="inlineStr">
        <is>
          <t>https://vanillabonds.com/dossier-data/pdf/fastned/fastned-2025-annual-report.pdf#page=173</t>
        </is>
      </c>
    </row>
    <row r="1052">
      <c r="A1052" s="2" t="inlineStr">
        <is>
          <t>F1051</t>
        </is>
      </c>
      <c r="B1052" s="2" t="inlineStr">
        <is>
          <t>business</t>
        </is>
      </c>
      <c r="C1052" s="2" t="inlineStr">
        <is>
          <t>business_fact</t>
        </is>
      </c>
      <c r="D1052" s="2" t="inlineStr">
        <is>
          <t>Business fact</t>
        </is>
      </c>
      <c r="E1052" s="2" t="n"/>
      <c r="F1052" s="2" t="n"/>
      <c r="G1052" s="2" t="n"/>
      <c r="H1052" s="3" t="inlineStr">
        <is>
          <t>Real-time payments launched in certain countries in 2025 (transactions authorised and settled at the moment of charging) to reduce credit risk; further roll-out scheduled.</t>
        </is>
      </c>
      <c r="I1052" s="2" t="inlineStr">
        <is>
          <t>S3</t>
        </is>
      </c>
      <c r="J1052" s="2" t="n">
        <v>178</v>
      </c>
      <c r="K1052" s="3" t="inlineStr">
        <is>
          <t>in 2025, the Group successfully launched real-time payments ('RTP') in certain countries</t>
        </is>
      </c>
      <c r="L1052" s="2" t="inlineStr">
        <is>
          <t>pend</t>
        </is>
      </c>
      <c r="M1052" s="2" t="n"/>
      <c r="N1052" s="2" t="n"/>
      <c r="O1052" s="3" t="inlineStr">
        <is>
          <t>https://vanillabonds.com/dossier-data/pdf/fastned/fastned-2025-annual-report.pdf#page=178</t>
        </is>
      </c>
    </row>
    <row r="1053">
      <c r="A1053" s="2" t="inlineStr">
        <is>
          <t>F1052</t>
        </is>
      </c>
      <c r="B1053" s="2" t="inlineStr">
        <is>
          <t>business</t>
        </is>
      </c>
      <c r="C1053" s="2" t="inlineStr">
        <is>
          <t>business_fact</t>
        </is>
      </c>
      <c r="D1053" s="2" t="inlineStr">
        <is>
          <t>Business fact</t>
        </is>
      </c>
      <c r="E1053" s="2" t="n"/>
      <c r="F1053" s="2" t="n"/>
      <c r="G1053" s="2" t="n"/>
      <c r="H1053" s="3" t="inlineStr">
        <is>
          <t>Trade receivables are non-interest bearing on terms of generally 14 days; written off when unpaid 365 days after invoice without alternative arrangements.</t>
        </is>
      </c>
      <c r="I1053" s="2" t="inlineStr">
        <is>
          <t>S3</t>
        </is>
      </c>
      <c r="J1053" s="2" t="n">
        <v>179</v>
      </c>
      <c r="K1053" s="2" t="inlineStr">
        <is>
          <t>generally on terms of 14 days</t>
        </is>
      </c>
      <c r="L1053" s="2" t="inlineStr">
        <is>
          <t>pend</t>
        </is>
      </c>
      <c r="M1053" s="2" t="n"/>
      <c r="N1053" s="2" t="n"/>
      <c r="O1053" s="3" t="inlineStr">
        <is>
          <t>https://vanillabonds.com/dossier-data/pdf/fastned/fastned-2025-annual-report.pdf#page=179</t>
        </is>
      </c>
    </row>
    <row r="1054">
      <c r="A1054" s="2" t="inlineStr">
        <is>
          <t>F1053</t>
        </is>
      </c>
      <c r="B1054" s="2" t="inlineStr">
        <is>
          <t>business</t>
        </is>
      </c>
      <c r="C1054" s="2" t="inlineStr">
        <is>
          <t>business_fact</t>
        </is>
      </c>
      <c r="D1054" s="2" t="inlineStr">
        <is>
          <t>Business fact</t>
        </is>
      </c>
      <c r="E1054" s="2" t="n"/>
      <c r="F1054" s="2" t="n"/>
      <c r="G1054" s="2" t="n"/>
      <c r="H1054" s="3" t="inlineStr">
        <is>
          <t>Prepayments include €2.3m of transaction costs incurred for obtaining the Green loan facility (key event post reporting date).</t>
        </is>
      </c>
      <c r="I1054" s="2" t="inlineStr">
        <is>
          <t>S3</t>
        </is>
      </c>
      <c r="J1054" s="2" t="n">
        <v>182</v>
      </c>
      <c r="K1054" s="3" t="inlineStr">
        <is>
          <t>relating to transaction costs incurred for obtaining the Green loan facility</t>
        </is>
      </c>
      <c r="L1054" s="2" t="inlineStr">
        <is>
          <t>pend</t>
        </is>
      </c>
      <c r="M1054" s="2" t="n"/>
      <c r="N1054" s="2" t="n"/>
      <c r="O1054" s="3" t="inlineStr">
        <is>
          <t>https://vanillabonds.com/dossier-data/pdf/fastned/fastned-2025-annual-report.pdf#page=182</t>
        </is>
      </c>
    </row>
    <row r="1055">
      <c r="A1055" s="2" t="inlineStr">
        <is>
          <t>F1054</t>
        </is>
      </c>
      <c r="B1055" s="2" t="inlineStr">
        <is>
          <t>business</t>
        </is>
      </c>
      <c r="C1055" s="2" t="inlineStr">
        <is>
          <t>business_fact</t>
        </is>
      </c>
      <c r="D1055" s="2" t="inlineStr">
        <is>
          <t>Business fact</t>
        </is>
      </c>
      <c r="E1055" s="2" t="n"/>
      <c r="F1055" s="2" t="n"/>
      <c r="G1055" s="2" t="n"/>
      <c r="H1055" s="3" t="inlineStr">
        <is>
          <t>Parent company Fastned B.V. carries loans from external parties of EUR 259.7m non-current and EUR 12.0m current interest-bearing loans and borrowings at 31 December 2025 (2024: EUR 185.6m and EUR 21.8m).</t>
        </is>
      </c>
      <c r="I1055" s="2" t="inlineStr">
        <is>
          <t>S3</t>
        </is>
      </c>
      <c r="J1055" s="2" t="n">
        <v>198</v>
      </c>
      <c r="K1055" s="3" t="inlineStr">
        <is>
          <t>Loans from external parties 15.3 259,702 185,649</t>
        </is>
      </c>
      <c r="L1055" s="2" t="inlineStr">
        <is>
          <t>pend</t>
        </is>
      </c>
      <c r="M1055" s="2" t="n"/>
      <c r="N1055" s="2" t="n"/>
      <c r="O1055" s="3" t="inlineStr">
        <is>
          <t>https://vanillabonds.com/dossier-data/pdf/fastned/fastned-2025-annual-report.pdf#page=198</t>
        </is>
      </c>
    </row>
    <row r="1056">
      <c r="A1056" s="2" t="inlineStr">
        <is>
          <t>F1055</t>
        </is>
      </c>
      <c r="B1056" s="2" t="inlineStr">
        <is>
          <t>business</t>
        </is>
      </c>
      <c r="C1056" s="2" t="inlineStr">
        <is>
          <t>business_fact</t>
        </is>
      </c>
      <c r="D1056" s="2" t="inlineStr">
        <is>
          <t>Business fact</t>
        </is>
      </c>
      <c r="E1056" s="2" t="n"/>
      <c r="F1056" s="2" t="n"/>
      <c r="G1056" s="2" t="n"/>
      <c r="H1056" s="3" t="inlineStr">
        <is>
          <t>The parent company averaged 194 employees in 2025 (2024: 150), all based in the Netherlands, with 3 directors (2024: 3).</t>
        </is>
      </c>
      <c r="I1056" s="2" t="inlineStr">
        <is>
          <t>S3</t>
        </is>
      </c>
      <c r="J1056" s="2" t="n">
        <v>201</v>
      </c>
      <c r="K1056" s="3" t="inlineStr">
        <is>
          <t>In 2025 the average number of employees was 194 (2024: 150), and the number of directors was 3 (2024: 3). All of the employees are based in the Netherlands.</t>
        </is>
      </c>
      <c r="L1056" s="2" t="inlineStr">
        <is>
          <t>pend</t>
        </is>
      </c>
      <c r="M1056" s="2" t="n"/>
      <c r="N1056" s="2" t="n"/>
      <c r="O1056" s="3" t="inlineStr">
        <is>
          <t>https://vanillabonds.com/dossier-data/pdf/fastned/fastned-2025-annual-report.pdf#page=201</t>
        </is>
      </c>
    </row>
    <row r="1057">
      <c r="A1057" s="2" t="inlineStr">
        <is>
          <t>F1056</t>
        </is>
      </c>
      <c r="B1057" s="2" t="inlineStr">
        <is>
          <t>business</t>
        </is>
      </c>
      <c r="C1057" s="2" t="inlineStr">
        <is>
          <t>business_fact</t>
        </is>
      </c>
      <c r="D1057" s="2" t="inlineStr">
        <is>
          <t>Business fact</t>
        </is>
      </c>
      <c r="E1057" s="2" t="n"/>
      <c r="F1057" s="2" t="n"/>
      <c r="G1057" s="2" t="n"/>
      <c r="H1057" s="3" t="inlineStr">
        <is>
          <t>Disposals of charging stations of EUR 7.0m in 2025 (2024: EUR 0.4m) relate to station redevelopment and scrapping of old ABB chargers; part of the ABB chargers impaired in 2024 was disposed of in 2025 (parent company note).</t>
        </is>
      </c>
      <c r="I1057" s="2" t="inlineStr">
        <is>
          <t>S3</t>
        </is>
      </c>
      <c r="J1057" s="2" t="n">
        <v>205</v>
      </c>
      <c r="K1057" s="3" t="inlineStr">
        <is>
          <t>disposals of charging stations amounting to €7.0 million (2024: €0.4 million) relate to the redevelopment of stations and the scrapping of old ABB chargers.</t>
        </is>
      </c>
      <c r="L1057" s="2" t="inlineStr">
        <is>
          <t>pend</t>
        </is>
      </c>
      <c r="M1057" s="2" t="n"/>
      <c r="N1057" s="2" t="n"/>
      <c r="O1057" s="3" t="inlineStr">
        <is>
          <t>https://vanillabonds.com/dossier-data/pdf/fastned/fastned-2025-annual-report.pdf#page=205</t>
        </is>
      </c>
    </row>
    <row r="1058">
      <c r="A1058" s="2" t="inlineStr">
        <is>
          <t>F1057</t>
        </is>
      </c>
      <c r="B1058" s="2" t="inlineStr">
        <is>
          <t>business</t>
        </is>
      </c>
      <c r="C1058" s="2" t="inlineStr">
        <is>
          <t>business_fact</t>
        </is>
      </c>
      <c r="D1058" s="2" t="inlineStr">
        <is>
          <t>Business fact</t>
        </is>
      </c>
      <c r="E1058" s="2" t="n"/>
      <c r="F1058" s="2" t="n"/>
      <c r="G1058" s="2" t="n"/>
      <c r="H1058" s="3" t="inlineStr">
        <is>
          <t>Directly attributable staff costs of EUR 0.76m were capitalised in PP&amp;E additions in 2025 (2024: EUR 0.8m); transfers from construction in progress to charging stations were EUR 15.8m (2024: EUR 19.6m) (parent company note).</t>
        </is>
      </c>
      <c r="I1058" s="2" t="inlineStr">
        <is>
          <t>S3</t>
        </is>
      </c>
      <c r="J1058" s="2" t="n">
        <v>205</v>
      </c>
      <c r="K1058" s="3" t="inlineStr">
        <is>
          <t>Additions include the recognition of directly attributable staff costs for an amount of € 0.76 million, (2024:€0.8 million).</t>
        </is>
      </c>
      <c r="L1058" s="2" t="inlineStr">
        <is>
          <t>pend</t>
        </is>
      </c>
      <c r="M1058" s="2" t="n"/>
      <c r="N1058" s="2" t="n"/>
      <c r="O1058" s="3" t="inlineStr">
        <is>
          <t>https://vanillabonds.com/dossier-data/pdf/fastned/fastned-2025-annual-report.pdf#page=205</t>
        </is>
      </c>
    </row>
    <row r="1059">
      <c r="A1059" s="2" t="inlineStr">
        <is>
          <t>F1058</t>
        </is>
      </c>
      <c r="B1059" s="2" t="inlineStr">
        <is>
          <t>business</t>
        </is>
      </c>
      <c r="C1059" s="2" t="inlineStr">
        <is>
          <t>business_fact</t>
        </is>
      </c>
      <c r="D1059" s="2" t="inlineStr">
        <is>
          <t>Business fact</t>
        </is>
      </c>
      <c r="E1059" s="2" t="n"/>
      <c r="F1059" s="2" t="n"/>
      <c r="G1059" s="2" t="n"/>
      <c r="H1059" s="3" t="inlineStr">
        <is>
          <t>Parent inventory consists of renewable energy units granted: EUR 3.8m at 31 December 2025 (2024 restated: EUR 2.3m); EUR 9.8m was recognised in cost of sales in 2025 (2024: EUR 2.2m), no write-downs.</t>
        </is>
      </c>
      <c r="I1059" s="2" t="inlineStr">
        <is>
          <t>S3</t>
        </is>
      </c>
      <c r="J1059" s="2" t="n">
        <v>212</v>
      </c>
      <c r="K1059" s="3" t="inlineStr">
        <is>
          <t>Inventories recognized as an expense during the year ended 31 December 2025 amounted to €9.8 million (2024: €2.2 million).</t>
        </is>
      </c>
      <c r="L1059" s="2" t="inlineStr">
        <is>
          <t>pend</t>
        </is>
      </c>
      <c r="M1059" s="2" t="n"/>
      <c r="N1059" s="2" t="n"/>
      <c r="O1059" s="3" t="inlineStr">
        <is>
          <t>https://vanillabonds.com/dossier-data/pdf/fastned/fastned-2025-annual-report.pdf#page=212</t>
        </is>
      </c>
    </row>
    <row r="1060">
      <c r="A1060" s="2" t="inlineStr">
        <is>
          <t>F1059</t>
        </is>
      </c>
      <c r="B1060" s="2" t="inlineStr">
        <is>
          <t>business</t>
        </is>
      </c>
      <c r="C1060" s="2" t="inlineStr">
        <is>
          <t>business_fact</t>
        </is>
      </c>
      <c r="D1060" s="2" t="inlineStr">
        <is>
          <t>Business fact</t>
        </is>
      </c>
      <c r="E1060" s="2" t="n"/>
      <c r="F1060" s="2" t="n"/>
      <c r="G1060" s="2" t="n"/>
      <c r="H1060" s="3" t="inlineStr">
        <is>
          <t>Trade receivables are non-interest bearing on terms of 14 days (provision EUR 199k at 31 December 2025, 2024: EUR 129k); trade payables settled on 30-day terms; other payables one to six months (parent company).</t>
        </is>
      </c>
      <c r="I1060" s="2" t="inlineStr">
        <is>
          <t>S3</t>
        </is>
      </c>
      <c r="J1060" s="2" t="n">
        <v>212</v>
      </c>
      <c r="K1060" s="3" t="inlineStr">
        <is>
          <t>Trade receivables are non-interest bearing and are generally on terms of 14 days.</t>
        </is>
      </c>
      <c r="L1060" s="2" t="inlineStr">
        <is>
          <t>pend</t>
        </is>
      </c>
      <c r="M1060" s="2" t="n"/>
      <c r="N1060" s="2" t="n"/>
      <c r="O1060" s="3" t="inlineStr">
        <is>
          <t>https://vanillabonds.com/dossier-data/pdf/fastned/fastned-2025-annual-report.pdf#page=212</t>
        </is>
      </c>
    </row>
    <row r="1061">
      <c r="A1061" s="2" t="inlineStr">
        <is>
          <t>F1060</t>
        </is>
      </c>
      <c r="B1061" s="2" t="inlineStr">
        <is>
          <t>business</t>
        </is>
      </c>
      <c r="C1061" s="2" t="inlineStr">
        <is>
          <t>business_fact</t>
        </is>
      </c>
      <c r="D1061" s="2" t="inlineStr">
        <is>
          <t>Business fact</t>
        </is>
      </c>
      <c r="E1061" s="2" t="n"/>
      <c r="F1061" s="2" t="n"/>
      <c r="G1061" s="2" t="n"/>
      <c r="H1061" s="3" t="inlineStr">
        <is>
          <t>Renewable energy units are non-monetary government grants recognised at fair value under IAS 20 when the related electricity is sold; Fastned's policy is to sell them in the ordinary course of business, revenue recognised on delivery via the government portal.</t>
        </is>
      </c>
      <c r="I1061" s="2" t="inlineStr">
        <is>
          <t>S3</t>
        </is>
      </c>
      <c r="J1061" s="2" t="n">
        <v>224</v>
      </c>
      <c r="K1061" s="3" t="inlineStr">
        <is>
          <t>Fastned's policy is to sell renewable energy units ("REC's") received from the government in the ordinary course of business.</t>
        </is>
      </c>
      <c r="L1061" s="2" t="inlineStr">
        <is>
          <t>pend</t>
        </is>
      </c>
      <c r="M1061" s="2" t="n"/>
      <c r="N1061" s="2" t="n"/>
      <c r="O1061" s="3" t="inlineStr">
        <is>
          <t>https://vanillabonds.com/dossier-data/pdf/fastned/fastned-2025-annual-report.pdf#page=224</t>
        </is>
      </c>
    </row>
    <row r="1062">
      <c r="A1062" s="2" t="inlineStr">
        <is>
          <t>F1061</t>
        </is>
      </c>
      <c r="B1062" s="2" t="inlineStr">
        <is>
          <t>business</t>
        </is>
      </c>
      <c r="C1062" s="2" t="inlineStr">
        <is>
          <t>business_fact</t>
        </is>
      </c>
      <c r="D1062" s="2" t="inlineStr">
        <is>
          <t>Business fact</t>
        </is>
      </c>
      <c r="E1062" s="2" t="n"/>
      <c r="F1062" s="2" t="n"/>
      <c r="G1062" s="2" t="n"/>
      <c r="H1062" s="3" t="inlineStr">
        <is>
          <t>Consolidated property, plant and equipment amounts to EUR 293m, 58% of consolidated total assets at 31 December 2025; government grants are deducted as a negative asset within charging stations.</t>
        </is>
      </c>
      <c r="I1062" s="2" t="inlineStr">
        <is>
          <t>S3</t>
        </is>
      </c>
      <c r="J1062" s="2" t="n">
        <v>225</v>
      </c>
      <c r="K1062" s="3" t="inlineStr">
        <is>
          <t>The property, plant and equipment of Fastned amount to € 293 million and represent 58% of the consolidated total assets on 31 December 2025</t>
        </is>
      </c>
      <c r="L1062" s="2" t="inlineStr">
        <is>
          <t>pend</t>
        </is>
      </c>
      <c r="M1062" s="2" t="n"/>
      <c r="N1062" s="2" t="n"/>
      <c r="O1062" s="3" t="inlineStr">
        <is>
          <t>https://vanillabonds.com/dossier-data/pdf/fastned/fastned-2025-annual-report.pdf#page=225</t>
        </is>
      </c>
    </row>
    <row r="1063">
      <c r="A1063" s="2" t="inlineStr">
        <is>
          <t>F1062</t>
        </is>
      </c>
      <c r="B1063" s="2" t="inlineStr">
        <is>
          <t>business</t>
        </is>
      </c>
      <c r="C1063" s="2" t="inlineStr">
        <is>
          <t>business_fact</t>
        </is>
      </c>
      <c r="D1063" s="2" t="inlineStr">
        <is>
          <t>Business fact</t>
        </is>
      </c>
      <c r="E1063" s="2" t="n"/>
      <c r="F1063" s="2" t="n"/>
      <c r="G1063" s="2" t="n"/>
      <c r="H1063" s="3" t="inlineStr">
        <is>
          <t>Investor Relations address: James Wattstraat 77R, 1097 DL Amsterdam; the report is designed and implemented in Workiva.</t>
        </is>
      </c>
      <c r="I1063" s="2" t="inlineStr">
        <is>
          <t>S3</t>
        </is>
      </c>
      <c r="J1063" s="2" t="n">
        <v>232</v>
      </c>
      <c r="K1063" s="3" t="inlineStr">
        <is>
          <t>request to Fastned, Investor Relations Department, James Wattstraat 77R, 1097 DL Amsterdam, the Netherlands.</t>
        </is>
      </c>
      <c r="L1063" s="2" t="inlineStr">
        <is>
          <t>pend</t>
        </is>
      </c>
      <c r="M1063" s="2" t="n"/>
      <c r="N1063" s="2" t="n"/>
      <c r="O1063" s="3" t="inlineStr">
        <is>
          <t>https://vanillabonds.com/dossier-data/pdf/fastned/fastned-2025-annual-report.pdf#page=232</t>
        </is>
      </c>
    </row>
    <row r="1064">
      <c r="A1064" s="2" t="inlineStr">
        <is>
          <t>F1063</t>
        </is>
      </c>
      <c r="B1064" s="2" t="inlineStr">
        <is>
          <t>business</t>
        </is>
      </c>
      <c r="C1064" s="2" t="inlineStr">
        <is>
          <t>business_fact</t>
        </is>
      </c>
      <c r="D1064" s="2" t="inlineStr">
        <is>
          <t>Business fact</t>
        </is>
      </c>
      <c r="E1064" s="2" t="n"/>
      <c r="F1064" s="2" t="n"/>
      <c r="G1064" s="2" t="n"/>
      <c r="H1064" s="3" t="inlineStr">
        <is>
          <t>Landlord relations include variable rent paid out on station revenue, exclusivity rights (violations a discussed topic) and lease contract changes (due dates, change of ownership, cancellation).</t>
        </is>
      </c>
      <c r="I1064" s="2" t="inlineStr">
        <is>
          <t>S3</t>
        </is>
      </c>
      <c r="J1064" s="2" t="n">
        <v>235</v>
      </c>
      <c r="K1064" s="3" t="inlineStr">
        <is>
          <t>Station revenue updates (incl. payout of variable rent)</t>
        </is>
      </c>
      <c r="L1064" s="2" t="inlineStr">
        <is>
          <t>pend</t>
        </is>
      </c>
      <c r="M1064" s="2" t="n"/>
      <c r="N1064" s="2" t="n"/>
      <c r="O1064" s="3" t="inlineStr">
        <is>
          <t>https://vanillabonds.com/dossier-data/pdf/fastned/fastned-2025-annual-report.pdf#page=235</t>
        </is>
      </c>
    </row>
    <row r="1065">
      <c r="A1065" s="2" t="inlineStr">
        <is>
          <t>F1064</t>
        </is>
      </c>
      <c r="B1065" s="2" t="inlineStr">
        <is>
          <t>business</t>
        </is>
      </c>
      <c r="C1065" s="2" t="inlineStr">
        <is>
          <t>business_fact</t>
        </is>
      </c>
      <c r="D1065" s="2" t="inlineStr">
        <is>
          <t>Business fact</t>
        </is>
      </c>
      <c r="E1065" s="2" t="n"/>
      <c r="F1065" s="2" t="n"/>
      <c r="G1065" s="2" t="n"/>
      <c r="H1065" s="3" t="inlineStr">
        <is>
          <t>Fastned UK Limited: Company Nr 11140404, VAT GB290 9915 63; office 48-50 Scrutton Street, London EC2A 4HH; warehouse Hurricane Court, Stockton on Tees.</t>
        </is>
      </c>
      <c r="I1065" s="2" t="inlineStr">
        <is>
          <t>S3</t>
        </is>
      </c>
      <c r="J1065" s="2" t="n">
        <v>245</v>
      </c>
      <c r="K1065" s="3" t="inlineStr">
        <is>
          <t>Fastned UK Limited 51.52344, -0.08147 Company Nr: 11140404 / UK GB290 9915 63</t>
        </is>
      </c>
      <c r="L1065" s="2" t="inlineStr">
        <is>
          <t>pend</t>
        </is>
      </c>
      <c r="M1065" s="2" t="n"/>
      <c r="N1065" s="2" t="n"/>
      <c r="O1065" s="3" t="inlineStr">
        <is>
          <t>https://vanillabonds.com/dossier-data/pdf/fastned/fastned-2025-annual-report.pdf#page=245</t>
        </is>
      </c>
    </row>
    <row r="1066">
      <c r="A1066" s="2" t="inlineStr">
        <is>
          <t>F1065</t>
        </is>
      </c>
      <c r="B1066" s="2" t="inlineStr">
        <is>
          <t>business</t>
        </is>
      </c>
      <c r="C1066" s="2" t="inlineStr">
        <is>
          <t>business_fact</t>
        </is>
      </c>
      <c r="D1066" s="2" t="inlineStr">
        <is>
          <t>Business fact</t>
        </is>
      </c>
      <c r="E1066" s="2" t="n"/>
      <c r="F1066" s="2" t="n"/>
      <c r="G1066" s="2" t="n"/>
      <c r="H1066" s="3" t="inlineStr">
        <is>
          <t>Fastned Belgium BV: Company Nr 0702751835 (BE0702751835); office Martelaarslaan 21, 9000 Gent.</t>
        </is>
      </c>
      <c r="I1066" s="2" t="inlineStr">
        <is>
          <t>S3</t>
        </is>
      </c>
      <c r="J1066" s="2" t="n">
        <v>245</v>
      </c>
      <c r="K1066" s="3" t="inlineStr">
        <is>
          <t>Fastned Belgium BV 51.04699, 3.71069 Company Nr: 0702751835 / BE0702751835</t>
        </is>
      </c>
      <c r="L1066" s="2" t="inlineStr">
        <is>
          <t>pend</t>
        </is>
      </c>
      <c r="M1066" s="2" t="n"/>
      <c r="N1066" s="2" t="n"/>
      <c r="O1066" s="3" t="inlineStr">
        <is>
          <t>https://vanillabonds.com/dossier-data/pdf/fastned/fastned-2025-annual-report.pdf#page=245</t>
        </is>
      </c>
    </row>
    <row r="1067">
      <c r="A1067" s="2" t="inlineStr">
        <is>
          <t>F1066</t>
        </is>
      </c>
      <c r="B1067" s="2" t="inlineStr">
        <is>
          <t>business</t>
        </is>
      </c>
      <c r="C1067" s="2" t="inlineStr">
        <is>
          <t>business_fact</t>
        </is>
      </c>
      <c r="D1067" s="2" t="inlineStr">
        <is>
          <t>Business fact</t>
        </is>
      </c>
      <c r="E1067" s="2" t="n"/>
      <c r="F1067" s="2" t="n"/>
      <c r="G1067" s="2" t="n"/>
      <c r="H1067" s="3" t="inlineStr">
        <is>
          <t>Fastned France SAS: Company Nr 853 300 010 (FR08853300010); office 18 Rue du Faubourg du Temple, 75011 Paris.</t>
        </is>
      </c>
      <c r="I1067" s="2" t="inlineStr">
        <is>
          <t>S3</t>
        </is>
      </c>
      <c r="J1067" s="2" t="n">
        <v>245</v>
      </c>
      <c r="K1067" s="3" t="inlineStr">
        <is>
          <t>Fastned France SAS 48.86838, 2.36633 Company Nr: 853 300 010 / FR08853300010</t>
        </is>
      </c>
      <c r="L1067" s="2" t="inlineStr">
        <is>
          <t>pend</t>
        </is>
      </c>
      <c r="M1067" s="2" t="n"/>
      <c r="N1067" s="2" t="n"/>
      <c r="O1067" s="3" t="inlineStr">
        <is>
          <t>https://vanillabonds.com/dossier-data/pdf/fastned/fastned-2025-annual-report.pdf#page=245</t>
        </is>
      </c>
    </row>
    <row r="1068">
      <c r="A1068" s="2" t="inlineStr">
        <is>
          <t>F1067</t>
        </is>
      </c>
      <c r="B1068" s="2" t="inlineStr">
        <is>
          <t>business</t>
        </is>
      </c>
      <c r="C1068" s="2" t="inlineStr">
        <is>
          <t>business_fact</t>
        </is>
      </c>
      <c r="D1068" s="2" t="inlineStr">
        <is>
          <t>Business fact</t>
        </is>
      </c>
      <c r="E1068" s="2" t="n"/>
      <c r="F1068" s="2" t="n"/>
      <c r="G1068" s="2" t="n"/>
      <c r="H1068" s="3" t="inlineStr">
        <is>
          <t>Fastned Switzerland AG: Company Nr CHE-394.882.929; office Bändliweg 20, 8048 Zürich.</t>
        </is>
      </c>
      <c r="I1068" s="2" t="inlineStr">
        <is>
          <t>S3</t>
        </is>
      </c>
      <c r="J1068" s="2" t="n">
        <v>245</v>
      </c>
      <c r="K1068" s="3" t="inlineStr">
        <is>
          <t>Fastned Switzerland AG 47.39508, 8.48377 Company Nr: CHE-394.882.929</t>
        </is>
      </c>
      <c r="L1068" s="2" t="inlineStr">
        <is>
          <t>pend</t>
        </is>
      </c>
      <c r="M1068" s="2" t="n"/>
      <c r="N1068" s="2" t="n"/>
      <c r="O1068" s="3" t="inlineStr">
        <is>
          <t>https://vanillabonds.com/dossier-data/pdf/fastned/fastned-2025-annual-report.pdf#page=245</t>
        </is>
      </c>
    </row>
    <row r="1069">
      <c r="A1069" s="2" t="inlineStr">
        <is>
          <t>F1068</t>
        </is>
      </c>
      <c r="B1069" s="2" t="inlineStr">
        <is>
          <t>business</t>
        </is>
      </c>
      <c r="C1069" s="2" t="inlineStr">
        <is>
          <t>business_fact</t>
        </is>
      </c>
      <c r="D1069" s="2" t="inlineStr">
        <is>
          <t>Business fact</t>
        </is>
      </c>
      <c r="E1069" s="2" t="n"/>
      <c r="F1069" s="2" t="n"/>
      <c r="G1069" s="2" t="n"/>
      <c r="H1069" s="3" t="inlineStr">
        <is>
          <t>Fastned España SL: NIF B13924253, EUID ES28065.082172105; office Calle de Zurbano 76, 28010 Madrid.</t>
        </is>
      </c>
      <c r="I1069" s="2" t="inlineStr">
        <is>
          <t>S3</t>
        </is>
      </c>
      <c r="J1069" s="2" t="n">
        <v>245</v>
      </c>
      <c r="K1069" s="3" t="inlineStr">
        <is>
          <t>Fastned España SL 40.43751, -3.69271 NIF: B13924253 / EUID: ES28065.082172105</t>
        </is>
      </c>
      <c r="L1069" s="2" t="inlineStr">
        <is>
          <t>pend</t>
        </is>
      </c>
      <c r="M1069" s="2" t="n"/>
      <c r="N1069" s="2" t="n"/>
      <c r="O1069" s="3" t="inlineStr">
        <is>
          <t>https://vanillabonds.com/dossier-data/pdf/fastned/fastned-2025-annual-report.pdf#page=245</t>
        </is>
      </c>
    </row>
    <row r="1070">
      <c r="A1070" s="2" t="inlineStr">
        <is>
          <t>F1069</t>
        </is>
      </c>
      <c r="B1070" s="2" t="inlineStr">
        <is>
          <t>business</t>
        </is>
      </c>
      <c r="C1070" s="2" t="inlineStr">
        <is>
          <t>business_fact</t>
        </is>
      </c>
      <c r="D1070" s="2" t="inlineStr">
        <is>
          <t>Business fact</t>
        </is>
      </c>
      <c r="E1070" s="2" t="n"/>
      <c r="F1070" s="2" t="n"/>
      <c r="G1070" s="2" t="n"/>
      <c r="H1070" s="3" t="inlineStr">
        <is>
          <t>Fastned Italia SRL: VAT Nr 12443920967; office Via Abbadesse 22, 20124 Milano.</t>
        </is>
      </c>
      <c r="I1070" s="2" t="inlineStr">
        <is>
          <t>S3</t>
        </is>
      </c>
      <c r="J1070" s="2" t="n">
        <v>245</v>
      </c>
      <c r="K1070" s="3" t="inlineStr">
        <is>
          <t>Fastned Italia SRL 45.49000, 9.19606 VAT Nr: 12443920967</t>
        </is>
      </c>
      <c r="L1070" s="2" t="inlineStr">
        <is>
          <t>pend</t>
        </is>
      </c>
      <c r="M1070" s="2" t="n"/>
      <c r="N1070" s="2" t="n"/>
      <c r="O1070" s="3" t="inlineStr">
        <is>
          <t>https://vanillabonds.com/dossier-data/pdf/fastned/fastned-2025-annual-report.pdf#page=245</t>
        </is>
      </c>
    </row>
    <row r="1071">
      <c r="A1071" s="2" t="inlineStr">
        <is>
          <t>F1070</t>
        </is>
      </c>
      <c r="B1071" s="2" t="inlineStr">
        <is>
          <t>business</t>
        </is>
      </c>
      <c r="C1071" s="2" t="inlineStr">
        <is>
          <t>business_fact</t>
        </is>
      </c>
      <c r="D1071" s="2" t="inlineStr">
        <is>
          <t>Business fact</t>
        </is>
      </c>
      <c r="E1071" s="2" t="n"/>
      <c r="F1071" s="2" t="n"/>
      <c r="G1071" s="2" t="n"/>
      <c r="H1071" s="3" t="inlineStr">
        <is>
          <t>Fastned Austria GmbH: Firmenbuchnr. 620640g; office Postgasse 8b, 1010 Wien.</t>
        </is>
      </c>
      <c r="I1071" s="2" t="inlineStr">
        <is>
          <t>S3</t>
        </is>
      </c>
      <c r="J1071" s="2" t="n">
        <v>245</v>
      </c>
      <c r="K1071" s="3" t="inlineStr">
        <is>
          <t>Fastned Austria GmbH 48.21002, 16.37904 Firmenbuchnr. 620640g</t>
        </is>
      </c>
      <c r="L1071" s="2" t="inlineStr">
        <is>
          <t>pend</t>
        </is>
      </c>
      <c r="M1071" s="2" t="n"/>
      <c r="N1071" s="2" t="n"/>
      <c r="O1071" s="3" t="inlineStr">
        <is>
          <t>https://vanillabonds.com/dossier-data/pdf/fastned/fastned-2025-annual-report.pdf#page=245</t>
        </is>
      </c>
    </row>
    <row r="1072">
      <c r="A1072" s="2" t="inlineStr">
        <is>
          <t>F1071</t>
        </is>
      </c>
      <c r="B1072" s="2" t="inlineStr">
        <is>
          <t>business</t>
        </is>
      </c>
      <c r="C1072" s="2" t="inlineStr">
        <is>
          <t>business_fact</t>
        </is>
      </c>
      <c r="D1072" s="2" t="inlineStr">
        <is>
          <t>Business fact</t>
        </is>
      </c>
      <c r="E1072" s="2" t="n"/>
      <c r="F1072" s="2" t="n"/>
      <c r="G1072" s="2" t="n"/>
      <c r="H1072" s="3" t="inlineStr">
        <is>
          <t>Fastned Deutschland GmbH &amp; Co. KG: office Gregorius-Maurus-Strasse 7-9, 50670 Köln; Fastned Danmark ApS: c/o BLOXHUB, Bryghuspladsen 8, 1473 København K.</t>
        </is>
      </c>
      <c r="I1072" s="2" t="inlineStr">
        <is>
          <t>S3</t>
        </is>
      </c>
      <c r="J1072" s="2" t="n">
        <v>245</v>
      </c>
      <c r="K1072" s="3" t="inlineStr">
        <is>
          <t>Fastned Deutschland GmbH &amp; Co. KG 50.94167,6.94752 Gregorius-Maurus-Strasse 7-9 50670 Köln</t>
        </is>
      </c>
      <c r="L1072" s="2" t="inlineStr">
        <is>
          <t>pend</t>
        </is>
      </c>
      <c r="M1072" s="2" t="n"/>
      <c r="N1072" s="2" t="n"/>
      <c r="O1072" s="3" t="inlineStr">
        <is>
          <t>https://vanillabonds.com/dossier-data/pdf/fastned/fastned-2025-annual-report.pdf#page=245</t>
        </is>
      </c>
    </row>
    <row r="1073">
      <c r="A1073" s="2" t="inlineStr">
        <is>
          <t>F1072</t>
        </is>
      </c>
      <c r="B1073" s="2" t="inlineStr">
        <is>
          <t>business</t>
        </is>
      </c>
      <c r="C1073" s="2" t="inlineStr">
        <is>
          <t>business_fact</t>
        </is>
      </c>
      <c r="D1073" s="2" t="inlineStr">
        <is>
          <t>Business fact</t>
        </is>
      </c>
      <c r="E1073" s="2" t="inlineStr">
        <is>
          <t>FY2025</t>
        </is>
      </c>
      <c r="F1073" s="2" t="n"/>
      <c r="G1073" s="2" t="n"/>
      <c r="H1073" s="3" t="inlineStr">
        <is>
          <t>Network expansion costs €34.3m in 2025 (2024: €23.2m), split administrative €18.3m and other operating €16.0m (non-IFRS split).</t>
        </is>
      </c>
      <c r="I1073" s="2" t="inlineStr">
        <is>
          <t>S3</t>
        </is>
      </c>
      <c r="J1073" s="2" t="n">
        <v>114</v>
      </c>
      <c r="K1073" s="3" t="inlineStr">
        <is>
          <t>Operating profit / (loss) 43,735 (34,319) (29,510) 6,497 (13,597)</t>
        </is>
      </c>
      <c r="L1073" s="2" t="inlineStr">
        <is>
          <t>pend</t>
        </is>
      </c>
      <c r="M1073" s="2" t="n"/>
      <c r="N1073" s="2" t="n"/>
      <c r="O1073" s="3" t="inlineStr">
        <is>
          <t>https://vanillabonds.com/dossier-data/pdf/fastned/fastned-2025-annual-report.pdf#page=114</t>
        </is>
      </c>
    </row>
    <row r="1074">
      <c r="A1074" s="2" t="inlineStr">
        <is>
          <t>F1073</t>
        </is>
      </c>
      <c r="B1074" s="2" t="inlineStr">
        <is>
          <t>business</t>
        </is>
      </c>
      <c r="C1074" s="2" t="inlineStr">
        <is>
          <t>business_fact</t>
        </is>
      </c>
      <c r="D1074" s="2" t="inlineStr">
        <is>
          <t>Business fact</t>
        </is>
      </c>
      <c r="E1074" s="2" t="inlineStr">
        <is>
          <t>FY2025</t>
        </is>
      </c>
      <c r="F1074" s="2" t="n"/>
      <c r="G1074" s="2" t="n"/>
      <c r="H1074" s="3" t="inlineStr">
        <is>
          <t>Operational EBITDA per station €118.4k in 2025 (2024: €102.1k); network operation costs per charger €22.6k (2024: €18.9k) (non-IFRS).</t>
        </is>
      </c>
      <c r="I1074" s="2" t="inlineStr">
        <is>
          <t>S3</t>
        </is>
      </c>
      <c r="J1074" s="2" t="n">
        <v>114</v>
      </c>
      <c r="K1074" s="3" t="inlineStr">
        <is>
          <t>Operational EBITDA per station 118.4 102.1</t>
        </is>
      </c>
      <c r="L1074" s="2" t="inlineStr">
        <is>
          <t>pend</t>
        </is>
      </c>
      <c r="M1074" s="2" t="n"/>
      <c r="N1074" s="2" t="n"/>
      <c r="O1074" s="3" t="inlineStr">
        <is>
          <t>https://vanillabonds.com/dossier-data/pdf/fastned/fastned-2025-annual-report.pdf#page=114</t>
        </is>
      </c>
    </row>
    <row r="1075">
      <c r="A1075" s="2" t="inlineStr">
        <is>
          <t>F1074</t>
        </is>
      </c>
      <c r="B1075" s="2" t="inlineStr">
        <is>
          <t>business</t>
        </is>
      </c>
      <c r="C1075" s="2" t="inlineStr">
        <is>
          <t>business_fact</t>
        </is>
      </c>
      <c r="D1075" s="2" t="inlineStr">
        <is>
          <t>Business fact</t>
        </is>
      </c>
      <c r="E1075" s="2" t="inlineStr">
        <is>
          <t>FY2025</t>
        </is>
      </c>
      <c r="F1075" s="2" t="n"/>
      <c r="G1075" s="2" t="n"/>
      <c r="H1075" s="3" t="inlineStr">
        <is>
          <t>Finance income €2.0m in 2025 (2024: €4.1m) from interest on cash deposits.</t>
        </is>
      </c>
      <c r="I1075" s="2" t="inlineStr">
        <is>
          <t>S3</t>
        </is>
      </c>
      <c r="J1075" s="2" t="n">
        <v>116</v>
      </c>
      <c r="K1075" s="2" t="inlineStr">
        <is>
          <t>Finance income 8.6 1,997 4,107</t>
        </is>
      </c>
      <c r="L1075" s="2" t="inlineStr">
        <is>
          <t>pend</t>
        </is>
      </c>
      <c r="M1075" s="2" t="n"/>
      <c r="N1075" s="2" t="n"/>
      <c r="O1075" s="3" t="inlineStr">
        <is>
          <t>https://vanillabonds.com/dossier-data/pdf/fastned/fastned-2025-annual-report.pdf#page=116</t>
        </is>
      </c>
    </row>
    <row r="1076">
      <c r="A1076" s="2" t="inlineStr">
        <is>
          <t>F1075</t>
        </is>
      </c>
      <c r="B1076" s="2" t="inlineStr">
        <is>
          <t>business</t>
        </is>
      </c>
      <c r="C1076" s="2" t="inlineStr">
        <is>
          <t>business_fact</t>
        </is>
      </c>
      <c r="D1076" s="2" t="inlineStr">
        <is>
          <t>Business fact</t>
        </is>
      </c>
      <c r="E1076" s="2" t="inlineStr">
        <is>
          <t>FY2025</t>
        </is>
      </c>
      <c r="F1076" s="2" t="n"/>
      <c r="G1076" s="2" t="n"/>
      <c r="H1076" s="3" t="inlineStr">
        <is>
          <t>Basic and diluted loss per share €1.55 in 2025 (2024: €1.38).</t>
        </is>
      </c>
      <c r="I1076" s="2" t="inlineStr">
        <is>
          <t>S3</t>
        </is>
      </c>
      <c r="J1076" s="2" t="n">
        <v>116</v>
      </c>
      <c r="K1076" s="3" t="inlineStr">
        <is>
          <t>Basic, loss for the year attributable to ordinary equity holders of the Group</t>
        </is>
      </c>
      <c r="L1076" s="2" t="inlineStr">
        <is>
          <t>pend</t>
        </is>
      </c>
      <c r="M1076" s="2" t="n"/>
      <c r="N1076" s="2" t="n"/>
      <c r="O1076" s="3" t="inlineStr">
        <is>
          <t>https://vanillabonds.com/dossier-data/pdf/fastned/fastned-2025-annual-report.pdf#page=116</t>
        </is>
      </c>
    </row>
    <row r="1077">
      <c r="A1077" s="2" t="inlineStr">
        <is>
          <t>F1076</t>
        </is>
      </c>
      <c r="B1077" s="2" t="inlineStr">
        <is>
          <t>business</t>
        </is>
      </c>
      <c r="C1077" s="2" t="inlineStr">
        <is>
          <t>business_fact</t>
        </is>
      </c>
      <c r="D1077" s="2" t="inlineStr">
        <is>
          <t>Business fact</t>
        </is>
      </c>
      <c r="E1077" s="2" t="inlineStr">
        <is>
          <t>FY2025</t>
        </is>
      </c>
      <c r="F1077" s="2" t="n"/>
      <c r="G1077" s="2" t="n"/>
      <c r="H1077" s="3" t="inlineStr">
        <is>
          <t>Property, plant and equipment €292.9m at 31 Dec 2025 (2024: €235.4m); right-of-use assets €59.1m (2024: €35.0m); interest in joint venture €4.4m.</t>
        </is>
      </c>
      <c r="I1077" s="2" t="inlineStr">
        <is>
          <t>S3</t>
        </is>
      </c>
      <c r="J1077" s="2" t="n">
        <v>118</v>
      </c>
      <c r="K1077" s="3" t="inlineStr">
        <is>
          <t>Property, plant and equipment 12 292,932 235,367</t>
        </is>
      </c>
      <c r="L1077" s="2" t="inlineStr">
        <is>
          <t>pend</t>
        </is>
      </c>
      <c r="M1077" s="2" t="n"/>
      <c r="N1077" s="2" t="n"/>
      <c r="O1077" s="3" t="inlineStr">
        <is>
          <t>https://vanillabonds.com/dossier-data/pdf/fastned/fastned-2025-annual-report.pdf#page=118</t>
        </is>
      </c>
    </row>
    <row r="1078">
      <c r="A1078" s="2" t="inlineStr">
        <is>
          <t>F1077</t>
        </is>
      </c>
      <c r="B1078" s="2" t="inlineStr">
        <is>
          <t>business</t>
        </is>
      </c>
      <c r="C1078" s="2" t="inlineStr">
        <is>
          <t>business_fact</t>
        </is>
      </c>
      <c r="D1078" s="2" t="inlineStr">
        <is>
          <t>Business fact</t>
        </is>
      </c>
      <c r="E1078" s="2" t="inlineStr">
        <is>
          <t>FY2025</t>
        </is>
      </c>
      <c r="F1078" s="2" t="n"/>
      <c r="G1078" s="2" t="n"/>
      <c r="H1078" s="3" t="inlineStr">
        <is>
          <t>Interest-bearing loans and borrowings €282.7m non-current and €12.4m current at 31 Dec 2025 (2024: €204.5m and €21.9m).</t>
        </is>
      </c>
      <c r="I1078" s="2" t="inlineStr">
        <is>
          <t>S3</t>
        </is>
      </c>
      <c r="J1078" s="2" t="n">
        <v>118</v>
      </c>
      <c r="K1078" s="3" t="inlineStr">
        <is>
          <t>Interest-bearing loans and borrowings 15 282,712 204,539</t>
        </is>
      </c>
      <c r="L1078" s="2" t="inlineStr">
        <is>
          <t>pend</t>
        </is>
      </c>
      <c r="M1078" s="2" t="n"/>
      <c r="N1078" s="2" t="n"/>
      <c r="O1078" s="3" t="inlineStr">
        <is>
          <t>https://vanillabonds.com/dossier-data/pdf/fastned/fastned-2025-annual-report.pdf#page=118</t>
        </is>
      </c>
    </row>
    <row r="1079">
      <c r="A1079" s="2" t="inlineStr">
        <is>
          <t>F1078</t>
        </is>
      </c>
      <c r="B1079" s="2" t="inlineStr">
        <is>
          <t>business</t>
        </is>
      </c>
      <c r="C1079" s="2" t="inlineStr">
        <is>
          <t>business_fact</t>
        </is>
      </c>
      <c r="D1079" s="2" t="inlineStr">
        <is>
          <t>Business fact</t>
        </is>
      </c>
      <c r="E1079" s="2" t="inlineStr">
        <is>
          <t>FY2025</t>
        </is>
      </c>
      <c r="F1079" s="2" t="n"/>
      <c r="G1079" s="2" t="n"/>
      <c r="H1079" s="3" t="inlineStr">
        <is>
          <t>Trade and other receivables €30.8m and trade and other payables €31.3m at 31 Dec 2025 (2024: €16.3m and €22.0m).</t>
        </is>
      </c>
      <c r="I1079" s="2" t="inlineStr">
        <is>
          <t>S3</t>
        </is>
      </c>
      <c r="J1079" s="2" t="n">
        <v>118</v>
      </c>
      <c r="K1079" s="3" t="inlineStr">
        <is>
          <t>Trade and other receivables 17 30,840 16,297</t>
        </is>
      </c>
      <c r="L1079" s="2" t="inlineStr">
        <is>
          <t>pend</t>
        </is>
      </c>
      <c r="M1079" s="2" t="n"/>
      <c r="N1079" s="2" t="n"/>
      <c r="O1079" s="3" t="inlineStr">
        <is>
          <t>https://vanillabonds.com/dossier-data/pdf/fastned/fastned-2025-annual-report.pdf#page=118</t>
        </is>
      </c>
    </row>
    <row r="1080">
      <c r="A1080" s="2" t="inlineStr">
        <is>
          <t>F1079</t>
        </is>
      </c>
      <c r="B1080" s="2" t="inlineStr">
        <is>
          <t>business</t>
        </is>
      </c>
      <c r="C1080" s="2" t="inlineStr">
        <is>
          <t>business_fact</t>
        </is>
      </c>
      <c r="D1080" s="2" t="inlineStr">
        <is>
          <t>Business fact</t>
        </is>
      </c>
      <c r="E1080" s="2" t="inlineStr">
        <is>
          <t>FY2025</t>
        </is>
      </c>
      <c r="F1080" s="2" t="n"/>
      <c r="G1080" s="2" t="n"/>
      <c r="H1080" s="3" t="inlineStr">
        <is>
          <t>Retained earnings -€159.9m at 31 Dec 2025 (2024: -€127.4m); share premium €250.5m; share capital €0.2m.</t>
        </is>
      </c>
      <c r="I1080" s="2" t="inlineStr">
        <is>
          <t>S3</t>
        </is>
      </c>
      <c r="J1080" s="2" t="n">
        <v>118</v>
      </c>
      <c r="K1080" s="2" t="inlineStr">
        <is>
          <t>Retained earnings (159,927) (127,404)</t>
        </is>
      </c>
      <c r="L1080" s="2" t="inlineStr">
        <is>
          <t>pend</t>
        </is>
      </c>
      <c r="M1080" s="2" t="n"/>
      <c r="N1080" s="2" t="n"/>
      <c r="O1080" s="3" t="inlineStr">
        <is>
          <t>https://vanillabonds.com/dossier-data/pdf/fastned/fastned-2025-annual-report.pdf#page=118</t>
        </is>
      </c>
    </row>
    <row r="1081">
      <c r="A1081" s="2" t="inlineStr">
        <is>
          <t>F1080</t>
        </is>
      </c>
      <c r="B1081" s="2" t="inlineStr">
        <is>
          <t>business</t>
        </is>
      </c>
      <c r="C1081" s="2" t="inlineStr">
        <is>
          <t>business_fact</t>
        </is>
      </c>
      <c r="D1081" s="2" t="inlineStr">
        <is>
          <t>Business fact</t>
        </is>
      </c>
      <c r="E1081" s="2" t="inlineStr">
        <is>
          <t>FY2025</t>
        </is>
      </c>
      <c r="F1081" s="2" t="n"/>
      <c r="G1081" s="2" t="n"/>
      <c r="H1081" s="3" t="inlineStr">
        <is>
          <t>Interest paid €17.3m in 2025 (2024: €14.4m) and interest received €2.0m (2024: €4.1m), both classified as operating cash flows.</t>
        </is>
      </c>
      <c r="I1081" s="2" t="inlineStr">
        <is>
          <t>S3</t>
        </is>
      </c>
      <c r="J1081" s="2" t="n">
        <v>120</v>
      </c>
      <c r="K1081" s="3" t="inlineStr">
        <is>
          <t>Interest paid 13 &amp; 15.4 (17,321) (14,387)</t>
        </is>
      </c>
      <c r="L1081" s="2" t="inlineStr">
        <is>
          <t>pend</t>
        </is>
      </c>
      <c r="M1081" s="2" t="n"/>
      <c r="N1081" s="2" t="n"/>
      <c r="O1081" s="3" t="inlineStr">
        <is>
          <t>https://vanillabonds.com/dossier-data/pdf/fastned/fastned-2025-annual-report.pdf#page=120</t>
        </is>
      </c>
    </row>
    <row r="1082">
      <c r="A1082" s="2" t="inlineStr">
        <is>
          <t>F1081</t>
        </is>
      </c>
      <c r="B1082" s="2" t="inlineStr">
        <is>
          <t>business</t>
        </is>
      </c>
      <c r="C1082" s="2" t="inlineStr">
        <is>
          <t>business_fact</t>
        </is>
      </c>
      <c r="D1082" s="2" t="inlineStr">
        <is>
          <t>Business fact</t>
        </is>
      </c>
      <c r="E1082" s="2" t="inlineStr">
        <is>
          <t>FY2025</t>
        </is>
      </c>
      <c r="F1082" s="2" t="n"/>
      <c r="G1082" s="2" t="n"/>
      <c r="H1082" s="3" t="inlineStr">
        <is>
          <t>Government grants received €6.4m in 2025 (2024: €4.6m), classified as financing cash flows.</t>
        </is>
      </c>
      <c r="I1082" s="2" t="inlineStr">
        <is>
          <t>S3</t>
        </is>
      </c>
      <c r="J1082" s="2" t="n">
        <v>120</v>
      </c>
      <c r="K1082" s="3" t="inlineStr">
        <is>
          <t>Proceeds from Government grants received 15.4 6,418 4,605</t>
        </is>
      </c>
      <c r="L1082" s="2" t="inlineStr">
        <is>
          <t>pend</t>
        </is>
      </c>
      <c r="M1082" s="2" t="n"/>
      <c r="N1082" s="2" t="n"/>
      <c r="O1082" s="3" t="inlineStr">
        <is>
          <t>https://vanillabonds.com/dossier-data/pdf/fastned/fastned-2025-annual-report.pdf#page=120</t>
        </is>
      </c>
    </row>
    <row r="1083">
      <c r="A1083" s="2" t="inlineStr">
        <is>
          <t>F1082</t>
        </is>
      </c>
      <c r="B1083" s="2" t="inlineStr">
        <is>
          <t>business</t>
        </is>
      </c>
      <c r="C1083" s="2" t="inlineStr">
        <is>
          <t>business_fact</t>
        </is>
      </c>
      <c r="D1083" s="2" t="inlineStr">
        <is>
          <t>Business fact</t>
        </is>
      </c>
      <c r="E1083" s="2" t="inlineStr">
        <is>
          <t>FY2025</t>
        </is>
      </c>
      <c r="F1083" s="2" t="n"/>
      <c r="G1083" s="2" t="n"/>
      <c r="H1083" s="3" t="inlineStr">
        <is>
          <t>Cash decreased by €47.5m in 2025 (2024: -€9.2m): operating -€20.4m, investing -€86.3m, financing +€59.3m.</t>
        </is>
      </c>
      <c r="I1083" s="2" t="inlineStr">
        <is>
          <t>S3</t>
        </is>
      </c>
      <c r="J1083" s="2" t="n">
        <v>120</v>
      </c>
      <c r="K1083" s="3" t="inlineStr">
        <is>
          <t>Change in cash and cash equivalents (47,498) (9,188)</t>
        </is>
      </c>
      <c r="L1083" s="2" t="inlineStr">
        <is>
          <t>pend</t>
        </is>
      </c>
      <c r="M1083" s="2" t="n"/>
      <c r="N1083" s="2" t="n"/>
      <c r="O1083" s="3" t="inlineStr">
        <is>
          <t>https://vanillabonds.com/dossier-data/pdf/fastned/fastned-2025-annual-report.pdf#page=120</t>
        </is>
      </c>
    </row>
    <row r="1084">
      <c r="A1084" s="2" t="inlineStr">
        <is>
          <t>F1083</t>
        </is>
      </c>
      <c r="B1084" s="2" t="inlineStr">
        <is>
          <t>business</t>
        </is>
      </c>
      <c r="C1084" s="2" t="inlineStr">
        <is>
          <t>business_fact</t>
        </is>
      </c>
      <c r="D1084" s="2" t="inlineStr">
        <is>
          <t>Business fact</t>
        </is>
      </c>
      <c r="E1084" s="2" t="inlineStr">
        <is>
          <t>FY2025</t>
        </is>
      </c>
      <c r="F1084" s="2" t="n"/>
      <c r="G1084" s="2" t="n"/>
      <c r="H1084" s="3" t="inlineStr">
        <is>
          <t>Lease liability principal repaid €4.0m in 2025 (2024: €1.6m); €7.7m working-capital outflow for construction of German Highway Tender stations.</t>
        </is>
      </c>
      <c r="I1084" s="2" t="inlineStr">
        <is>
          <t>S3</t>
        </is>
      </c>
      <c r="J1084" s="2" t="n">
        <v>120</v>
      </c>
      <c r="K1084" s="3" t="inlineStr">
        <is>
          <t>Repayment of lease liability principal 21 (4,014) (1,597)</t>
        </is>
      </c>
      <c r="L1084" s="2" t="inlineStr">
        <is>
          <t>pend</t>
        </is>
      </c>
      <c r="M1084" s="2" t="n"/>
      <c r="N1084" s="2" t="n"/>
      <c r="O1084" s="3" t="inlineStr">
        <is>
          <t>https://vanillabonds.com/dossier-data/pdf/fastned/fastned-2025-annual-report.pdf#page=120</t>
        </is>
      </c>
    </row>
    <row r="1085">
      <c r="A1085" s="2" t="inlineStr">
        <is>
          <t>F1084</t>
        </is>
      </c>
      <c r="B1085" s="2" t="inlineStr">
        <is>
          <t>business</t>
        </is>
      </c>
      <c r="C1085" s="2" t="inlineStr">
        <is>
          <t>business_fact</t>
        </is>
      </c>
      <c r="D1085" s="2" t="inlineStr">
        <is>
          <t>Business fact</t>
        </is>
      </c>
      <c r="E1085" s="2" t="inlineStr">
        <is>
          <t>FY2025</t>
        </is>
      </c>
      <c r="F1085" s="2" t="n"/>
      <c r="G1085" s="2" t="n"/>
      <c r="H1085" s="3" t="inlineStr">
        <is>
          <t>Sales of electricity €109.2m in 2025 (2024: €79.4m).</t>
        </is>
      </c>
      <c r="I1085" s="2" t="inlineStr">
        <is>
          <t>S3</t>
        </is>
      </c>
      <c r="J1085" s="2" t="n">
        <v>150</v>
      </c>
      <c r="K1085" s="3" t="inlineStr">
        <is>
          <t>Sales of electricity Goods transferred at a point in time 109,226 79,395</t>
        </is>
      </c>
      <c r="L1085" s="2" t="inlineStr">
        <is>
          <t>pend</t>
        </is>
      </c>
      <c r="M1085" s="2" t="n"/>
      <c r="N1085" s="2" t="n"/>
      <c r="O1085" s="3" t="inlineStr">
        <is>
          <t>https://vanillabonds.com/dossier-data/pdf/fastned/fastned-2025-annual-report.pdf#page=150</t>
        </is>
      </c>
    </row>
    <row r="1086">
      <c r="A1086" s="2" t="inlineStr">
        <is>
          <t>F1085</t>
        </is>
      </c>
      <c r="B1086" s="2" t="inlineStr">
        <is>
          <t>business</t>
        </is>
      </c>
      <c r="C1086" s="2" t="inlineStr">
        <is>
          <t>business_fact</t>
        </is>
      </c>
      <c r="D1086" s="2" t="inlineStr">
        <is>
          <t>Business fact</t>
        </is>
      </c>
      <c r="E1086" s="2" t="inlineStr">
        <is>
          <t>FY2025</t>
        </is>
      </c>
      <c r="F1086" s="2" t="n"/>
      <c r="G1086" s="2" t="n"/>
      <c r="H1086" s="3" t="inlineStr">
        <is>
          <t>Sales of renewable energy units (HBE and similar credits) €13.2m in 2025 (2024: €3.9m restated).</t>
        </is>
      </c>
      <c r="I1086" s="2" t="inlineStr">
        <is>
          <t>S3</t>
        </is>
      </c>
      <c r="J1086" s="2" t="n">
        <v>150</v>
      </c>
      <c r="K1086" s="3" t="inlineStr">
        <is>
          <t>Sales of renewable energy units Goods transferred at a point in time 13,194 3,882</t>
        </is>
      </c>
      <c r="L1086" s="2" t="inlineStr">
        <is>
          <t>pend</t>
        </is>
      </c>
      <c r="M1086" s="2" t="n"/>
      <c r="N1086" s="2" t="n"/>
      <c r="O1086" s="3" t="inlineStr">
        <is>
          <t>https://vanillabonds.com/dossier-data/pdf/fastned/fastned-2025-annual-report.pdf#page=150</t>
        </is>
      </c>
    </row>
    <row r="1087">
      <c r="A1087" s="2" t="inlineStr">
        <is>
          <t>F1086</t>
        </is>
      </c>
      <c r="B1087" s="2" t="inlineStr">
        <is>
          <t>business</t>
        </is>
      </c>
      <c r="C1087" s="2" t="inlineStr">
        <is>
          <t>business_fact</t>
        </is>
      </c>
      <c r="D1087" s="2" t="inlineStr">
        <is>
          <t>Business fact</t>
        </is>
      </c>
      <c r="E1087" s="2" t="inlineStr">
        <is>
          <t>FY2025</t>
        </is>
      </c>
      <c r="F1087" s="2" t="n"/>
      <c r="G1087" s="2" t="n"/>
      <c r="H1087" s="3" t="inlineStr">
        <is>
          <t>Station construction revenue under service concessions (German Highway Tender) €16.7m in 2025 (2024: €0.4m).</t>
        </is>
      </c>
      <c r="I1087" s="2" t="inlineStr">
        <is>
          <t>S3</t>
        </is>
      </c>
      <c r="J1087" s="2" t="n">
        <v>150</v>
      </c>
      <c r="K1087" s="3" t="inlineStr">
        <is>
          <t>Station construction as part of service concessions Goods transferred over time 16,742 423</t>
        </is>
      </c>
      <c r="L1087" s="2" t="inlineStr">
        <is>
          <t>pend</t>
        </is>
      </c>
      <c r="M1087" s="2" t="n"/>
      <c r="N1087" s="2" t="n"/>
      <c r="O1087" s="3" t="inlineStr">
        <is>
          <t>https://vanillabonds.com/dossier-data/pdf/fastned/fastned-2025-annual-report.pdf#page=150</t>
        </is>
      </c>
    </row>
    <row r="1088">
      <c r="A1088" s="2" t="inlineStr">
        <is>
          <t>F1087</t>
        </is>
      </c>
      <c r="B1088" s="2" t="inlineStr">
        <is>
          <t>business</t>
        </is>
      </c>
      <c r="C1088" s="2" t="inlineStr">
        <is>
          <t>business_fact</t>
        </is>
      </c>
      <c r="D1088" s="2" t="inlineStr">
        <is>
          <t>Business fact</t>
        </is>
      </c>
      <c r="E1088" s="2" t="inlineStr">
        <is>
          <t>FY2025</t>
        </is>
      </c>
      <c r="F1088" s="2" t="n"/>
      <c r="G1088" s="2" t="n"/>
      <c r="H1088" s="3" t="inlineStr">
        <is>
          <t>Contract assets €6.0m at 31 Dec 2025 (2024: €0.4m): construction progress €16.3m less €10.7m finalised; €6.1m reclassified to a non-current receivable from the German Highway authorities.</t>
        </is>
      </c>
      <c r="I1088" s="2" t="inlineStr">
        <is>
          <t>S3</t>
        </is>
      </c>
      <c r="J1088" s="2" t="n">
        <v>155</v>
      </c>
      <c r="K1088" s="2" t="inlineStr">
        <is>
          <t>Contract assets, gross 6,028 433</t>
        </is>
      </c>
      <c r="L1088" s="2" t="inlineStr">
        <is>
          <t>pend</t>
        </is>
      </c>
      <c r="M1088" s="2" t="n"/>
      <c r="N1088" s="2" t="n"/>
      <c r="O1088" s="3" t="inlineStr">
        <is>
          <t>https://vanillabonds.com/dossier-data/pdf/fastned/fastned-2025-annual-report.pdf#page=155</t>
        </is>
      </c>
    </row>
    <row r="1089">
      <c r="A1089" s="2" t="inlineStr">
        <is>
          <t>F1088</t>
        </is>
      </c>
      <c r="B1089" s="2" t="inlineStr">
        <is>
          <t>business</t>
        </is>
      </c>
      <c r="C1089" s="2" t="inlineStr">
        <is>
          <t>business_fact</t>
        </is>
      </c>
      <c r="D1089" s="2" t="inlineStr">
        <is>
          <t>Business fact</t>
        </is>
      </c>
      <c r="E1089" s="2" t="inlineStr">
        <is>
          <t>FY2025</t>
        </is>
      </c>
      <c r="F1089" s="2" t="n"/>
      <c r="G1089" s="2" t="n"/>
      <c r="H1089" s="3" t="inlineStr">
        <is>
          <t>Administrative expenses €59.2m in 2025 (2024: €46.1m): wages and salaries €23.6m (2024: €16.3m), PP&amp;E depreciation €22.4m, right-of-use depreciation €5.5m, social security €4.6m, pensions €1.4m, amortisation €0.5m, impairment €0.2m.</t>
        </is>
      </c>
      <c r="I1089" s="2" t="inlineStr">
        <is>
          <t>S3</t>
        </is>
      </c>
      <c r="J1089" s="2" t="n">
        <v>156</v>
      </c>
      <c r="K1089" s="2" t="inlineStr">
        <is>
          <t>Wages and salaries 23,592 16,285</t>
        </is>
      </c>
      <c r="L1089" s="2" t="inlineStr">
        <is>
          <t>pend</t>
        </is>
      </c>
      <c r="M1089" s="2" t="n"/>
      <c r="N1089" s="2" t="n"/>
      <c r="O1089" s="3" t="inlineStr">
        <is>
          <t>https://vanillabonds.com/dossier-data/pdf/fastned/fastned-2025-annual-report.pdf#page=156</t>
        </is>
      </c>
    </row>
    <row r="1090">
      <c r="A1090" s="2" t="inlineStr">
        <is>
          <t>F1089</t>
        </is>
      </c>
      <c r="B1090" s="2" t="inlineStr">
        <is>
          <t>business</t>
        </is>
      </c>
      <c r="C1090" s="2" t="inlineStr">
        <is>
          <t>business_fact</t>
        </is>
      </c>
      <c r="D1090" s="2" t="inlineStr">
        <is>
          <t>Business fact</t>
        </is>
      </c>
      <c r="E1090" s="2" t="inlineStr">
        <is>
          <t>FY2025</t>
        </is>
      </c>
      <c r="F1090" s="2" t="n"/>
      <c r="G1090" s="2" t="n"/>
      <c r="H1090" s="3" t="inlineStr">
        <is>
          <t>Net loss on other items €75k in 2025, mainly from retail operations of shops and kiosks at stations (2024: gain €87k on disposal of fixed assets).</t>
        </is>
      </c>
      <c r="I1090" s="2" t="inlineStr">
        <is>
          <t>S3</t>
        </is>
      </c>
      <c r="J1090" s="2" t="n">
        <v>156</v>
      </c>
      <c r="K1090" s="3" t="inlineStr">
        <is>
          <t>The net loss during 2025 is mainly due to results of retail operations of the shops and kiosks placed at Fastned stations.</t>
        </is>
      </c>
      <c r="L1090" s="2" t="inlineStr">
        <is>
          <t>pend</t>
        </is>
      </c>
      <c r="M1090" s="2" t="n"/>
      <c r="N1090" s="2" t="n"/>
      <c r="O1090" s="3" t="inlineStr">
        <is>
          <t>https://vanillabonds.com/dossier-data/pdf/fastned/fastned-2025-annual-report.pdf#page=156</t>
        </is>
      </c>
    </row>
    <row r="1091">
      <c r="A1091" s="2" t="inlineStr">
        <is>
          <t>F1090</t>
        </is>
      </c>
      <c r="B1091" s="2" t="inlineStr">
        <is>
          <t>business</t>
        </is>
      </c>
      <c r="C1091" s="2" t="inlineStr">
        <is>
          <t>business_fact</t>
        </is>
      </c>
      <c r="D1091" s="2" t="inlineStr">
        <is>
          <t>Business fact</t>
        </is>
      </c>
      <c r="E1091" s="2" t="inlineStr">
        <is>
          <t>FY2025</t>
        </is>
      </c>
      <c r="F1091" s="2" t="n"/>
      <c r="G1091" s="2" t="n"/>
      <c r="H1091" s="3" t="inlineStr">
        <is>
          <t>Average employees 2025 by country: Netherlands 194, Germany 42, UK 42, France 32, Belgium 29, Switzerland 13, Spain 12, Italy 7, Denmark 3, Ireland 1.</t>
        </is>
      </c>
      <c r="I1091" s="2" t="inlineStr">
        <is>
          <t>S3</t>
        </is>
      </c>
      <c r="J1091" s="2" t="n">
        <v>157</v>
      </c>
      <c r="K1091" s="3" t="inlineStr">
        <is>
          <t>In the Netherlands, the average number of employees was 194 (2024: 150).</t>
        </is>
      </c>
      <c r="L1091" s="2" t="inlineStr">
        <is>
          <t>pend</t>
        </is>
      </c>
      <c r="M1091" s="2" t="n"/>
      <c r="N1091" s="2" t="n"/>
      <c r="O1091" s="3" t="inlineStr">
        <is>
          <t>https://vanillabonds.com/dossier-data/pdf/fastned/fastned-2025-annual-report.pdf#page=157</t>
        </is>
      </c>
    </row>
    <row r="1092">
      <c r="A1092" s="2" t="inlineStr">
        <is>
          <t>F1091</t>
        </is>
      </c>
      <c r="B1092" s="2" t="inlineStr">
        <is>
          <t>business</t>
        </is>
      </c>
      <c r="C1092" s="2" t="inlineStr">
        <is>
          <t>business_fact</t>
        </is>
      </c>
      <c r="D1092" s="2" t="inlineStr">
        <is>
          <t>Business fact</t>
        </is>
      </c>
      <c r="E1092" s="2" t="inlineStr">
        <is>
          <t>FY2025</t>
        </is>
      </c>
      <c r="F1092" s="2" t="n"/>
      <c r="G1092" s="2" t="n"/>
      <c r="H1092" s="3" t="inlineStr">
        <is>
          <t>Staff costs capitalised into PP&amp;E €4.3m in 2025 (2024: €3.5m).</t>
        </is>
      </c>
      <c r="I1092" s="2" t="inlineStr">
        <is>
          <t>S3</t>
        </is>
      </c>
      <c r="J1092" s="2" t="n">
        <v>157</v>
      </c>
      <c r="K1092" s="3" t="inlineStr">
        <is>
          <t>Wages and salaries include €4.3 million (2024: €3.5 million) of staff costs capitalized.</t>
        </is>
      </c>
      <c r="L1092" s="2" t="inlineStr">
        <is>
          <t>pend</t>
        </is>
      </c>
      <c r="M1092" s="2" t="n"/>
      <c r="N1092" s="2" t="n"/>
      <c r="O1092" s="3" t="inlineStr">
        <is>
          <t>https://vanillabonds.com/dossier-data/pdf/fastned/fastned-2025-annual-report.pdf#page=157</t>
        </is>
      </c>
    </row>
    <row r="1093">
      <c r="A1093" s="2" t="inlineStr">
        <is>
          <t>F1092</t>
        </is>
      </c>
      <c r="B1093" s="2" t="inlineStr">
        <is>
          <t>business</t>
        </is>
      </c>
      <c r="C1093" s="2" t="inlineStr">
        <is>
          <t>business_fact</t>
        </is>
      </c>
      <c r="D1093" s="2" t="inlineStr">
        <is>
          <t>Business fact</t>
        </is>
      </c>
      <c r="E1093" s="2" t="inlineStr">
        <is>
          <t>FY2025</t>
        </is>
      </c>
      <c r="F1093" s="2" t="n"/>
      <c r="G1093" s="2" t="n"/>
      <c r="H1093" s="3" t="inlineStr">
        <is>
          <t>Maintenance costs €9.6m in 2025 (2024: €4.0m); marketing €6.8m (2024: €2.8m); advisory €4.8m (2024: €5.2m); general costs €11.9m (2024: €8.9m).</t>
        </is>
      </c>
      <c r="I1093" s="2" t="inlineStr">
        <is>
          <t>S3</t>
        </is>
      </c>
      <c r="J1093" s="2" t="n">
        <v>157</v>
      </c>
      <c r="K1093" s="2" t="inlineStr">
        <is>
          <t>Maintenance costs 9,595 4,024</t>
        </is>
      </c>
      <c r="L1093" s="2" t="inlineStr">
        <is>
          <t>pend</t>
        </is>
      </c>
      <c r="M1093" s="2" t="n"/>
      <c r="N1093" s="2" t="n"/>
      <c r="O1093" s="3" t="inlineStr">
        <is>
          <t>https://vanillabonds.com/dossier-data/pdf/fastned/fastned-2025-annual-report.pdf#page=157</t>
        </is>
      </c>
    </row>
    <row r="1094">
      <c r="A1094" s="2" t="inlineStr">
        <is>
          <t>F1093</t>
        </is>
      </c>
      <c r="B1094" s="2" t="inlineStr">
        <is>
          <t>business</t>
        </is>
      </c>
      <c r="C1094" s="2" t="inlineStr">
        <is>
          <t>business_fact</t>
        </is>
      </c>
      <c r="D1094" s="2" t="inlineStr">
        <is>
          <t>Business fact</t>
        </is>
      </c>
      <c r="E1094" s="2" t="inlineStr">
        <is>
          <t>FY2025</t>
        </is>
      </c>
      <c r="F1094" s="2" t="n"/>
      <c r="G1094" s="2" t="n"/>
      <c r="H1094" s="3" t="inlineStr">
        <is>
          <t>Finance costs €18.4m in 2025: interest on debts and borrowings €13.8m (2024: €11.7m), lease interest €3.6m (2024: €2.7m), interest and bank charges €0.8m, FX losses €0.1m.</t>
        </is>
      </c>
      <c r="I1094" s="2" t="inlineStr">
        <is>
          <t>S3</t>
        </is>
      </c>
      <c r="J1094" s="2" t="n">
        <v>158</v>
      </c>
      <c r="K1094" s="3" t="inlineStr">
        <is>
          <t>Interest on debts and borrowings 13,835 11,719</t>
        </is>
      </c>
      <c r="L1094" s="2" t="inlineStr">
        <is>
          <t>pend</t>
        </is>
      </c>
      <c r="M1094" s="2" t="n"/>
      <c r="N1094" s="2" t="n"/>
      <c r="O1094" s="3" t="inlineStr">
        <is>
          <t>https://vanillabonds.com/dossier-data/pdf/fastned/fastned-2025-annual-report.pdf#page=158</t>
        </is>
      </c>
    </row>
    <row r="1095">
      <c r="A1095" s="2" t="inlineStr">
        <is>
          <t>F1094</t>
        </is>
      </c>
      <c r="B1095" s="2" t="inlineStr">
        <is>
          <t>business</t>
        </is>
      </c>
      <c r="C1095" s="2" t="inlineStr">
        <is>
          <t>business_fact</t>
        </is>
      </c>
      <c r="D1095" s="2" t="inlineStr">
        <is>
          <t>Business fact</t>
        </is>
      </c>
      <c r="E1095" s="2" t="inlineStr">
        <is>
          <t>FY2025</t>
        </is>
      </c>
      <c r="F1095" s="2" t="n"/>
      <c r="G1095" s="2" t="n"/>
      <c r="H1095" s="3" t="inlineStr">
        <is>
          <t>Weighted average number of share units 19,526,623 in 2025 (2024: 19,356,248); diluted 19,729,236; conversion rights anti-dilutive.</t>
        </is>
      </c>
      <c r="I1095" s="2" t="inlineStr">
        <is>
          <t>S3</t>
        </is>
      </c>
      <c r="J1095" s="2" t="n">
        <v>161</v>
      </c>
      <c r="K1095" s="3" t="inlineStr">
        <is>
          <t>Weighted average number of shares 19,526,623 19,356,248</t>
        </is>
      </c>
      <c r="L1095" s="2" t="inlineStr">
        <is>
          <t>pend</t>
        </is>
      </c>
      <c r="M1095" s="2" t="n"/>
      <c r="N1095" s="2" t="n"/>
      <c r="O1095" s="3" t="inlineStr">
        <is>
          <t>https://vanillabonds.com/dossier-data/pdf/fastned/fastned-2025-annual-report.pdf#page=161</t>
        </is>
      </c>
    </row>
    <row r="1096">
      <c r="A1096" s="2" t="inlineStr">
        <is>
          <t>F1095</t>
        </is>
      </c>
      <c r="B1096" s="2" t="inlineStr">
        <is>
          <t>business</t>
        </is>
      </c>
      <c r="C1096" s="2" t="inlineStr">
        <is>
          <t>business_fact</t>
        </is>
      </c>
      <c r="D1096" s="2" t="inlineStr">
        <is>
          <t>Business fact</t>
        </is>
      </c>
      <c r="E1096" s="2" t="inlineStr">
        <is>
          <t>FY2025</t>
        </is>
      </c>
      <c r="F1096" s="2" t="n"/>
      <c r="G1096" s="2" t="n"/>
      <c r="H1096" s="3" t="inlineStr">
        <is>
          <t>PP&amp;E additions €88.0m in 2025 (2024: €70.9m); construction in progress €46.6m (2024: €44.8m); €80.4m transferred from construction in progress to charging stations; disposals €9.2m incl. scrapping of old ABB chargers.</t>
        </is>
      </c>
      <c r="I1096" s="2" t="inlineStr">
        <is>
          <t>S3</t>
        </is>
      </c>
      <c r="J1096" s="2" t="n">
        <v>164</v>
      </c>
      <c r="K1096" s="3" t="inlineStr">
        <is>
          <t>Assets under construction amounting to €46.6 million (2024: €44.8 million) mainly consists of machinery, equipments and furnishings to charging.</t>
        </is>
      </c>
      <c r="L1096" s="2" t="inlineStr">
        <is>
          <t>pend</t>
        </is>
      </c>
      <c r="M1096" s="2" t="n"/>
      <c r="N1096" s="2" t="n"/>
      <c r="O1096" s="3" t="inlineStr">
        <is>
          <t>https://vanillabonds.com/dossier-data/pdf/fastned/fastned-2025-annual-report.pdf#page=164</t>
        </is>
      </c>
    </row>
    <row r="1097">
      <c r="A1097" s="2" t="inlineStr">
        <is>
          <t>F1096</t>
        </is>
      </c>
      <c r="B1097" s="2" t="inlineStr">
        <is>
          <t>business</t>
        </is>
      </c>
      <c r="C1097" s="2" t="inlineStr">
        <is>
          <t>business_fact</t>
        </is>
      </c>
      <c r="D1097" s="2" t="inlineStr">
        <is>
          <t>Business fact</t>
        </is>
      </c>
      <c r="E1097" s="2" t="inlineStr">
        <is>
          <t>FY2025</t>
        </is>
      </c>
      <c r="F1097" s="2" t="n"/>
      <c r="G1097" s="2" t="n"/>
      <c r="H1097" s="3" t="inlineStr">
        <is>
          <t>Government grant assets (netted in PP&amp;E) €11.2m at end 2025 (2024: €8.2m); new German Regional Tender grants €2.4m in 2025; other grants received €1.5m (2024: €4.3m).</t>
        </is>
      </c>
      <c r="I1097" s="2" t="inlineStr">
        <is>
          <t>S3</t>
        </is>
      </c>
      <c r="J1097" s="2" t="n">
        <v>165</v>
      </c>
      <c r="K1097" s="3" t="inlineStr">
        <is>
          <t>Net book value of the government grants amount to €11.2 million (2024: €8.2 million).</t>
        </is>
      </c>
      <c r="L1097" s="2" t="inlineStr">
        <is>
          <t>pend</t>
        </is>
      </c>
      <c r="M1097" s="2" t="n"/>
      <c r="N1097" s="2" t="n"/>
      <c r="O1097" s="3" t="inlineStr">
        <is>
          <t>https://vanillabonds.com/dossier-data/pdf/fastned/fastned-2025-annual-report.pdf#page=165</t>
        </is>
      </c>
    </row>
    <row r="1098">
      <c r="A1098" s="2" t="inlineStr">
        <is>
          <t>F1097</t>
        </is>
      </c>
      <c r="B1098" s="2" t="inlineStr">
        <is>
          <t>business</t>
        </is>
      </c>
      <c r="C1098" s="2" t="inlineStr">
        <is>
          <t>business_fact</t>
        </is>
      </c>
      <c r="D1098" s="2" t="inlineStr">
        <is>
          <t>Business fact</t>
        </is>
      </c>
      <c r="E1098" s="2" t="inlineStr">
        <is>
          <t>FY2025</t>
        </is>
      </c>
      <c r="F1098" s="2" t="n"/>
      <c r="G1098" s="2" t="n"/>
      <c r="H1098" s="3" t="inlineStr">
        <is>
          <t>Borrowing costs capitalised €2.1m in 2025 (2024: nil) at the weighted average general borrowing rate of 6.00%.</t>
        </is>
      </c>
      <c r="I1098" s="2" t="inlineStr">
        <is>
          <t>S3</t>
        </is>
      </c>
      <c r="J1098" s="2" t="n">
        <v>166</v>
      </c>
      <c r="K1098" s="3" t="inlineStr">
        <is>
          <t>The amount of borrowing costs capitalised during the year ended 31 December 2025 was €2.1 million (2024: nil).</t>
        </is>
      </c>
      <c r="L1098" s="2" t="inlineStr">
        <is>
          <t>pend</t>
        </is>
      </c>
      <c r="M1098" s="2" t="n"/>
      <c r="N1098" s="2" t="n"/>
      <c r="O1098" s="3" t="inlineStr">
        <is>
          <t>https://vanillabonds.com/dossier-data/pdf/fastned/fastned-2025-annual-report.pdf#page=166</t>
        </is>
      </c>
    </row>
    <row r="1099">
      <c r="A1099" s="2" t="inlineStr">
        <is>
          <t>F1098</t>
        </is>
      </c>
      <c r="B1099" s="2" t="inlineStr">
        <is>
          <t>business</t>
        </is>
      </c>
      <c r="C1099" s="2" t="inlineStr">
        <is>
          <t>business_fact</t>
        </is>
      </c>
      <c r="D1099" s="2" t="inlineStr">
        <is>
          <t>Business fact</t>
        </is>
      </c>
      <c r="E1099" s="2" t="inlineStr">
        <is>
          <t>FY2025</t>
        </is>
      </c>
      <c r="F1099" s="2" t="n"/>
      <c r="G1099" s="2" t="n"/>
      <c r="H1099" s="3" t="inlineStr">
        <is>
          <t>Right-of-use assets €59.1m at end 2025 (2024: €35.0m), of which land €43.7m; average land lease term 19 years (2024: 16 years); most extension options not included in lease terms.</t>
        </is>
      </c>
      <c r="I1099" s="2" t="inlineStr">
        <is>
          <t>S3</t>
        </is>
      </c>
      <c r="J1099" s="2" t="n">
        <v>169</v>
      </c>
      <c r="K1099" s="3" t="inlineStr">
        <is>
          <t>The average lease term for Land leases is 19 years (2024: 16 years).</t>
        </is>
      </c>
      <c r="L1099" s="2" t="inlineStr">
        <is>
          <t>pend</t>
        </is>
      </c>
      <c r="M1099" s="2" t="n"/>
      <c r="N1099" s="2" t="n"/>
      <c r="O1099" s="3" t="inlineStr">
        <is>
          <t>https://vanillabonds.com/dossier-data/pdf/fastned/fastned-2025-annual-report.pdf#page=169</t>
        </is>
      </c>
    </row>
    <row r="1100">
      <c r="A1100" s="2" t="inlineStr">
        <is>
          <t>F1099</t>
        </is>
      </c>
      <c r="B1100" s="2" t="inlineStr">
        <is>
          <t>business</t>
        </is>
      </c>
      <c r="C1100" s="2" t="inlineStr">
        <is>
          <t>business_fact</t>
        </is>
      </c>
      <c r="D1100" s="2" t="inlineStr">
        <is>
          <t>Business fact</t>
        </is>
      </c>
      <c r="E1100" s="2" t="inlineStr">
        <is>
          <t>FY2025</t>
        </is>
      </c>
      <c r="F1100" s="2" t="n"/>
      <c r="G1100" s="2" t="n"/>
      <c r="H1100" s="3" t="inlineStr">
        <is>
          <t>Total lease cash outflow 2025: €4,265k for lease liabilities and €879k for short-term and low-value leases (2024: €3,656k and €419k).</t>
        </is>
      </c>
      <c r="I1100" s="2" t="inlineStr">
        <is>
          <t>S3</t>
        </is>
      </c>
      <c r="J1100" s="2" t="n">
        <v>169</v>
      </c>
      <c r="K1100" s="3" t="inlineStr">
        <is>
          <t>The total cash outflow in 2025 for leases amounted to €4,265 thousand</t>
        </is>
      </c>
      <c r="L1100" s="2" t="inlineStr">
        <is>
          <t>pend</t>
        </is>
      </c>
      <c r="M1100" s="2" t="n"/>
      <c r="N1100" s="2" t="n"/>
      <c r="O1100" s="3" t="inlineStr">
        <is>
          <t>https://vanillabonds.com/dossier-data/pdf/fastned/fastned-2025-annual-report.pdf#page=169</t>
        </is>
      </c>
    </row>
    <row r="1101">
      <c r="A1101" s="2" t="inlineStr">
        <is>
          <t>F1100</t>
        </is>
      </c>
      <c r="B1101" s="2" t="inlineStr">
        <is>
          <t>business</t>
        </is>
      </c>
      <c r="C1101" s="2" t="inlineStr">
        <is>
          <t>business_fact</t>
        </is>
      </c>
      <c r="D1101" s="2" t="inlineStr">
        <is>
          <t>Business fact</t>
        </is>
      </c>
      <c r="E1101" s="2" t="inlineStr">
        <is>
          <t>FY2025</t>
        </is>
      </c>
      <c r="F1101" s="2" t="n"/>
      <c r="G1101" s="2" t="n"/>
      <c r="H1101" s="3" t="inlineStr">
        <is>
          <t>Other non-current financial assets €8.3m at end 2025: long-term deposits €1.8m and €6.1m receivable from the German Highway authorities reclassified from contract assets.</t>
        </is>
      </c>
      <c r="I1101" s="2" t="inlineStr">
        <is>
          <t>S3</t>
        </is>
      </c>
      <c r="J1101" s="2" t="n">
        <v>171</v>
      </c>
      <c r="K1101" s="3" t="inlineStr">
        <is>
          <t>Other non-current financial assets includes Long term deposits €1.8 million (2024: nil) and amounts receivable from the German Highway authorities of €6.1 million (2024: nil)</t>
        </is>
      </c>
      <c r="L1101" s="2" t="inlineStr">
        <is>
          <t>pend</t>
        </is>
      </c>
      <c r="M1101" s="2" t="n"/>
      <c r="N1101" s="2" t="n"/>
      <c r="O1101" s="3" t="inlineStr">
        <is>
          <t>https://vanillabonds.com/dossier-data/pdf/fastned/fastned-2025-annual-report.pdf#page=171</t>
        </is>
      </c>
    </row>
    <row r="1102">
      <c r="A1102" s="2" t="inlineStr">
        <is>
          <t>F1101</t>
        </is>
      </c>
      <c r="B1102" s="2" t="inlineStr">
        <is>
          <t>business</t>
        </is>
      </c>
      <c r="C1102" s="2" t="inlineStr">
        <is>
          <t>business_fact</t>
        </is>
      </c>
      <c r="D1102" s="2" t="inlineStr">
        <is>
          <t>Business fact</t>
        </is>
      </c>
      <c r="E1102" s="2" t="inlineStr">
        <is>
          <t>FY2025</t>
        </is>
      </c>
      <c r="F1102" s="2" t="n"/>
      <c r="G1102" s="2" t="n"/>
      <c r="H1102" s="3" t="inlineStr">
        <is>
          <t>Loans and borrowings 2025: opening €226.5m, net loan issues €70.5m, interest P&amp;L charge €15.1m, interest paid €14.0m, closing €295.1m.</t>
        </is>
      </c>
      <c r="I1102" s="2" t="inlineStr">
        <is>
          <t>S3</t>
        </is>
      </c>
      <c r="J1102" s="2" t="n">
        <v>174</v>
      </c>
      <c r="K1102" s="3" t="inlineStr">
        <is>
          <t>226,460 15,132 70,531 (13,958) (3,071) — 295,093</t>
        </is>
      </c>
      <c r="L1102" s="2" t="inlineStr">
        <is>
          <t>pend</t>
        </is>
      </c>
      <c r="M1102" s="2" t="n"/>
      <c r="N1102" s="2" t="n"/>
      <c r="O1102" s="3" t="inlineStr">
        <is>
          <t>https://vanillabonds.com/dossier-data/pdf/fastned/fastned-2025-annual-report.pdf#page=174</t>
        </is>
      </c>
    </row>
    <row r="1103">
      <c r="A1103" s="2" t="inlineStr">
        <is>
          <t>F1102</t>
        </is>
      </c>
      <c r="B1103" s="2" t="inlineStr">
        <is>
          <t>business</t>
        </is>
      </c>
      <c r="C1103" s="2" t="inlineStr">
        <is>
          <t>business_fact</t>
        </is>
      </c>
      <c r="D1103" s="2" t="inlineStr">
        <is>
          <t>Business fact</t>
        </is>
      </c>
      <c r="E1103" s="2" t="inlineStr">
        <is>
          <t>FY2025</t>
        </is>
      </c>
      <c r="F1103" s="2" t="n"/>
      <c r="G1103" s="2" t="n"/>
      <c r="H1103" s="3" t="inlineStr">
        <is>
          <t>Fair value of interest-bearing loans and borrowings equals carrying amount €295.1m (level 2); management anticipates the fair value of the unsecured bonds is not materially different from amortised cost.</t>
        </is>
      </c>
      <c r="I1103" s="2" t="inlineStr">
        <is>
          <t>S3</t>
        </is>
      </c>
      <c r="J1103" s="2" t="n">
        <v>176</v>
      </c>
      <c r="K1103" s="3" t="inlineStr">
        <is>
          <t>Interest-bearing loans and borrowings 295,093 226,460 295,093 226,460</t>
        </is>
      </c>
      <c r="L1103" s="2" t="inlineStr">
        <is>
          <t>pend</t>
        </is>
      </c>
      <c r="M1103" s="2" t="n"/>
      <c r="N1103" s="2" t="n"/>
      <c r="O1103" s="3" t="inlineStr">
        <is>
          <t>https://vanillabonds.com/dossier-data/pdf/fastned/fastned-2025-annual-report.pdf#page=176</t>
        </is>
      </c>
    </row>
    <row r="1104">
      <c r="A1104" s="2" t="inlineStr">
        <is>
          <t>F1103</t>
        </is>
      </c>
      <c r="B1104" s="2" t="inlineStr">
        <is>
          <t>business</t>
        </is>
      </c>
      <c r="C1104" s="2" t="inlineStr">
        <is>
          <t>business_fact</t>
        </is>
      </c>
      <c r="D1104" s="2" t="inlineStr">
        <is>
          <t>Business fact</t>
        </is>
      </c>
      <c r="E1104" s="2" t="inlineStr">
        <is>
          <t>FY2025</t>
        </is>
      </c>
      <c r="F1104" s="2" t="n"/>
      <c r="G1104" s="2" t="n"/>
      <c r="H1104" s="3" t="inlineStr">
        <is>
          <t>Contractual undiscounted liabilities at end 2025 €448.1m: loans €295.1m, interest €58.8m, leases €62.9m, trade and other payables €31.3m (2024: €317.6m).</t>
        </is>
      </c>
      <c r="I1104" s="2" t="inlineStr">
        <is>
          <t>S3</t>
        </is>
      </c>
      <c r="J1104" s="2" t="n">
        <v>181</v>
      </c>
      <c r="K1104" s="3" t="inlineStr">
        <is>
          <t>Total 27,027 8,315 29,065 383,740 448,147</t>
        </is>
      </c>
      <c r="L1104" s="2" t="inlineStr">
        <is>
          <t>pend</t>
        </is>
      </c>
      <c r="M1104" s="2" t="n"/>
      <c r="N1104" s="2" t="n"/>
      <c r="O1104" s="3" t="inlineStr">
        <is>
          <t>https://vanillabonds.com/dossier-data/pdf/fastned/fastned-2025-annual-report.pdf#page=181</t>
        </is>
      </c>
    </row>
    <row r="1105">
      <c r="A1105" s="2" t="inlineStr">
        <is>
          <t>F1104</t>
        </is>
      </c>
      <c r="B1105" s="2" t="inlineStr">
        <is>
          <t>business</t>
        </is>
      </c>
      <c r="C1105" s="2" t="inlineStr">
        <is>
          <t>business_fact</t>
        </is>
      </c>
      <c r="D1105" s="2" t="inlineStr">
        <is>
          <t>Business fact</t>
        </is>
      </c>
      <c r="E1105" s="2" t="inlineStr">
        <is>
          <t>FY2025</t>
        </is>
      </c>
      <c r="F1105" s="2" t="n"/>
      <c r="G1105" s="2" t="n"/>
      <c r="H1105" s="3" t="inlineStr">
        <is>
          <t>Inventories €9.4m at end 2025 (2024: €4.4m): renewable energy units €5.9m and sites under construction for the German Highway Tender €3.5m; no write-downs.</t>
        </is>
      </c>
      <c r="I1105" s="2" t="inlineStr">
        <is>
          <t>S3</t>
        </is>
      </c>
      <c r="J1105" s="2" t="n">
        <v>182</v>
      </c>
      <c r="K1105" s="3" t="inlineStr">
        <is>
          <t>Renewable energy units granted 5,869 4,417</t>
        </is>
      </c>
      <c r="L1105" s="2" t="inlineStr">
        <is>
          <t>pend</t>
        </is>
      </c>
      <c r="M1105" s="2" t="n"/>
      <c r="N1105" s="2" t="n"/>
      <c r="O1105" s="3" t="inlineStr">
        <is>
          <t>https://vanillabonds.com/dossier-data/pdf/fastned/fastned-2025-annual-report.pdf#page=182</t>
        </is>
      </c>
    </row>
    <row r="1106">
      <c r="A1106" s="2" t="inlineStr">
        <is>
          <t>F1105</t>
        </is>
      </c>
      <c r="B1106" s="2" t="inlineStr">
        <is>
          <t>business</t>
        </is>
      </c>
      <c r="C1106" s="2" t="inlineStr">
        <is>
          <t>business_fact</t>
        </is>
      </c>
      <c r="D1106" s="2" t="inlineStr">
        <is>
          <t>Business fact</t>
        </is>
      </c>
      <c r="E1106" s="2" t="inlineStr">
        <is>
          <t>FY2025</t>
        </is>
      </c>
      <c r="F1106" s="2" t="n"/>
      <c r="G1106" s="2" t="n"/>
      <c r="H1106" s="3" t="inlineStr">
        <is>
          <t>Trade receivables net €28.5m at end 2025 (2024: €15.6m); loss allowance €1.0m (2024: €1.1m); impairment losses on receivables €0.8m in 2025 (2024: €0.3m).</t>
        </is>
      </c>
      <c r="I1106" s="2" t="inlineStr">
        <is>
          <t>S3</t>
        </is>
      </c>
      <c r="J1106" s="2" t="n">
        <v>182</v>
      </c>
      <c r="K1106" s="3" t="inlineStr">
        <is>
          <t>As at 31 December 2025, the provision for trade receivables amounted to €1.0 million</t>
        </is>
      </c>
      <c r="L1106" s="2" t="inlineStr">
        <is>
          <t>pend</t>
        </is>
      </c>
      <c r="M1106" s="2" t="n"/>
      <c r="N1106" s="2" t="n"/>
      <c r="O1106" s="3" t="inlineStr">
        <is>
          <t>https://vanillabonds.com/dossier-data/pdf/fastned/fastned-2025-annual-report.pdf#page=182</t>
        </is>
      </c>
    </row>
    <row r="1107">
      <c r="A1107" s="2" t="inlineStr">
        <is>
          <t>F1106</t>
        </is>
      </c>
      <c r="B1107" s="2" t="inlineStr">
        <is>
          <t>business</t>
        </is>
      </c>
      <c r="C1107" s="2" t="inlineStr">
        <is>
          <t>business_fact</t>
        </is>
      </c>
      <c r="D1107" s="2" t="inlineStr">
        <is>
          <t>Business fact</t>
        </is>
      </c>
      <c r="E1107" s="2" t="inlineStr">
        <is>
          <t>FY2025</t>
        </is>
      </c>
      <c r="F1107" s="2" t="n"/>
      <c r="G1107" s="2" t="n"/>
      <c r="H1107" s="3" t="inlineStr">
        <is>
          <t>Trade receivables ageing at end 2025: €29.5m outstanding, €27.1m not past due, €0.7m more than 150 days overdue (provision €0.6m on that bucket).</t>
        </is>
      </c>
      <c r="I1107" s="2" t="inlineStr">
        <is>
          <t>S3</t>
        </is>
      </c>
      <c r="J1107" s="2" t="n">
        <v>183</v>
      </c>
      <c r="K1107" s="3" t="inlineStr">
        <is>
          <t>Outstanding 29,499 27,123 1,137 128 17 322 75 697</t>
        </is>
      </c>
      <c r="L1107" s="2" t="inlineStr">
        <is>
          <t>pend</t>
        </is>
      </c>
      <c r="M1107" s="2" t="n"/>
      <c r="N1107" s="2" t="n"/>
      <c r="O1107" s="3" t="inlineStr">
        <is>
          <t>https://vanillabonds.com/dossier-data/pdf/fastned/fastned-2025-annual-report.pdf#page=183</t>
        </is>
      </c>
    </row>
    <row r="1108">
      <c r="A1108" s="2" t="inlineStr">
        <is>
          <t>F1107</t>
        </is>
      </c>
      <c r="B1108" s="2" t="inlineStr">
        <is>
          <t>business</t>
        </is>
      </c>
      <c r="C1108" s="2" t="inlineStr">
        <is>
          <t>business_fact</t>
        </is>
      </c>
      <c r="D1108" s="2" t="inlineStr">
        <is>
          <t>Business fact</t>
        </is>
      </c>
      <c r="E1108" s="2" t="inlineStr">
        <is>
          <t>FY2025</t>
        </is>
      </c>
      <c r="F1108" s="2" t="n"/>
      <c r="G1108" s="2" t="n"/>
      <c r="H1108" s="3" t="inlineStr">
        <is>
          <t>Demand deposits nil at end 2025 (2024: €105.0m with maturity of three months or less); cash held at two A-rated banks under Dutch Central Bank supervision.</t>
        </is>
      </c>
      <c r="I1108" s="2" t="inlineStr">
        <is>
          <t>S3</t>
        </is>
      </c>
      <c r="J1108" s="2" t="n">
        <v>183</v>
      </c>
      <c r="K1108" s="3" t="inlineStr">
        <is>
          <t>Cash at banks and on hand includes demand deposits nil million (2024: €105.0 million) with a maturity of three months or less.</t>
        </is>
      </c>
      <c r="L1108" s="2" t="inlineStr">
        <is>
          <t>pend</t>
        </is>
      </c>
      <c r="M1108" s="2" t="n"/>
      <c r="N1108" s="2" t="n"/>
      <c r="O1108" s="3" t="inlineStr">
        <is>
          <t>https://vanillabonds.com/dossier-data/pdf/fastned/fastned-2025-annual-report.pdf#page=183</t>
        </is>
      </c>
    </row>
    <row r="1109">
      <c r="A1109" s="2" t="inlineStr">
        <is>
          <t>F1108</t>
        </is>
      </c>
      <c r="B1109" s="2" t="inlineStr">
        <is>
          <t>business</t>
        </is>
      </c>
      <c r="C1109" s="2" t="inlineStr">
        <is>
          <t>business_fact</t>
        </is>
      </c>
      <c r="D1109" s="2" t="inlineStr">
        <is>
          <t>Business fact</t>
        </is>
      </c>
      <c r="E1109" s="2" t="inlineStr">
        <is>
          <t>FY2025</t>
        </is>
      </c>
      <c r="F1109" s="2" t="n"/>
      <c r="G1109" s="2" t="n"/>
      <c r="H1109" s="3" t="inlineStr">
        <is>
          <t>130,264 DRs issued in 2025 to employees exercising options; 197,876 employee options outstanding at end 2025; treasury shares 135,100; 88,726 DRs held by Fastned B.V. for the option scheme.</t>
        </is>
      </c>
      <c r="I1109" s="2" t="inlineStr">
        <is>
          <t>S3</t>
        </is>
      </c>
      <c r="J1109" s="2" t="n">
        <v>184</v>
      </c>
      <c r="K1109" s="3" t="inlineStr">
        <is>
          <t>During 2025 130,264 DRs were issued to employees and former employees exercising options under Fastned option plans.</t>
        </is>
      </c>
      <c r="L1109" s="2" t="inlineStr">
        <is>
          <t>pend</t>
        </is>
      </c>
      <c r="M1109" s="2" t="n"/>
      <c r="N1109" s="2" t="n"/>
      <c r="O1109" s="3" t="inlineStr">
        <is>
          <t>https://vanillabonds.com/dossier-data/pdf/fastned/fastned-2025-annual-report.pdf#page=184</t>
        </is>
      </c>
    </row>
    <row r="1110">
      <c r="A1110" s="2" t="inlineStr">
        <is>
          <t>F1109</t>
        </is>
      </c>
      <c r="B1110" s="2" t="inlineStr">
        <is>
          <t>business</t>
        </is>
      </c>
      <c r="C1110" s="2" t="inlineStr">
        <is>
          <t>business_fact</t>
        </is>
      </c>
      <c r="D1110" s="2" t="inlineStr">
        <is>
          <t>Business fact</t>
        </is>
      </c>
      <c r="E1110" s="2" t="inlineStr">
        <is>
          <t>FY2025</t>
        </is>
      </c>
      <c r="F1110" s="2" t="n"/>
      <c r="G1110" s="2" t="n"/>
      <c r="H1110" s="3" t="inlineStr">
        <is>
          <t>No restricted cash balances at 31 Dec 2025 (2024: nil).</t>
        </is>
      </c>
      <c r="I1110" s="2" t="inlineStr">
        <is>
          <t>S3</t>
        </is>
      </c>
      <c r="J1110" s="2" t="n">
        <v>184</v>
      </c>
      <c r="K1110" s="3" t="inlineStr">
        <is>
          <t>At 31 December 2025, the Group had no restricted cash balances (2024: nil).</t>
        </is>
      </c>
      <c r="L1110" s="2" t="inlineStr">
        <is>
          <t>pend</t>
        </is>
      </c>
      <c r="M1110" s="2" t="n"/>
      <c r="N1110" s="2" t="n"/>
      <c r="O1110" s="3" t="inlineStr">
        <is>
          <t>https://vanillabonds.com/dossier-data/pdf/fastned/fastned-2025-annual-report.pdf#page=184</t>
        </is>
      </c>
    </row>
    <row r="1111">
      <c r="A1111" s="2" t="inlineStr">
        <is>
          <t>F1110</t>
        </is>
      </c>
      <c r="B1111" s="2" t="inlineStr">
        <is>
          <t>business</t>
        </is>
      </c>
      <c r="C1111" s="2" t="inlineStr">
        <is>
          <t>business_fact</t>
        </is>
      </c>
      <c r="D1111" s="2" t="inlineStr">
        <is>
          <t>Business fact</t>
        </is>
      </c>
      <c r="E1111" s="2" t="inlineStr">
        <is>
          <t>FY2025</t>
        </is>
      </c>
      <c r="F1111" s="2" t="n"/>
      <c r="G1111" s="2" t="n"/>
      <c r="H1111" s="3" t="inlineStr">
        <is>
          <t>Undiscounted lease payments €113.3m at end 2025 (2024: €61.6m): €8.8m in year 1, €74.7m beyond 5 years; unearned interest €50.5m.</t>
        </is>
      </c>
      <c r="I1111" s="2" t="inlineStr">
        <is>
          <t>S3</t>
        </is>
      </c>
      <c r="J1111" s="2" t="n">
        <v>185</v>
      </c>
      <c r="K1111" s="2" t="inlineStr">
        <is>
          <t>&gt; 5 years 74,720 35,070</t>
        </is>
      </c>
      <c r="L1111" s="2" t="inlineStr">
        <is>
          <t>pend</t>
        </is>
      </c>
      <c r="M1111" s="2" t="n"/>
      <c r="N1111" s="2" t="n"/>
      <c r="O1111" s="3" t="inlineStr">
        <is>
          <t>https://vanillabonds.com/dossier-data/pdf/fastned/fastned-2025-annual-report.pdf#page=185</t>
        </is>
      </c>
    </row>
    <row r="1112">
      <c r="A1112" s="2" t="inlineStr">
        <is>
          <t>F1111</t>
        </is>
      </c>
      <c r="B1112" s="2" t="inlineStr">
        <is>
          <t>business</t>
        </is>
      </c>
      <c r="C1112" s="2" t="inlineStr">
        <is>
          <t>business_fact</t>
        </is>
      </c>
      <c r="D1112" s="2" t="inlineStr">
        <is>
          <t>Business fact</t>
        </is>
      </c>
      <c r="E1112" s="2" t="inlineStr">
        <is>
          <t>FY2025</t>
        </is>
      </c>
      <c r="F1112" s="2" t="n"/>
      <c r="G1112" s="2" t="n"/>
      <c r="H1112" s="3" t="inlineStr">
        <is>
          <t>Trade payables €9.8m (mainly construction, 30-day terms), taxes €2.4m, interest accrued €2.0m, other payables €17.2m (payroll, energy and construction accruals) at end 2025.</t>
        </is>
      </c>
      <c r="I1112" s="2" t="inlineStr">
        <is>
          <t>S3</t>
        </is>
      </c>
      <c r="J1112" s="2" t="n">
        <v>185</v>
      </c>
      <c r="K1112" s="2" t="inlineStr">
        <is>
          <t>Trade payables 9,759 7,223</t>
        </is>
      </c>
      <c r="L1112" s="2" t="inlineStr">
        <is>
          <t>pend</t>
        </is>
      </c>
      <c r="M1112" s="2" t="n"/>
      <c r="N1112" s="2" t="n"/>
      <c r="O1112" s="3" t="inlineStr">
        <is>
          <t>https://vanillabonds.com/dossier-data/pdf/fastned/fastned-2025-annual-report.pdf#page=185</t>
        </is>
      </c>
    </row>
    <row r="1113">
      <c r="A1113" s="2" t="inlineStr">
        <is>
          <t>F1112</t>
        </is>
      </c>
      <c r="B1113" s="2" t="inlineStr">
        <is>
          <t>business</t>
        </is>
      </c>
      <c r="C1113" s="2" t="inlineStr">
        <is>
          <t>business_fact</t>
        </is>
      </c>
      <c r="D1113" s="2" t="inlineStr">
        <is>
          <t>Business fact</t>
        </is>
      </c>
      <c r="E1113" s="2" t="inlineStr">
        <is>
          <t>FY2025</t>
        </is>
      </c>
      <c r="F1113" s="2" t="n"/>
      <c r="G1113" s="2" t="n"/>
      <c r="H1113" s="3" t="inlineStr">
        <is>
          <t>Decommissioning provision rose from €17.6m to €20.3m in 2025: additions €2.5m, unwinding of interest €0.7m, discount-rate change -€1.5m, cost estimate change +€1.1m; remaining average concession period 11 years.</t>
        </is>
      </c>
      <c r="I1113" s="2" t="inlineStr">
        <is>
          <t>S3</t>
        </is>
      </c>
      <c r="J1113" s="2" t="n">
        <v>186</v>
      </c>
      <c r="K1113" s="2" t="inlineStr">
        <is>
          <t>Due after one year 20,309 17,615</t>
        </is>
      </c>
      <c r="L1113" s="2" t="inlineStr">
        <is>
          <t>pend</t>
        </is>
      </c>
      <c r="M1113" s="2" t="n"/>
      <c r="N1113" s="2" t="n"/>
      <c r="O1113" s="3" t="inlineStr">
        <is>
          <t>https://vanillabonds.com/dossier-data/pdf/fastned/fastned-2025-annual-report.pdf#page=186</t>
        </is>
      </c>
    </row>
    <row r="1114">
      <c r="A1114" s="2" t="inlineStr">
        <is>
          <t>F1113</t>
        </is>
      </c>
      <c r="B1114" s="2" t="inlineStr">
        <is>
          <t>business</t>
        </is>
      </c>
      <c r="C1114" s="2" t="inlineStr">
        <is>
          <t>business_fact</t>
        </is>
      </c>
      <c r="D1114" s="2" t="inlineStr">
        <is>
          <t>Business fact</t>
        </is>
      </c>
      <c r="E1114" s="2" t="inlineStr">
        <is>
          <t>FY2025</t>
        </is>
      </c>
      <c r="F1114" s="2" t="n"/>
      <c r="G1114" s="2" t="n"/>
      <c r="H1114" s="3" t="inlineStr">
        <is>
          <t>Fastned Founders Club had 69 members at 31 Dec 2025 who charged 88,161 kWh for free (2024: 71,779 kWh); deferred revenues €231k (2024: €236k).</t>
        </is>
      </c>
      <c r="I1114" s="2" t="inlineStr">
        <is>
          <t>S3</t>
        </is>
      </c>
      <c r="J1114" s="2" t="n">
        <v>187</v>
      </c>
      <c r="K1114" s="3" t="inlineStr">
        <is>
          <t>On 31 December 2025, there were 69 members in this Club.</t>
        </is>
      </c>
      <c r="L1114" s="2" t="inlineStr">
        <is>
          <t>pend</t>
        </is>
      </c>
      <c r="M1114" s="2" t="n"/>
      <c r="N1114" s="2" t="n"/>
      <c r="O1114" s="3" t="inlineStr">
        <is>
          <t>https://vanillabonds.com/dossier-data/pdf/fastned/fastned-2025-annual-report.pdf#page=187</t>
        </is>
      </c>
    </row>
    <row r="1115">
      <c r="A1115" s="2" t="inlineStr">
        <is>
          <t>F1114</t>
        </is>
      </c>
      <c r="B1115" s="2" t="inlineStr">
        <is>
          <t>business</t>
        </is>
      </c>
      <c r="C1115" s="2" t="inlineStr">
        <is>
          <t>business_fact</t>
        </is>
      </c>
      <c r="D1115" s="2" t="inlineStr">
        <is>
          <t>Business fact</t>
        </is>
      </c>
      <c r="E1115" s="2" t="inlineStr">
        <is>
          <t>FY2025</t>
        </is>
      </c>
      <c r="F1115" s="2" t="n"/>
      <c r="G1115" s="2" t="n"/>
      <c r="H1115" s="3" t="inlineStr">
        <is>
          <t>Share option expense €28k in 2025 (2024: €24k) within administrative expenses; Hull-White option valuation model.</t>
        </is>
      </c>
      <c r="I1115" s="2" t="inlineStr">
        <is>
          <t>S3</t>
        </is>
      </c>
      <c r="J1115" s="2" t="n">
        <v>190</v>
      </c>
      <c r="K1115" s="3" t="inlineStr">
        <is>
          <t>Total expense included in administrative expenses 28 24</t>
        </is>
      </c>
      <c r="L1115" s="2" t="inlineStr">
        <is>
          <t>pend</t>
        </is>
      </c>
      <c r="M1115" s="2" t="n"/>
      <c r="N1115" s="2" t="n"/>
      <c r="O1115" s="3" t="inlineStr">
        <is>
          <t>https://vanillabonds.com/dossier-data/pdf/fastned/fastned-2025-annual-report.pdf#page=190</t>
        </is>
      </c>
    </row>
    <row r="1116">
      <c r="A1116" s="2" t="inlineStr">
        <is>
          <t>F1115</t>
        </is>
      </c>
      <c r="B1116" s="2" t="inlineStr">
        <is>
          <t>business</t>
        </is>
      </c>
      <c r="C1116" s="2" t="inlineStr">
        <is>
          <t>key_event</t>
        </is>
      </c>
      <c r="D1116" s="2" t="inlineStr">
        <is>
          <t>Key event (M&amp;A, financing, strategy)</t>
        </is>
      </c>
      <c r="E1116" s="2" t="n"/>
      <c r="F1116" s="2" t="n"/>
      <c r="G1116" s="2" t="n"/>
      <c r="H1116" s="3" t="inlineStr">
        <is>
          <t>March 2025: CEO Michiel Langezaal began his term as President of ChargeUp Europe.</t>
        </is>
      </c>
      <c r="I1116" s="2" t="inlineStr">
        <is>
          <t>S3</t>
        </is>
      </c>
      <c r="J1116" s="2" t="n">
        <v>3</v>
      </c>
      <c r="K1116" s="3" t="inlineStr">
        <is>
          <t>Fastned CEO Michiel Langezaal begins his term as President of ChargeUp Europe.</t>
        </is>
      </c>
      <c r="L1116" s="2" t="inlineStr">
        <is>
          <t>pend</t>
        </is>
      </c>
      <c r="M1116" s="2" t="n"/>
      <c r="N1116" s="2" t="n"/>
      <c r="O1116" s="3" t="inlineStr">
        <is>
          <t>https://vanillabonds.com/dossier-data/pdf/fastned/fastned-2025-annual-report.pdf#page=3</t>
        </is>
      </c>
    </row>
    <row r="1117">
      <c r="A1117" s="2" t="inlineStr">
        <is>
          <t>F1116</t>
        </is>
      </c>
      <c r="B1117" s="2" t="inlineStr">
        <is>
          <t>business</t>
        </is>
      </c>
      <c r="C1117" s="2" t="inlineStr">
        <is>
          <t>key_event</t>
        </is>
      </c>
      <c r="D1117" s="2" t="inlineStr">
        <is>
          <t>Key event (M&amp;A, financing, strategy)</t>
        </is>
      </c>
      <c r="E1117" s="2" t="n"/>
      <c r="F1117" s="2" t="n"/>
      <c r="G1117" s="2" t="n"/>
      <c r="H1117" s="3" t="inlineStr">
        <is>
          <t>April 2025: Fastned co-founded ChargeLeague with three other charging companies (in-app roadmap implementation begun).</t>
        </is>
      </c>
      <c r="I1117" s="2" t="inlineStr">
        <is>
          <t>S3</t>
        </is>
      </c>
      <c r="J1117" s="2" t="n">
        <v>3</v>
      </c>
      <c r="K1117" s="3" t="inlineStr">
        <is>
          <t>Fastned co-founds ChargeLeague: four top charging companies working together to power the industry forward.</t>
        </is>
      </c>
      <c r="L1117" s="2" t="inlineStr">
        <is>
          <t>pend</t>
        </is>
      </c>
      <c r="M1117" s="2" t="n"/>
      <c r="N1117" s="2" t="n"/>
      <c r="O1117" s="3" t="inlineStr">
        <is>
          <t>https://vanillabonds.com/dossier-data/pdf/fastned/fastned-2025-annual-report.pdf#page=3</t>
        </is>
      </c>
    </row>
    <row r="1118">
      <c r="A1118" s="2" t="inlineStr">
        <is>
          <t>F1117</t>
        </is>
      </c>
      <c r="B1118" s="2" t="inlineStr">
        <is>
          <t>business</t>
        </is>
      </c>
      <c r="C1118" s="2" t="inlineStr">
        <is>
          <t>key_event</t>
        </is>
      </c>
      <c r="D1118" s="2" t="inlineStr">
        <is>
          <t>Key event (M&amp;A, financing, strategy)</t>
        </is>
      </c>
      <c r="E1118" s="2" t="n"/>
      <c r="F1118" s="2" t="n"/>
      <c r="G1118" s="2" t="n"/>
      <c r="H1118" s="3" t="inlineStr">
        <is>
          <t>February 2025: first station in Italy (Truck Park Brescia Est), eighth country.</t>
        </is>
      </c>
      <c r="I1118" s="2" t="inlineStr">
        <is>
          <t>S3</t>
        </is>
      </c>
      <c r="J1118" s="2" t="n">
        <v>3</v>
      </c>
      <c r="K1118" s="3" t="inlineStr">
        <is>
          <t>Fastned expands to eight countries with its first station in Italy.</t>
        </is>
      </c>
      <c r="L1118" s="2" t="inlineStr">
        <is>
          <t>pend</t>
        </is>
      </c>
      <c r="M1118" s="2" t="n"/>
      <c r="N1118" s="2" t="n"/>
      <c r="O1118" s="3" t="inlineStr">
        <is>
          <t>https://vanillabonds.com/dossier-data/pdf/fastned/fastned-2025-annual-report.pdf#page=3</t>
        </is>
      </c>
    </row>
    <row r="1119">
      <c r="A1119" s="2" t="inlineStr">
        <is>
          <t>F1118</t>
        </is>
      </c>
      <c r="B1119" s="2" t="inlineStr">
        <is>
          <t>business</t>
        </is>
      </c>
      <c r="C1119" s="2" t="inlineStr">
        <is>
          <t>key_event</t>
        </is>
      </c>
      <c r="D1119" s="2" t="inlineStr">
        <is>
          <t>Key event (M&amp;A, financing, strategy)</t>
        </is>
      </c>
      <c r="E1119" s="2" t="n"/>
      <c r="F1119" s="2" t="n"/>
      <c r="G1119" s="2" t="n"/>
      <c r="H1119" s="3" t="inlineStr">
        <is>
          <t>June 2025: 600th location secured for development.</t>
        </is>
      </c>
      <c r="I1119" s="2" t="inlineStr">
        <is>
          <t>S3</t>
        </is>
      </c>
      <c r="J1119" s="2" t="n">
        <v>3</v>
      </c>
      <c r="K1119" s="3" t="inlineStr">
        <is>
          <t>Fastned secures its 600th location for development on its path to 1000 stations by 2030.</t>
        </is>
      </c>
      <c r="L1119" s="2" t="inlineStr">
        <is>
          <t>pend</t>
        </is>
      </c>
      <c r="M1119" s="2" t="n"/>
      <c r="N1119" s="2" t="n"/>
      <c r="O1119" s="3" t="inlineStr">
        <is>
          <t>https://vanillabonds.com/dossier-data/pdf/fastned/fastned-2025-annual-report.pdf#page=3</t>
        </is>
      </c>
    </row>
    <row r="1120">
      <c r="A1120" s="2" t="inlineStr">
        <is>
          <t>F1119</t>
        </is>
      </c>
      <c r="B1120" s="2" t="inlineStr">
        <is>
          <t>business</t>
        </is>
      </c>
      <c r="C1120" s="2" t="inlineStr">
        <is>
          <t>key_event</t>
        </is>
      </c>
      <c r="D1120" s="2" t="inlineStr">
        <is>
          <t>Key event (M&amp;A, financing, strategy)</t>
        </is>
      </c>
      <c r="E1120" s="2" t="n"/>
      <c r="F1120" s="2" t="n"/>
      <c r="G1120" s="2" t="n"/>
      <c r="H1120" s="3" t="inlineStr">
        <is>
          <t>October 2025: first station in Spain (Las Garraf, C-32 south of Barcelona), ninth national market.</t>
        </is>
      </c>
      <c r="I1120" s="2" t="inlineStr">
        <is>
          <t>S3</t>
        </is>
      </c>
      <c r="J1120" s="2" t="n">
        <v>4</v>
      </c>
      <c r="K1120" s="3" t="inlineStr">
        <is>
          <t>Fastned's first station in Spain is inaugurated - the company's 9th national market.</t>
        </is>
      </c>
      <c r="L1120" s="2" t="inlineStr">
        <is>
          <t>pend</t>
        </is>
      </c>
      <c r="M1120" s="2" t="n"/>
      <c r="N1120" s="2" t="n"/>
      <c r="O1120" s="3" t="inlineStr">
        <is>
          <t>https://vanillabonds.com/dossier-data/pdf/fastned/fastned-2025-annual-report.pdf#page=4</t>
        </is>
      </c>
    </row>
    <row r="1121">
      <c r="A1121" s="2" t="inlineStr">
        <is>
          <t>F1120</t>
        </is>
      </c>
      <c r="B1121" s="2" t="inlineStr">
        <is>
          <t>business</t>
        </is>
      </c>
      <c r="C1121" s="2" t="inlineStr">
        <is>
          <t>key_event</t>
        </is>
      </c>
      <c r="D1121" s="2" t="inlineStr">
        <is>
          <t>Key event (M&amp;A, financing, strategy)</t>
        </is>
      </c>
      <c r="E1121" s="2" t="n"/>
      <c r="F1121" s="2" t="n"/>
      <c r="G1121" s="2" t="n"/>
      <c r="H1121" s="3" t="inlineStr">
        <is>
          <t>July 2025: first station directly on the German Autobahn (service concession sites built for the highway authority).</t>
        </is>
      </c>
      <c r="I1121" s="2" t="inlineStr">
        <is>
          <t>S3</t>
        </is>
      </c>
      <c r="J1121" s="2" t="n">
        <v>4</v>
      </c>
      <c r="K1121" s="3" t="inlineStr">
        <is>
          <t>Fastned's German network expands with first station directly on the Autobahn.</t>
        </is>
      </c>
      <c r="L1121" s="2" t="inlineStr">
        <is>
          <t>pend</t>
        </is>
      </c>
      <c r="M1121" s="2" t="n"/>
      <c r="N1121" s="2" t="n"/>
      <c r="O1121" s="3" t="inlineStr">
        <is>
          <t>https://vanillabonds.com/dossier-data/pdf/fastned/fastned-2025-annual-report.pdf#page=4</t>
        </is>
      </c>
    </row>
    <row r="1122">
      <c r="A1122" s="2" t="inlineStr">
        <is>
          <t>F1121</t>
        </is>
      </c>
      <c r="B1122" s="2" t="inlineStr">
        <is>
          <t>business</t>
        </is>
      </c>
      <c r="C1122" s="2" t="inlineStr">
        <is>
          <t>key_event</t>
        </is>
      </c>
      <c r="D1122" s="2" t="inlineStr">
        <is>
          <t>Key event (M&amp;A, financing, strategy)</t>
        </is>
      </c>
      <c r="E1122" s="2" t="n"/>
      <c r="F1122" s="2" t="n"/>
      <c r="G1122" s="2" t="n"/>
      <c r="H1122" s="3" t="inlineStr">
        <is>
          <t>September 2025: Gentbrugge (Belgium) flagship opened, the largest station to date.</t>
        </is>
      </c>
      <c r="I1122" s="2" t="inlineStr">
        <is>
          <t>S3</t>
        </is>
      </c>
      <c r="J1122" s="2" t="n">
        <v>4</v>
      </c>
      <c r="K1122" s="3" t="inlineStr">
        <is>
          <t>A new flagship: Fastned Gentbrugge, the company's largest station to date, opens in Belgium.</t>
        </is>
      </c>
      <c r="L1122" s="2" t="inlineStr">
        <is>
          <t>pend</t>
        </is>
      </c>
      <c r="M1122" s="2" t="n"/>
      <c r="N1122" s="2" t="n"/>
      <c r="O1122" s="3" t="inlineStr">
        <is>
          <t>https://vanillabonds.com/dossier-data/pdf/fastned/fastned-2025-annual-report.pdf#page=4</t>
        </is>
      </c>
    </row>
    <row r="1123">
      <c r="A1123" s="2" t="inlineStr">
        <is>
          <t>F1122</t>
        </is>
      </c>
      <c r="B1123" s="2" t="inlineStr">
        <is>
          <t>business</t>
        </is>
      </c>
      <c r="C1123" s="2" t="inlineStr">
        <is>
          <t>key_event</t>
        </is>
      </c>
      <c r="D1123" s="2" t="inlineStr">
        <is>
          <t>Key event (M&amp;A, financing, strategy)</t>
        </is>
      </c>
      <c r="E1123" s="2" t="n"/>
      <c r="F1123" s="2" t="n"/>
      <c r="G1123" s="2" t="n"/>
      <c r="H1123" s="3" t="inlineStr">
        <is>
          <t>August 2025: half-year results reported 44% revenue growth.</t>
        </is>
      </c>
      <c r="I1123" s="2" t="inlineStr">
        <is>
          <t>S3</t>
        </is>
      </c>
      <c r="J1123" s="2" t="n">
        <v>4</v>
      </c>
      <c r="K1123" s="3" t="inlineStr">
        <is>
          <t>Fastned reports 44% revenue growth in the first six months of the year.</t>
        </is>
      </c>
      <c r="L1123" s="2" t="inlineStr">
        <is>
          <t>pend</t>
        </is>
      </c>
      <c r="M1123" s="2" t="n"/>
      <c r="N1123" s="2" t="n"/>
      <c r="O1123" s="3" t="inlineStr">
        <is>
          <t>https://vanillabonds.com/dossier-data/pdf/fastned/fastned-2025-annual-report.pdf#page=4</t>
        </is>
      </c>
    </row>
    <row r="1124">
      <c r="A1124" s="2" t="inlineStr">
        <is>
          <t>F1123</t>
        </is>
      </c>
      <c r="B1124" s="2" t="inlineStr">
        <is>
          <t>business</t>
        </is>
      </c>
      <c r="C1124" s="2" t="inlineStr">
        <is>
          <t>key_event</t>
        </is>
      </c>
      <c r="D1124" s="2" t="inlineStr">
        <is>
          <t>Key event (M&amp;A, financing, strategy)</t>
        </is>
      </c>
      <c r="E1124" s="2" t="n"/>
      <c r="F1124" s="2" t="n"/>
      <c r="G1124" s="2" t="n"/>
      <c r="H1124" s="3" t="inlineStr">
        <is>
          <t>July 2025: 50th station in France; later in 2025 the 50-station threshold crossed in Belgium and Germany.</t>
        </is>
      </c>
      <c r="I1124" s="2" t="inlineStr">
        <is>
          <t>S3</t>
        </is>
      </c>
      <c r="J1124" s="2" t="n">
        <v>16</v>
      </c>
      <c r="K1124" s="3" t="inlineStr">
        <is>
          <t>in July we celebrated the opening of our 50th charging station in France.</t>
        </is>
      </c>
      <c r="L1124" s="2" t="inlineStr">
        <is>
          <t>pend</t>
        </is>
      </c>
      <c r="M1124" s="2" t="n"/>
      <c r="N1124" s="2" t="n"/>
      <c r="O1124" s="3" t="inlineStr">
        <is>
          <t>https://vanillabonds.com/dossier-data/pdf/fastned/fastned-2025-annual-report.pdf#page=16</t>
        </is>
      </c>
    </row>
    <row r="1125">
      <c r="A1125" s="2" t="inlineStr">
        <is>
          <t>F1124</t>
        </is>
      </c>
      <c r="B1125" s="2" t="inlineStr">
        <is>
          <t>business</t>
        </is>
      </c>
      <c r="C1125" s="2" t="inlineStr">
        <is>
          <t>key_event</t>
        </is>
      </c>
      <c r="D1125" s="2" t="inlineStr">
        <is>
          <t>Key event (M&amp;A, financing, strategy)</t>
        </is>
      </c>
      <c r="E1125" s="2" t="n"/>
      <c r="F1125" s="2" t="n"/>
      <c r="G1125" s="2" t="n"/>
      <c r="H1125" s="3" t="inlineStr">
        <is>
          <t>Permits obtained in 2025 for the UK's first indoor charging hub.</t>
        </is>
      </c>
      <c r="I1125" s="2" t="inlineStr">
        <is>
          <t>S3</t>
        </is>
      </c>
      <c r="J1125" s="2" t="n">
        <v>16</v>
      </c>
      <c r="K1125" s="3" t="inlineStr">
        <is>
          <t>obtained permits for the UK’s first indoor charging hub</t>
        </is>
      </c>
      <c r="L1125" s="2" t="inlineStr">
        <is>
          <t>pend</t>
        </is>
      </c>
      <c r="M1125" s="2" t="n"/>
      <c r="N1125" s="2" t="n"/>
      <c r="O1125" s="3" t="inlineStr">
        <is>
          <t>https://vanillabonds.com/dossier-data/pdf/fastned/fastned-2025-annual-report.pdf#page=16</t>
        </is>
      </c>
    </row>
    <row r="1126">
      <c r="A1126" s="2" t="inlineStr">
        <is>
          <t>F1125</t>
        </is>
      </c>
      <c r="B1126" s="2" t="inlineStr">
        <is>
          <t>business</t>
        </is>
      </c>
      <c r="C1126" s="2" t="inlineStr">
        <is>
          <t>key_event</t>
        </is>
      </c>
      <c r="D1126" s="2" t="inlineStr">
        <is>
          <t>Key event (M&amp;A, financing, strategy)</t>
        </is>
      </c>
      <c r="E1126" s="2" t="n"/>
      <c r="F1126" s="2" t="n"/>
      <c r="G1126" s="2" t="n"/>
      <c r="H1126" s="3" t="inlineStr">
        <is>
          <t>Two bond issues in H1 2025 raised over EUR 71m, fully funding the network roll-out over that period.</t>
        </is>
      </c>
      <c r="I1126" s="2" t="inlineStr">
        <is>
          <t>S3</t>
        </is>
      </c>
      <c r="J1126" s="2" t="n">
        <v>17</v>
      </c>
      <c r="K1126" s="3" t="inlineStr">
        <is>
          <t>In the first half of 2025, Fastned completed two bond issues that together raised over €71 million, fully funding the network roll-out over that period.</t>
        </is>
      </c>
      <c r="L1126" s="2" t="inlineStr">
        <is>
          <t>pend</t>
        </is>
      </c>
      <c r="M1126" s="2" t="n"/>
      <c r="N1126" s="2" t="n"/>
      <c r="O1126" s="3" t="inlineStr">
        <is>
          <t>https://vanillabonds.com/dossier-data/pdf/fastned/fastned-2025-annual-report.pdf#page=17</t>
        </is>
      </c>
    </row>
    <row r="1127">
      <c r="A1127" s="2" t="inlineStr">
        <is>
          <t>F1126</t>
        </is>
      </c>
      <c r="B1127" s="2" t="inlineStr">
        <is>
          <t>business</t>
        </is>
      </c>
      <c r="C1127" s="2" t="inlineStr">
        <is>
          <t>key_event</t>
        </is>
      </c>
      <c r="D1127" s="2" t="inlineStr">
        <is>
          <t>Key event (M&amp;A, financing, strategy)</t>
        </is>
      </c>
      <c r="E1127" s="2" t="n"/>
      <c r="F1127" s="2" t="n"/>
      <c r="G1127" s="2" t="n"/>
      <c r="H1127" s="3" t="inlineStr">
        <is>
          <t>Fastned co-founded the Green Industrial Grids Association (GIGA) and the Spanish CPO association AORU in 2025.</t>
        </is>
      </c>
      <c r="I1127" s="2" t="inlineStr">
        <is>
          <t>S3</t>
        </is>
      </c>
      <c r="J1127" s="2" t="n">
        <v>18</v>
      </c>
      <c r="K1127" s="3" t="inlineStr">
        <is>
          <t>Fastned co-founded the CPO association AORU to push for reforms on permitting, grid connections</t>
        </is>
      </c>
      <c r="L1127" s="2" t="inlineStr">
        <is>
          <t>pend</t>
        </is>
      </c>
      <c r="M1127" s="2" t="n"/>
      <c r="N1127" s="2" t="n"/>
      <c r="O1127" s="3" t="inlineStr">
        <is>
          <t>https://vanillabonds.com/dossier-data/pdf/fastned/fastned-2025-annual-report.pdf#page=18</t>
        </is>
      </c>
    </row>
    <row r="1128">
      <c r="A1128" s="2" t="inlineStr">
        <is>
          <t>F1127</t>
        </is>
      </c>
      <c r="B1128" s="2" t="inlineStr">
        <is>
          <t>business</t>
        </is>
      </c>
      <c r="C1128" s="2" t="inlineStr">
        <is>
          <t>key_event</t>
        </is>
      </c>
      <c r="D1128" s="2" t="inlineStr">
        <is>
          <t>Key event (M&amp;A, financing, strategy)</t>
        </is>
      </c>
      <c r="E1128" s="2" t="n"/>
      <c r="F1128" s="2" t="n"/>
      <c r="G1128" s="2" t="n"/>
      <c r="H1128" s="3" t="inlineStr">
        <is>
          <t>Tender won for France's first all-electric service area at St Yvi (Brittany).</t>
        </is>
      </c>
      <c r="I1128" s="2" t="inlineStr">
        <is>
          <t>S3</t>
        </is>
      </c>
      <c r="J1128" s="2" t="n">
        <v>20</v>
      </c>
      <c r="K1128" s="3" t="inlineStr">
        <is>
          <t>after winning the tender for France's first all-electric service area at St Yvi in Brittany.</t>
        </is>
      </c>
      <c r="L1128" s="2" t="inlineStr">
        <is>
          <t>pend</t>
        </is>
      </c>
      <c r="M1128" s="2" t="n"/>
      <c r="N1128" s="2" t="n"/>
      <c r="O1128" s="3" t="inlineStr">
        <is>
          <t>https://vanillabonds.com/dossier-data/pdf/fastned/fastned-2025-annual-report.pdf#page=20</t>
        </is>
      </c>
    </row>
    <row r="1129">
      <c r="A1129" s="2" t="inlineStr">
        <is>
          <t>F1128</t>
        </is>
      </c>
      <c r="B1129" s="2" t="inlineStr">
        <is>
          <t>business</t>
        </is>
      </c>
      <c r="C1129" s="2" t="inlineStr">
        <is>
          <t>key_event</t>
        </is>
      </c>
      <c r="D1129" s="2" t="inlineStr">
        <is>
          <t>Key event (M&amp;A, financing, strategy)</t>
        </is>
      </c>
      <c r="E1129" s="2" t="n"/>
      <c r="F1129" s="2" t="n"/>
      <c r="G1129" s="2" t="n"/>
      <c r="H1129" s="3" t="inlineStr">
        <is>
          <t>2025: new office opened in Austria with first permanent hires; organisation now active in 10 countries.</t>
        </is>
      </c>
      <c r="I1129" s="2" t="inlineStr">
        <is>
          <t>S3</t>
        </is>
      </c>
      <c r="J1129" s="2" t="n">
        <v>37</v>
      </c>
      <c r="K1129" s="3" t="inlineStr">
        <is>
          <t>In 2025, we opened a new office in Austria and built local teams</t>
        </is>
      </c>
      <c r="L1129" s="2" t="inlineStr">
        <is>
          <t>pend</t>
        </is>
      </c>
      <c r="M1129" s="2" t="n"/>
      <c r="N1129" s="2" t="n"/>
      <c r="O1129" s="3" t="inlineStr">
        <is>
          <t>https://vanillabonds.com/dossier-data/pdf/fastned/fastned-2025-annual-report.pdf#page=37</t>
        </is>
      </c>
    </row>
    <row r="1130">
      <c r="A1130" s="2" t="inlineStr">
        <is>
          <t>F1129</t>
        </is>
      </c>
      <c r="B1130" s="2" t="inlineStr">
        <is>
          <t>business</t>
        </is>
      </c>
      <c r="C1130" s="2" t="inlineStr">
        <is>
          <t>key_event</t>
        </is>
      </c>
      <c r="D1130" s="2" t="inlineStr">
        <is>
          <t>Key event (M&amp;A, financing, strategy)</t>
        </is>
      </c>
      <c r="E1130" s="2" t="n"/>
      <c r="F1130" s="2" t="n"/>
      <c r="G1130" s="2" t="n"/>
      <c r="H1130" s="3" t="inlineStr">
        <is>
          <t>2025 capital raise of over EUR 110m through retail bond issuances and extensions.</t>
        </is>
      </c>
      <c r="I1130" s="2" t="inlineStr">
        <is>
          <t>S3</t>
        </is>
      </c>
      <c r="J1130" s="2" t="n">
        <v>81</v>
      </c>
      <c r="K1130" s="3" t="inlineStr">
        <is>
          <t>In 2025, we substantially strengthened our capital position, raising over €110 million through a combination of bond issuances and extensions.</t>
        </is>
      </c>
      <c r="L1130" s="2" t="inlineStr">
        <is>
          <t>pend</t>
        </is>
      </c>
      <c r="M1130" s="2" t="n"/>
      <c r="N1130" s="2" t="n"/>
      <c r="O1130" s="3" t="inlineStr">
        <is>
          <t>https://vanillabonds.com/dossier-data/pdf/fastned/fastned-2025-annual-report.pdf#page=81</t>
        </is>
      </c>
    </row>
    <row r="1131">
      <c r="A1131" s="2" t="inlineStr">
        <is>
          <t>F1130</t>
        </is>
      </c>
      <c r="B1131" s="2" t="inlineStr">
        <is>
          <t>business</t>
        </is>
      </c>
      <c r="C1131" s="2" t="inlineStr">
        <is>
          <t>key_event</t>
        </is>
      </c>
      <c r="D1131" s="2" t="inlineStr">
        <is>
          <t>Key event (M&amp;A, financing, strategy)</t>
        </is>
      </c>
      <c r="E1131" s="2" t="n"/>
      <c r="F1131" s="2" t="n"/>
      <c r="G1131" s="2" t="n"/>
      <c r="H1131" s="3" t="inlineStr">
        <is>
          <t>Early 2026: green loan facility granted, EUR 100m committed for new stations in Belgium and Switzerland plus a EUR 100m accordion option (post year-end).</t>
        </is>
      </c>
      <c r="I1131" s="2" t="inlineStr">
        <is>
          <t>S3</t>
        </is>
      </c>
      <c r="J1131" s="2" t="n">
        <v>99</v>
      </c>
      <c r="K1131" s="3" t="inlineStr">
        <is>
          <t>the granting in early 2026 of a green loan facility of initial €100 million in committed capital, securing new charging stations in Belgium and Switzerland, with an accordion option</t>
        </is>
      </c>
      <c r="L1131" s="2" t="inlineStr">
        <is>
          <t>pend</t>
        </is>
      </c>
      <c r="M1131" s="2" t="n"/>
      <c r="N1131" s="2" t="n"/>
      <c r="O1131" s="3" t="inlineStr">
        <is>
          <t>https://vanillabonds.com/dossier-data/pdf/fastned/fastned-2025-annual-report.pdf#page=99</t>
        </is>
      </c>
    </row>
    <row r="1132">
      <c r="A1132" s="2" t="inlineStr">
        <is>
          <t>F1131</t>
        </is>
      </c>
      <c r="B1132" s="2" t="inlineStr">
        <is>
          <t>business</t>
        </is>
      </c>
      <c r="C1132" s="2" t="inlineStr">
        <is>
          <t>key_event</t>
        </is>
      </c>
      <c r="D1132" s="2" t="inlineStr">
        <is>
          <t>Key event (M&amp;A, financing, strategy)</t>
        </is>
      </c>
      <c r="E1132" s="2" t="n"/>
      <c r="F1132" s="2" t="n"/>
      <c r="G1132" s="2" t="n"/>
      <c r="H1132" s="3" t="inlineStr">
        <is>
          <t>2025: employee option plan updated (Supervisory Board statement).</t>
        </is>
      </c>
      <c r="I1132" s="2" t="inlineStr">
        <is>
          <t>S3</t>
        </is>
      </c>
      <c r="J1132" s="2" t="n">
        <v>99</v>
      </c>
      <c r="K1132" s="3" t="inlineStr">
        <is>
          <t>alongside the update of the option plan for the employees</t>
        </is>
      </c>
      <c r="L1132" s="2" t="inlineStr">
        <is>
          <t>pend</t>
        </is>
      </c>
      <c r="M1132" s="2" t="n"/>
      <c r="N1132" s="2" t="n"/>
      <c r="O1132" s="3" t="inlineStr">
        <is>
          <t>https://vanillabonds.com/dossier-data/pdf/fastned/fastned-2025-annual-report.pdf#page=99</t>
        </is>
      </c>
    </row>
    <row r="1133">
      <c r="A1133" s="2" t="inlineStr">
        <is>
          <t>F1132</t>
        </is>
      </c>
      <c r="B1133" s="2" t="inlineStr">
        <is>
          <t>business</t>
        </is>
      </c>
      <c r="C1133" s="2" t="inlineStr">
        <is>
          <t>key_event</t>
        </is>
      </c>
      <c r="D1133" s="2" t="inlineStr">
        <is>
          <t>Key event (M&amp;A, financing, strategy)</t>
        </is>
      </c>
      <c r="E1133" s="2" t="n"/>
      <c r="F1133" s="2" t="n"/>
      <c r="G1133" s="2" t="n"/>
      <c r="H1133" s="3" t="inlineStr">
        <is>
          <t>Joint venture with Places for London begun in December 2024; the first stations under the JV are prepared for opening in 2026.</t>
        </is>
      </c>
      <c r="I1133" s="2" t="inlineStr">
        <is>
          <t>S3</t>
        </is>
      </c>
      <c r="J1133" s="2" t="n">
        <v>100</v>
      </c>
      <c r="K1133" s="3" t="inlineStr">
        <is>
          <t>Fastned's joint venture with Places for London, begun in December 2024, was a great accomplishment</t>
        </is>
      </c>
      <c r="L1133" s="2" t="inlineStr">
        <is>
          <t>pend</t>
        </is>
      </c>
      <c r="M1133" s="2" t="n"/>
      <c r="N1133" s="2" t="n"/>
      <c r="O1133" s="3" t="inlineStr">
        <is>
          <t>https://vanillabonds.com/dossier-data/pdf/fastned/fastned-2025-annual-report.pdf#page=100</t>
        </is>
      </c>
    </row>
    <row r="1134">
      <c r="A1134" s="2" t="inlineStr">
        <is>
          <t>F1133</t>
        </is>
      </c>
      <c r="B1134" s="2" t="inlineStr">
        <is>
          <t>business</t>
        </is>
      </c>
      <c r="C1134" s="2" t="inlineStr">
        <is>
          <t>key_event</t>
        </is>
      </c>
      <c r="D1134" s="2" t="inlineStr">
        <is>
          <t>Key event (M&amp;A, financing, strategy)</t>
        </is>
      </c>
      <c r="E1134" s="2" t="n"/>
      <c r="F1134" s="2" t="n"/>
      <c r="G1134" s="2" t="n"/>
      <c r="H1134" s="3" t="inlineStr">
        <is>
          <t>Banks and Invest-NL provided Fastned's new green loan, per the Supervisory Board chair's message in the 2025 report.</t>
        </is>
      </c>
      <c r="I1134" s="2" t="inlineStr">
        <is>
          <t>S3</t>
        </is>
      </c>
      <c r="J1134" s="2" t="n">
        <v>100</v>
      </c>
      <c r="K1134" s="3" t="inlineStr">
        <is>
          <t>the banks and Invest-NL who recently provided Fastned's new green loan</t>
        </is>
      </c>
      <c r="L1134" s="2" t="inlineStr">
        <is>
          <t>pend</t>
        </is>
      </c>
      <c r="M1134" s="2" t="n"/>
      <c r="N1134" s="2" t="n"/>
      <c r="O1134" s="3" t="inlineStr">
        <is>
          <t>https://vanillabonds.com/dossier-data/pdf/fastned/fastned-2025-annual-report.pdf#page=100</t>
        </is>
      </c>
    </row>
    <row r="1135">
      <c r="A1135" s="2" t="inlineStr">
        <is>
          <t>F1134</t>
        </is>
      </c>
      <c r="B1135" s="2" t="inlineStr">
        <is>
          <t>business</t>
        </is>
      </c>
      <c r="C1135" s="2" t="inlineStr">
        <is>
          <t>key_event</t>
        </is>
      </c>
      <c r="D1135" s="2" t="inlineStr">
        <is>
          <t>Key event (M&amp;A, financing, strategy)</t>
        </is>
      </c>
      <c r="E1135" s="2" t="n"/>
      <c r="F1135" s="2" t="n"/>
      <c r="G1135" s="2" t="n"/>
      <c r="H1135" s="3" t="inlineStr">
        <is>
          <t>A new bank loan was set up and formalised in January 2026, discussed by the Supervisory Board and at length in the Audit Committee.</t>
        </is>
      </c>
      <c r="I1135" s="2" t="inlineStr">
        <is>
          <t>S3</t>
        </is>
      </c>
      <c r="J1135" s="2" t="n">
        <v>102</v>
      </c>
      <c r="K1135" s="3" t="inlineStr">
        <is>
          <t>the set-up of a new bank loan which was formalised in January 2026</t>
        </is>
      </c>
      <c r="L1135" s="2" t="inlineStr">
        <is>
          <t>pend</t>
        </is>
      </c>
      <c r="M1135" s="2" t="n"/>
      <c r="N1135" s="2" t="n"/>
      <c r="O1135" s="3" t="inlineStr">
        <is>
          <t>https://vanillabonds.com/dossier-data/pdf/fastned/fastned-2025-annual-report.pdf#page=102</t>
        </is>
      </c>
    </row>
    <row r="1136">
      <c r="A1136" s="2" t="inlineStr">
        <is>
          <t>F1135</t>
        </is>
      </c>
      <c r="B1136" s="2" t="inlineStr">
        <is>
          <t>business</t>
        </is>
      </c>
      <c r="C1136" s="2" t="inlineStr">
        <is>
          <t>key_event</t>
        </is>
      </c>
      <c r="D1136" s="2" t="inlineStr">
        <is>
          <t>Key event (M&amp;A, financing, strategy)</t>
        </is>
      </c>
      <c r="E1136" s="2" t="n"/>
      <c r="F1136" s="2" t="n"/>
      <c r="G1136" s="2" t="n"/>
      <c r="H1136" s="3" t="inlineStr">
        <is>
          <t>Between October 2025 and January 2026 Niels Korthals Altes acted as special advisor to the funding team, leading the project to secure up to EUR 200m in bank financing.</t>
        </is>
      </c>
      <c r="I1136" s="2" t="inlineStr">
        <is>
          <t>S3</t>
        </is>
      </c>
      <c r="J1136" s="2" t="n">
        <v>108</v>
      </c>
      <c r="K1136" s="3" t="inlineStr">
        <is>
          <t>Between October 2025 and January 2026 Niels acted as special advisor to the Fastned funding team, leading the project to secure up to EUR 200mln in bank financing.</t>
        </is>
      </c>
      <c r="L1136" s="2" t="inlineStr">
        <is>
          <t>pend</t>
        </is>
      </c>
      <c r="M1136" s="2" t="n"/>
      <c r="N1136" s="2" t="n"/>
      <c r="O1136" s="3" t="inlineStr">
        <is>
          <t>https://vanillabonds.com/dossier-data/pdf/fastned/fastned-2025-annual-report.pdf#page=108</t>
        </is>
      </c>
    </row>
    <row r="1137">
      <c r="A1137" s="2" t="inlineStr">
        <is>
          <t>F1136</t>
        </is>
      </c>
      <c r="B1137" s="2" t="inlineStr">
        <is>
          <t>business</t>
        </is>
      </c>
      <c r="C1137" s="2" t="inlineStr">
        <is>
          <t>key_event</t>
        </is>
      </c>
      <c r="D1137" s="2" t="inlineStr">
        <is>
          <t>Key event (M&amp;A, financing, strategy)</t>
        </is>
      </c>
      <c r="E1137" s="2" t="n"/>
      <c r="F1137" s="2" t="n"/>
      <c r="G1137" s="2" t="n"/>
      <c r="H1137" s="3" t="inlineStr">
        <is>
          <t>Proceeds from borrowings €78.7m and repayment of borrowings €14.6m in 2025 (2024: €73.8m and €11.8m).</t>
        </is>
      </c>
      <c r="I1137" s="2" t="inlineStr">
        <is>
          <t>S3</t>
        </is>
      </c>
      <c r="J1137" s="2" t="n">
        <v>120</v>
      </c>
      <c r="K1137" s="3" t="inlineStr">
        <is>
          <t>Proceeds from borrowings 15.4 78,724 73,822</t>
        </is>
      </c>
      <c r="L1137" s="2" t="inlineStr">
        <is>
          <t>pend</t>
        </is>
      </c>
      <c r="M1137" s="2" t="n"/>
      <c r="N1137" s="2" t="n"/>
      <c r="O1137" s="3" t="inlineStr">
        <is>
          <t>https://vanillabonds.com/dossier-data/pdf/fastned/fastned-2025-annual-report.pdf#page=120</t>
        </is>
      </c>
    </row>
    <row r="1138">
      <c r="A1138" s="2" t="inlineStr">
        <is>
          <t>F1137</t>
        </is>
      </c>
      <c r="B1138" s="2" t="inlineStr">
        <is>
          <t>business</t>
        </is>
      </c>
      <c r="C1138" s="2" t="inlineStr">
        <is>
          <t>key_event</t>
        </is>
      </c>
      <c r="D1138" s="2" t="inlineStr">
        <is>
          <t>Key event (M&amp;A, financing, strategy)</t>
        </is>
      </c>
      <c r="E1138" s="2" t="n"/>
      <c r="F1138" s="2" t="n"/>
      <c r="G1138" s="2" t="n"/>
      <c r="H1138" s="3" t="inlineStr">
        <is>
          <t>End of January 2026: €100m limited-recourse senior secured facilities agreement (TICO Financing) to finance charging stations in Belgium and Switzerland.</t>
        </is>
      </c>
      <c r="I1138" s="2" t="inlineStr">
        <is>
          <t>S3</t>
        </is>
      </c>
      <c r="J1138" s="2" t="n">
        <v>122</v>
      </c>
      <c r="K1138" s="3" t="inlineStr">
        <is>
          <t>At the end of January 2026, Fastned entered into a €100 million limited-recourse senior secured facilities agreement</t>
        </is>
      </c>
      <c r="L1138" s="2" t="inlineStr">
        <is>
          <t>pend</t>
        </is>
      </c>
      <c r="M1138" s="2" t="n"/>
      <c r="N1138" s="2" t="n"/>
      <c r="O1138" s="3" t="inlineStr">
        <is>
          <t>https://vanillabonds.com/dossier-data/pdf/fastned/fastned-2025-annual-report.pdf#page=122</t>
        </is>
      </c>
    </row>
    <row r="1139">
      <c r="A1139" s="2" t="inlineStr">
        <is>
          <t>F1138</t>
        </is>
      </c>
      <c r="B1139" s="2" t="inlineStr">
        <is>
          <t>business</t>
        </is>
      </c>
      <c r="C1139" s="2" t="inlineStr">
        <is>
          <t>key_event</t>
        </is>
      </c>
      <c r="D1139" s="2" t="inlineStr">
        <is>
          <t>Key event (M&amp;A, financing, strategy)</t>
        </is>
      </c>
      <c r="E1139" s="2" t="n"/>
      <c r="F1139" s="2" t="n"/>
      <c r="G1139" s="2" t="n"/>
      <c r="H1139" s="3" t="inlineStr">
        <is>
          <t>Accounting policy change for renewable energy units applied from 1 January 2025 with full retrospective restatement of 2024 (RECs recognised at fair value as inventory, revenue on delivery via the government portal).</t>
        </is>
      </c>
      <c r="I1139" s="2" t="inlineStr">
        <is>
          <t>S3</t>
        </is>
      </c>
      <c r="J1139" s="2" t="n">
        <v>138</v>
      </c>
      <c r="K1139" s="3" t="inlineStr">
        <is>
          <t>The change in accounting policy has been applied for the periods beginning on or after January 1, 2025. We applied full retrospective approach</t>
        </is>
      </c>
      <c r="L1139" s="2" t="inlineStr">
        <is>
          <t>pend</t>
        </is>
      </c>
      <c r="M1139" s="2" t="n"/>
      <c r="N1139" s="2" t="n"/>
      <c r="O1139" s="3" t="inlineStr">
        <is>
          <t>https://vanillabonds.com/dossier-data/pdf/fastned/fastned-2025-annual-report.pdf#page=138</t>
        </is>
      </c>
    </row>
    <row r="1140">
      <c r="A1140" s="2" t="inlineStr">
        <is>
          <t>F1139</t>
        </is>
      </c>
      <c r="B1140" s="2" t="inlineStr">
        <is>
          <t>business</t>
        </is>
      </c>
      <c r="C1140" s="2" t="inlineStr">
        <is>
          <t>key_event</t>
        </is>
      </c>
      <c r="D1140" s="2" t="inlineStr">
        <is>
          <t>Key event (M&amp;A, financing, strategy)</t>
        </is>
      </c>
      <c r="E1140" s="2" t="n"/>
      <c r="F1140" s="2" t="n"/>
      <c r="G1140" s="2" t="n"/>
      <c r="H1140" s="3" t="inlineStr">
        <is>
          <t>Liquidation of Fastned Terra 1 B.V. and Fastned Terra 2 B.V. completed on 19 May 2025.</t>
        </is>
      </c>
      <c r="I1140" s="2" t="inlineStr">
        <is>
          <t>S3</t>
        </is>
      </c>
      <c r="J1140" s="2" t="n">
        <v>148</v>
      </c>
      <c r="K1140" s="3" t="inlineStr">
        <is>
          <t>the liquidation of Fastned Terra 1 B.V. and Fastned Terra 2 B.V. was completed on 19 May 2025</t>
        </is>
      </c>
      <c r="L1140" s="2" t="inlineStr">
        <is>
          <t>pend</t>
        </is>
      </c>
      <c r="M1140" s="2" t="n"/>
      <c r="N1140" s="2" t="n"/>
      <c r="O1140" s="3" t="inlineStr">
        <is>
          <t>https://vanillabonds.com/dossier-data/pdf/fastned/fastned-2025-annual-report.pdf#page=148</t>
        </is>
      </c>
    </row>
    <row r="1141">
      <c r="A1141" s="2" t="inlineStr">
        <is>
          <t>F1140</t>
        </is>
      </c>
      <c r="B1141" s="2" t="inlineStr">
        <is>
          <t>business</t>
        </is>
      </c>
      <c r="C1141" s="2" t="inlineStr">
        <is>
          <t>key_event</t>
        </is>
      </c>
      <c r="D1141" s="2" t="inlineStr">
        <is>
          <t>Key event (M&amp;A, financing, strategy)</t>
        </is>
      </c>
      <c r="E1141" s="2" t="n"/>
      <c r="F1141" s="2" t="n"/>
      <c r="G1141" s="2" t="n"/>
      <c r="H1141" s="3" t="inlineStr">
        <is>
          <t>Fastned Tico Holding 1 B.V. established on 1 September 2025 as a new holding entity (vehicle for the TICO Financing).</t>
        </is>
      </c>
      <c r="I1141" s="2" t="inlineStr">
        <is>
          <t>S3</t>
        </is>
      </c>
      <c r="J1141" s="2" t="n">
        <v>148</v>
      </c>
      <c r="K1141" s="3" t="inlineStr">
        <is>
          <t>a new holding entity, Fastned Tico Holding 1 B.V., was established on 1 September 2025</t>
        </is>
      </c>
      <c r="L1141" s="2" t="inlineStr">
        <is>
          <t>pend</t>
        </is>
      </c>
      <c r="M1141" s="2" t="n"/>
      <c r="N1141" s="2" t="n"/>
      <c r="O1141" s="3" t="inlineStr">
        <is>
          <t>https://vanillabonds.com/dossier-data/pdf/fastned/fastned-2025-annual-report.pdf#page=148</t>
        </is>
      </c>
    </row>
    <row r="1142">
      <c r="A1142" s="2" t="inlineStr">
        <is>
          <t>F1141</t>
        </is>
      </c>
      <c r="B1142" s="2" t="inlineStr">
        <is>
          <t>business</t>
        </is>
      </c>
      <c r="C1142" s="2" t="inlineStr">
        <is>
          <t>key_event</t>
        </is>
      </c>
      <c r="D1142" s="2" t="inlineStr">
        <is>
          <t>Key event (M&amp;A, financing, strategy)</t>
        </is>
      </c>
      <c r="E1142" s="2" t="n"/>
      <c r="F1142" s="2" t="n"/>
      <c r="G1142" s="2" t="n"/>
      <c r="H1142" s="3" t="inlineStr">
        <is>
          <t>Off-the-shelf Polish company Fastned Sp. z o.o. acquired on 23 July 2025, accounted for as an asset acquisition, not a business combination.</t>
        </is>
      </c>
      <c r="I1142" s="2" t="inlineStr">
        <is>
          <t>S3</t>
        </is>
      </c>
      <c r="J1142" s="2" t="n">
        <v>148</v>
      </c>
      <c r="K1142" s="3" t="inlineStr">
        <is>
          <t>In Poland, the Group acquired a new off-the-shelf company, Fastned Sp. z o.o., on 23 July 2025.</t>
        </is>
      </c>
      <c r="L1142" s="2" t="inlineStr">
        <is>
          <t>pend</t>
        </is>
      </c>
      <c r="M1142" s="2" t="n"/>
      <c r="N1142" s="2" t="n"/>
      <c r="O1142" s="3" t="inlineStr">
        <is>
          <t>https://vanillabonds.com/dossier-data/pdf/fastned/fastned-2025-annual-report.pdf#page=148</t>
        </is>
      </c>
    </row>
    <row r="1143">
      <c r="A1143" s="2" t="inlineStr">
        <is>
          <t>F1142</t>
        </is>
      </c>
      <c r="B1143" s="2" t="inlineStr">
        <is>
          <t>business</t>
        </is>
      </c>
      <c r="C1143" s="2" t="inlineStr">
        <is>
          <t>key_event</t>
        </is>
      </c>
      <c r="D1143" s="2" t="inlineStr">
        <is>
          <t>Key event (M&amp;A, financing, strategy)</t>
        </is>
      </c>
      <c r="E1143" s="2" t="n"/>
      <c r="F1143" s="2" t="n"/>
      <c r="G1143" s="2" t="n"/>
      <c r="H1143" s="3" t="inlineStr">
        <is>
          <t>Belgian demerger by notarial deed of 29 December 2025 (effective 31 October 2025): Fastned België B.V. renamed Fastned Stations Belgium B.V.; new Fastned Belgium B.V. incorporated 3 October 2025 for operations.</t>
        </is>
      </c>
      <c r="I1143" s="2" t="inlineStr">
        <is>
          <t>S3</t>
        </is>
      </c>
      <c r="J1143" s="2" t="n">
        <v>148</v>
      </c>
      <c r="K1143" s="3" t="inlineStr">
        <is>
          <t>In Belgium, Fastned België B.V. was demerged by notarial deed executed on 29 December 2025</t>
        </is>
      </c>
      <c r="L1143" s="2" t="inlineStr">
        <is>
          <t>pend</t>
        </is>
      </c>
      <c r="M1143" s="2" t="n"/>
      <c r="N1143" s="2" t="n"/>
      <c r="O1143" s="3" t="inlineStr">
        <is>
          <t>https://vanillabonds.com/dossier-data/pdf/fastned/fastned-2025-annual-report.pdf#page=148</t>
        </is>
      </c>
    </row>
    <row r="1144">
      <c r="A1144" s="2" t="inlineStr">
        <is>
          <t>F1143</t>
        </is>
      </c>
      <c r="B1144" s="2" t="inlineStr">
        <is>
          <t>business</t>
        </is>
      </c>
      <c r="C1144" s="2" t="inlineStr">
        <is>
          <t>key_event</t>
        </is>
      </c>
      <c r="D1144" s="2" t="inlineStr">
        <is>
          <t>Key event (M&amp;A, financing, strategy)</t>
        </is>
      </c>
      <c r="E1144" s="2" t="n"/>
      <c r="F1144" s="2" t="n"/>
      <c r="G1144" s="2" t="n"/>
      <c r="H1144" s="3" t="inlineStr">
        <is>
          <t>Swiss partial demerger: Asset Transfer Agreement of 10 November 2025 (effective 30 June 2025); Fastned Switzerland AG renamed Fastned Stations Switzerland AG; new operations company incorporated 30 October 2025 and renamed Fastned Switzerland AG on 19 December 2025.</t>
        </is>
      </c>
      <c r="I1144" s="2" t="inlineStr">
        <is>
          <t>S3</t>
        </is>
      </c>
      <c r="J1144" s="2" t="n">
        <v>148</v>
      </c>
      <c r="K1144" s="3" t="inlineStr">
        <is>
          <t>In Switzerland, Fastned Switzerland AG was partially demerged by way of a bulk transfer of assets under an Asset Transfer Agreement signed on 10 November 2025</t>
        </is>
      </c>
      <c r="L1144" s="2" t="inlineStr">
        <is>
          <t>pend</t>
        </is>
      </c>
      <c r="M1144" s="2" t="n"/>
      <c r="N1144" s="2" t="n"/>
      <c r="O1144" s="3" t="inlineStr">
        <is>
          <t>https://vanillabonds.com/dossier-data/pdf/fastned/fastned-2025-annual-report.pdf#page=148</t>
        </is>
      </c>
    </row>
    <row r="1145">
      <c r="A1145" s="2" t="inlineStr">
        <is>
          <t>F1144</t>
        </is>
      </c>
      <c r="B1145" s="2" t="inlineStr">
        <is>
          <t>business</t>
        </is>
      </c>
      <c r="C1145" s="2" t="inlineStr">
        <is>
          <t>key_event</t>
        </is>
      </c>
      <c r="D1145" s="2" t="inlineStr">
        <is>
          <t>Key event (M&amp;A, financing, strategy)</t>
        </is>
      </c>
      <c r="E1145" s="2" t="n"/>
      <c r="F1145" s="2" t="n"/>
      <c r="G1145" s="2" t="n"/>
      <c r="H1145" s="3" t="inlineStr">
        <is>
          <t>2023: awarded a German Federal Government tender to construct and operate 34 high-power charging sites on German highways; the government owns the infrastructure; Fastned is remunerated over 8 years (IFRIC 12).</t>
        </is>
      </c>
      <c r="I1145" s="2" t="inlineStr">
        <is>
          <t>S3</t>
        </is>
      </c>
      <c r="J1145" s="2" t="n">
        <v>151</v>
      </c>
      <c r="K1145" s="3" t="inlineStr">
        <is>
          <t>During 2023, Fastned was awarded a tender by the German Federal Government to construct and operate 34 high-power charging (HPC) fast-charging sites across German highways.</t>
        </is>
      </c>
      <c r="L1145" s="2" t="inlineStr">
        <is>
          <t>pend</t>
        </is>
      </c>
      <c r="M1145" s="2" t="n"/>
      <c r="N1145" s="2" t="n"/>
      <c r="O1145" s="3" t="inlineStr">
        <is>
          <t>https://vanillabonds.com/dossier-data/pdf/fastned/fastned-2025-annual-report.pdf#page=151</t>
        </is>
      </c>
    </row>
    <row r="1146">
      <c r="A1146" s="2" t="inlineStr">
        <is>
          <t>F1145</t>
        </is>
      </c>
      <c r="B1146" s="2" t="inlineStr">
        <is>
          <t>business</t>
        </is>
      </c>
      <c r="C1146" s="2" t="inlineStr">
        <is>
          <t>key_event</t>
        </is>
      </c>
      <c r="D1146" s="2" t="inlineStr">
        <is>
          <t>Key event (M&amp;A, financing, strategy)</t>
        </is>
      </c>
      <c r="E1146" s="2" t="n"/>
      <c r="F1146" s="2" t="n"/>
      <c r="G1146" s="2" t="n"/>
      <c r="H1146" s="3" t="inlineStr">
        <is>
          <t>2025 sale and leaseback of 131 low-voltage rack assets for €1.5m cash (carrying amount about €1.9m); 10-year non-cancellable leaseback at about €18.6k per month; lease liability €1.7m and right-of-use asset €2.1m recognised; described as a single non-recurring transaction.</t>
        </is>
      </c>
      <c r="I1146" s="2" t="inlineStr">
        <is>
          <t>S3</t>
        </is>
      </c>
      <c r="J1146" s="2" t="n">
        <v>165</v>
      </c>
      <c r="K1146" s="3" t="inlineStr">
        <is>
          <t>The Group transferred legal title, possession and the significant risks and rewards of ownership of 131 individual assets for cash consideration of €1.5 million.</t>
        </is>
      </c>
      <c r="L1146" s="2" t="inlineStr">
        <is>
          <t>pend</t>
        </is>
      </c>
      <c r="M1146" s="2" t="n"/>
      <c r="N1146" s="2" t="n"/>
      <c r="O1146" s="3" t="inlineStr">
        <is>
          <t>https://vanillabonds.com/dossier-data/pdf/fastned/fastned-2025-annual-report.pdf#page=165</t>
        </is>
      </c>
    </row>
    <row r="1147">
      <c r="A1147" s="2" t="inlineStr">
        <is>
          <t>F1146</t>
        </is>
      </c>
      <c r="B1147" s="2" t="inlineStr">
        <is>
          <t>business</t>
        </is>
      </c>
      <c r="C1147" s="2" t="inlineStr">
        <is>
          <t>key_event</t>
        </is>
      </c>
      <c r="D1147" s="2" t="inlineStr">
        <is>
          <t>Key event (M&amp;A, financing, strategy)</t>
        </is>
      </c>
      <c r="E1147" s="2" t="n"/>
      <c r="F1147" s="2" t="n"/>
      <c r="G1147" s="2" t="n"/>
      <c r="H1147" s="3" t="inlineStr">
        <is>
          <t>February 2025: €20.4m new corporate bonds issued plus €16.1m extensions from earlier bond issues, 6% p.a. payable quarterly in arrears, 5-year maturity.</t>
        </is>
      </c>
      <c r="I1147" s="2" t="inlineStr">
        <is>
          <t>S3</t>
        </is>
      </c>
      <c r="J1147" s="2" t="n">
        <v>173</v>
      </c>
      <c r="K1147" s="3" t="inlineStr">
        <is>
          <t>In February 2025, Fastned raised €20.4 million through issue of corporate bonds, and in addition, investors extended €16.1 million from earlier bonds issues.</t>
        </is>
      </c>
      <c r="L1147" s="2" t="inlineStr">
        <is>
          <t>pend</t>
        </is>
      </c>
      <c r="M1147" s="2" t="n"/>
      <c r="N1147" s="2" t="n"/>
      <c r="O1147" s="3" t="inlineStr">
        <is>
          <t>https://vanillabonds.com/dossier-data/pdf/fastned/fastned-2025-annual-report.pdf#page=173</t>
        </is>
      </c>
    </row>
    <row r="1148">
      <c r="A1148" s="2" t="inlineStr">
        <is>
          <t>F1147</t>
        </is>
      </c>
      <c r="B1148" s="2" t="inlineStr">
        <is>
          <t>business</t>
        </is>
      </c>
      <c r="C1148" s="2" t="inlineStr">
        <is>
          <t>key_event</t>
        </is>
      </c>
      <c r="D1148" s="2" t="inlineStr">
        <is>
          <t>Key event (M&amp;A, financing, strategy)</t>
        </is>
      </c>
      <c r="E1148" s="2" t="n"/>
      <c r="F1148" s="2" t="n"/>
      <c r="G1148" s="2" t="n"/>
      <c r="H1148" s="3" t="inlineStr">
        <is>
          <t>June 2025: €28.8m new corporate bonds plus €5.9m extensions from earlier issues, 6% p.a. payable quarterly, 5-year maturity.</t>
        </is>
      </c>
      <c r="I1148" s="2" t="inlineStr">
        <is>
          <t>S3</t>
        </is>
      </c>
      <c r="J1148" s="2" t="n">
        <v>173</v>
      </c>
      <c r="K1148" s="3" t="inlineStr">
        <is>
          <t>In June 2025, Fastned raised an additional €28.8 million of corporate bonds and €5.9 million of extensions from earlier bonds issues.</t>
        </is>
      </c>
      <c r="L1148" s="2" t="inlineStr">
        <is>
          <t>pend</t>
        </is>
      </c>
      <c r="M1148" s="2" t="n"/>
      <c r="N1148" s="2" t="n"/>
      <c r="O1148" s="3" t="inlineStr">
        <is>
          <t>https://vanillabonds.com/dossier-data/pdf/fastned/fastned-2025-annual-report.pdf#page=173</t>
        </is>
      </c>
    </row>
    <row r="1149">
      <c r="A1149" s="2" t="inlineStr">
        <is>
          <t>F1148</t>
        </is>
      </c>
      <c r="B1149" s="2" t="inlineStr">
        <is>
          <t>business</t>
        </is>
      </c>
      <c r="C1149" s="2" t="inlineStr">
        <is>
          <t>key_event</t>
        </is>
      </c>
      <c r="D1149" s="2" t="inlineStr">
        <is>
          <t>Key event (M&amp;A, financing, strategy)</t>
        </is>
      </c>
      <c r="E1149" s="2" t="n"/>
      <c r="F1149" s="2" t="n"/>
      <c r="G1149" s="2" t="n"/>
      <c r="H1149" s="3" t="inlineStr">
        <is>
          <t>October 2025: €29.5m new corporate bonds plus €9.5m extensions from earlier issues, 6% p.a. payable quarterly, 5-year maturity.</t>
        </is>
      </c>
      <c r="I1149" s="2" t="inlineStr">
        <is>
          <t>S3</t>
        </is>
      </c>
      <c r="J1149" s="2" t="n">
        <v>173</v>
      </c>
      <c r="K1149" s="3" t="inlineStr">
        <is>
          <t>In October 2025, Fastned raised an additional €29.5 million of corporate bonds and €9.5 million of extensions from earlier bonds issues.</t>
        </is>
      </c>
      <c r="L1149" s="2" t="inlineStr">
        <is>
          <t>pend</t>
        </is>
      </c>
      <c r="M1149" s="2" t="n"/>
      <c r="N1149" s="2" t="n"/>
      <c r="O1149" s="3" t="inlineStr">
        <is>
          <t>https://vanillabonds.com/dossier-data/pdf/fastned/fastned-2025-annual-report.pdf#page=173</t>
        </is>
      </c>
    </row>
    <row r="1150">
      <c r="A1150" s="2" t="inlineStr">
        <is>
          <t>F1149</t>
        </is>
      </c>
      <c r="B1150" s="2" t="inlineStr">
        <is>
          <t>business</t>
        </is>
      </c>
      <c r="C1150" s="2" t="inlineStr">
        <is>
          <t>key_event</t>
        </is>
      </c>
      <c r="D1150" s="2" t="inlineStr">
        <is>
          <t>Key event (M&amp;A, financing, strategy)</t>
        </is>
      </c>
      <c r="E1150" s="2" t="n"/>
      <c r="F1150" s="2" t="n"/>
      <c r="G1150" s="2" t="n"/>
      <c r="H1150" s="3" t="inlineStr">
        <is>
          <t>2024: three 6% bond issues of €27.9m (maturing 19/02/2029), €33.1m (21/06/2029) and €22.1m (30/10/2029); total loan issues €86.2m in 2024.</t>
        </is>
      </c>
      <c r="I1150" s="2" t="inlineStr">
        <is>
          <t>S3</t>
        </is>
      </c>
      <c r="J1150" s="2" t="n">
        <v>175</v>
      </c>
      <c r="K1150" s="3" t="inlineStr">
        <is>
          <t>6% corporate bond 19/02/29 — 1,447 27,892 (1,255) (192)</t>
        </is>
      </c>
      <c r="L1150" s="2" t="inlineStr">
        <is>
          <t>pend</t>
        </is>
      </c>
      <c r="M1150" s="2" t="n"/>
      <c r="N1150" s="2" t="n"/>
      <c r="O1150" s="3" t="inlineStr">
        <is>
          <t>https://vanillabonds.com/dossier-data/pdf/fastned/fastned-2025-annual-report.pdf#page=175</t>
        </is>
      </c>
    </row>
    <row r="1151">
      <c r="A1151" s="2" t="inlineStr">
        <is>
          <t>F1150</t>
        </is>
      </c>
      <c r="B1151" s="2" t="inlineStr">
        <is>
          <t>business</t>
        </is>
      </c>
      <c r="C1151" s="2" t="inlineStr">
        <is>
          <t>key_event</t>
        </is>
      </c>
      <c r="D1151" s="2" t="inlineStr">
        <is>
          <t>Key event (M&amp;A, financing, strategy)</t>
        </is>
      </c>
      <c r="E1151" s="2" t="n"/>
      <c r="F1151" s="2" t="n"/>
      <c r="G1151" s="2" t="n"/>
      <c r="H1151" s="3" t="inlineStr">
        <is>
          <t>End of January 2026: Fastned signed the EUR 100m limited-recourse senior secured TICO Financing (green loan facility) to finance charging stations in Belgium and Switzerland.</t>
        </is>
      </c>
      <c r="I1151" s="2" t="inlineStr">
        <is>
          <t>S3</t>
        </is>
      </c>
      <c r="J1151" s="2" t="n">
        <v>195</v>
      </c>
      <c r="K1151" s="3" t="inlineStr">
        <is>
          <t>At the end of January 2026, Fastned entered into a €100 million limited-recourse senior secured facilities agreement (the “TICO Financing”)</t>
        </is>
      </c>
      <c r="L1151" s="2" t="inlineStr">
        <is>
          <t>pend</t>
        </is>
      </c>
      <c r="M1151" s="2" t="n"/>
      <c r="N1151" s="2" t="n"/>
      <c r="O1151" s="3" t="inlineStr">
        <is>
          <t>https://vanillabonds.com/dossier-data/pdf/fastned/fastned-2025-annual-report.pdf#page=195</t>
        </is>
      </c>
    </row>
    <row r="1152">
      <c r="A1152" s="2" t="inlineStr">
        <is>
          <t>F1151</t>
        </is>
      </c>
      <c r="B1152" s="2" t="inlineStr">
        <is>
          <t>business</t>
        </is>
      </c>
      <c r="C1152" s="2" t="inlineStr">
        <is>
          <t>key_event</t>
        </is>
      </c>
      <c r="D1152" s="2" t="inlineStr">
        <is>
          <t>Key event (M&amp;A, financing, strategy)</t>
        </is>
      </c>
      <c r="E1152" s="2" t="n"/>
      <c r="F1152" s="2" t="n"/>
      <c r="G1152" s="2" t="n"/>
      <c r="H1152" s="3" t="inlineStr">
        <is>
          <t>10 February 2026: Fastned B.V. issued 200,000 new shares of EUR 0.01 nominal; total issued shares 19,752,877.</t>
        </is>
      </c>
      <c r="I1152" s="2" t="inlineStr">
        <is>
          <t>S3</t>
        </is>
      </c>
      <c r="J1152" s="2" t="n">
        <v>195</v>
      </c>
      <c r="K1152" s="3" t="inlineStr">
        <is>
          <t>Fastned B.V. issued 200,000 new shares with a nominal value of €0.01 on 10 February 2026. Total issued shares amount to 19,752,877.</t>
        </is>
      </c>
      <c r="L1152" s="2" t="inlineStr">
        <is>
          <t>pend</t>
        </is>
      </c>
      <c r="M1152" s="2" t="n"/>
      <c r="N1152" s="2" t="n"/>
      <c r="O1152" s="3" t="inlineStr">
        <is>
          <t>https://vanillabonds.com/dossier-data/pdf/fastned/fastned-2025-annual-report.pdf#page=195</t>
        </is>
      </c>
    </row>
    <row r="1153">
      <c r="A1153" s="2" t="inlineStr">
        <is>
          <t>F1152</t>
        </is>
      </c>
      <c r="B1153" s="2" t="inlineStr">
        <is>
          <t>business</t>
        </is>
      </c>
      <c r="C1153" s="2" t="inlineStr">
        <is>
          <t>key_event</t>
        </is>
      </c>
      <c r="D1153" s="2" t="inlineStr">
        <is>
          <t>Key event (M&amp;A, financing, strategy)</t>
        </is>
      </c>
      <c r="E1153" s="2" t="n"/>
      <c r="F1153" s="2" t="n"/>
      <c r="G1153" s="2" t="n"/>
      <c r="H1153" s="3" t="inlineStr">
        <is>
          <t>February 2026: Fastned raised EUR 30.1m through a corporate bond issue and investors extended EUR 2.3m from earlier bond issues.</t>
        </is>
      </c>
      <c r="I1153" s="2" t="inlineStr">
        <is>
          <t>S3</t>
        </is>
      </c>
      <c r="J1153" s="2" t="n">
        <v>195</v>
      </c>
      <c r="K1153" s="3" t="inlineStr">
        <is>
          <t>In February 2026, Fastned raised € 30.1 million through issue of corporate bonds, and in addition, investors extended € 2.3 million from earlier bonds issues.</t>
        </is>
      </c>
      <c r="L1153" s="2" t="inlineStr">
        <is>
          <t>pend</t>
        </is>
      </c>
      <c r="M1153" s="2" t="n"/>
      <c r="N1153" s="2" t="n"/>
      <c r="O1153" s="3" t="inlineStr">
        <is>
          <t>https://vanillabonds.com/dossier-data/pdf/fastned/fastned-2025-annual-report.pdf#page=195</t>
        </is>
      </c>
    </row>
    <row r="1154">
      <c r="A1154" s="2" t="inlineStr">
        <is>
          <t>F1153</t>
        </is>
      </c>
      <c r="B1154" s="2" t="inlineStr">
        <is>
          <t>business</t>
        </is>
      </c>
      <c r="C1154" s="2" t="inlineStr">
        <is>
          <t>key_event</t>
        </is>
      </c>
      <c r="D1154" s="2" t="inlineStr">
        <is>
          <t>Key event (M&amp;A, financing, strategy)</t>
        </is>
      </c>
      <c r="E1154" s="2" t="n"/>
      <c r="F1154" s="2" t="n"/>
      <c r="G1154" s="2" t="n"/>
      <c r="H1154" s="3" t="inlineStr">
        <is>
          <t>In 2025 the parent invested EUR 79.0m in subsidiaries: EUR 57.4m Fastned Stations Belgium BV, EUR 12.0m Fastned France SAS, EUR 3.0m Spain, EUR 2.8m Switzerland, EUR 1.8m Italy, EUR 1.6m Denmark, EUR 0.3m Austria, EUR 0.1m TICO Holding I.</t>
        </is>
      </c>
      <c r="I1154" s="2" t="inlineStr">
        <is>
          <t>S3</t>
        </is>
      </c>
      <c r="J1154" s="2" t="n">
        <v>208</v>
      </c>
      <c r="K1154" s="3" t="inlineStr">
        <is>
          <t>Fastned Stations Belgium BV (formerly known as Fastned Belgie BV) — 57,374 — 28 (1,123) (5) — — 56,275</t>
        </is>
      </c>
      <c r="L1154" s="2" t="inlineStr">
        <is>
          <t>pend</t>
        </is>
      </c>
      <c r="M1154" s="2" t="n"/>
      <c r="N1154" s="2" t="n"/>
      <c r="O1154" s="3" t="inlineStr">
        <is>
          <t>https://vanillabonds.com/dossier-data/pdf/fastned/fastned-2025-annual-report.pdf#page=208</t>
        </is>
      </c>
    </row>
    <row r="1155">
      <c r="A1155" s="2" t="inlineStr">
        <is>
          <t>F1154</t>
        </is>
      </c>
      <c r="B1155" s="2" t="inlineStr">
        <is>
          <t>business</t>
        </is>
      </c>
      <c r="C1155" s="2" t="inlineStr">
        <is>
          <t>key_event</t>
        </is>
      </c>
      <c r="D1155" s="2" t="inlineStr">
        <is>
          <t>Key event (M&amp;A, financing, strategy)</t>
        </is>
      </c>
      <c r="E1155" s="2" t="n"/>
      <c r="F1155" s="2" t="n"/>
      <c r="G1155" s="2" t="n"/>
      <c r="H1155" s="3" t="inlineStr">
        <is>
          <t>2025 legal entities restructuring: Fastned TICO Holding I B.V. and Fastned Sp. z o.o. appear as new subsidiaries, Fastned Belgium Operations B.V and Fastned Switzerland Operations AG were split from the Stations entities, Fastned Terra 2 B.V. (EUR 78k) was removed.</t>
        </is>
      </c>
      <c r="I1155" s="2" t="inlineStr">
        <is>
          <t>S3</t>
        </is>
      </c>
      <c r="J1155" s="2" t="n">
        <v>208</v>
      </c>
      <c r="K1155" s="3" t="inlineStr">
        <is>
          <t>Fastned TICO Holding I B.V. — 107 — — (167) — 60 — —</t>
        </is>
      </c>
      <c r="L1155" s="2" t="inlineStr">
        <is>
          <t>pend</t>
        </is>
      </c>
      <c r="M1155" s="2" t="n"/>
      <c r="N1155" s="2" t="n"/>
      <c r="O1155" s="3" t="inlineStr">
        <is>
          <t>https://vanillabonds.com/dossier-data/pdf/fastned/fastned-2025-annual-report.pdf#page=208</t>
        </is>
      </c>
    </row>
    <row r="1156">
      <c r="A1156" s="2" t="inlineStr">
        <is>
          <t>F1155</t>
        </is>
      </c>
      <c r="B1156" s="2" t="inlineStr">
        <is>
          <t>business</t>
        </is>
      </c>
      <c r="C1156" s="2" t="inlineStr">
        <is>
          <t>key_event</t>
        </is>
      </c>
      <c r="D1156" s="2" t="inlineStr">
        <is>
          <t>Key event (M&amp;A, financing, strategy)</t>
        </is>
      </c>
      <c r="E1156" s="2" t="n"/>
      <c r="F1156" s="2" t="n"/>
      <c r="G1156" s="2" t="n"/>
      <c r="H1156" s="3" t="inlineStr">
        <is>
          <t>In 2024 the parent invested EUR 15.5m in subsidiaries (France EUR 7.5m, Germany EUR 3.25m, Switzerland EUR 2.0m, Spain EUR 1.3m, Italy EUR 0.8m, Denmark EUR 0.6m) and received a EUR 1.9m dividend from The Fast Charging Network B.V.</t>
        </is>
      </c>
      <c r="I1156" s="2" t="inlineStr">
        <is>
          <t>S3</t>
        </is>
      </c>
      <c r="J1156" s="2" t="n">
        <v>209</v>
      </c>
      <c r="K1156" s="3" t="inlineStr">
        <is>
          <t>Total investment in subsidiaries 4,915 15,537 (1,900) 28 (19,788) 6,635 5,427</t>
        </is>
      </c>
      <c r="L1156" s="2" t="inlineStr">
        <is>
          <t>pend</t>
        </is>
      </c>
      <c r="M1156" s="2" t="n"/>
      <c r="N1156" s="2" t="n"/>
      <c r="O1156" s="3" t="inlineStr">
        <is>
          <t>https://vanillabonds.com/dossier-data/pdf/fastned/fastned-2025-annual-report.pdf#page=209</t>
        </is>
      </c>
    </row>
    <row r="1157">
      <c r="A1157" s="2" t="inlineStr">
        <is>
          <t>F1156</t>
        </is>
      </c>
      <c r="B1157" s="2" t="inlineStr">
        <is>
          <t>business</t>
        </is>
      </c>
      <c r="C1157" s="2" t="inlineStr">
        <is>
          <t>key_event</t>
        </is>
      </c>
      <c r="D1157" s="2" t="inlineStr">
        <is>
          <t>Key event (M&amp;A, financing, strategy)</t>
        </is>
      </c>
      <c r="E1157" s="2" t="n"/>
      <c r="F1157" s="2" t="n"/>
      <c r="G1157" s="2" t="n"/>
      <c r="H1157" s="3" t="inlineStr">
        <is>
          <t>During 2025 Fastned completed construction under a service concession arrangement with the German government for the highway tender (high-power charging sites on German highways); construction revenue recognised at a stand-alone selling price (expected cost plus margin) under IFRIC 12 and IFRS 15.</t>
        </is>
      </c>
      <c r="I1157" s="2" t="inlineStr">
        <is>
          <t>S3</t>
        </is>
      </c>
      <c r="J1157" s="2" t="n">
        <v>223</v>
      </c>
      <c r="K1157" s="3" t="inlineStr">
        <is>
          <t>During the year, the company completed construction related to a service concession arrangement with the German government for work on the highway tender.</t>
        </is>
      </c>
      <c r="L1157" s="2" t="inlineStr">
        <is>
          <t>pend</t>
        </is>
      </c>
      <c r="M1157" s="2" t="n"/>
      <c r="N1157" s="2" t="n"/>
      <c r="O1157" s="3" t="inlineStr">
        <is>
          <t>https://vanillabonds.com/dossier-data/pdf/fastned/fastned-2025-annual-report.pdf#page=223</t>
        </is>
      </c>
    </row>
    <row r="1158">
      <c r="A1158" s="2" t="inlineStr">
        <is>
          <t>F1157</t>
        </is>
      </c>
      <c r="B1158" s="2" t="inlineStr">
        <is>
          <t>financials</t>
        </is>
      </c>
      <c r="C1158" s="2" t="inlineStr">
        <is>
          <t>revenue</t>
        </is>
      </c>
      <c r="D1158" s="2" t="inlineStr">
        <is>
          <t>Revenue</t>
        </is>
      </c>
      <c r="E1158" s="2" t="inlineStr">
        <is>
          <t>FY2021</t>
        </is>
      </c>
      <c r="F1158" s="2" t="n">
        <v>12.4</v>
      </c>
      <c r="G1158" s="2" t="inlineStr">
        <is>
          <t>EUR m</t>
        </is>
      </c>
      <c r="H1158" s="3" t="inlineStr">
        <is>
          <t>revenue EUR 12,352 thousand (five-year comparison)</t>
        </is>
      </c>
      <c r="I1158" s="2" t="inlineStr">
        <is>
          <t>S3</t>
        </is>
      </c>
      <c r="J1158" s="2" t="n">
        <v>97</v>
      </c>
      <c r="K1158" s="3" t="inlineStr">
        <is>
          <t>Revenue (€ ‘000) 139,177 66 % 83,799 38 % 60,514 68 % 35,963 191 % 12,352</t>
        </is>
      </c>
      <c r="L1158" s="2" t="inlineStr">
        <is>
          <t>pend</t>
        </is>
      </c>
      <c r="M1158" s="2" t="n"/>
      <c r="N1158" s="2" t="n"/>
      <c r="O1158" s="3" t="inlineStr">
        <is>
          <t>https://vanillabonds.com/dossier-data/pdf/fastned/fastned-2025-annual-report.pdf#page=97</t>
        </is>
      </c>
    </row>
    <row r="1159">
      <c r="A1159" s="2" t="inlineStr">
        <is>
          <t>F1158</t>
        </is>
      </c>
      <c r="B1159" s="2" t="inlineStr">
        <is>
          <t>financials</t>
        </is>
      </c>
      <c r="C1159" s="2" t="inlineStr">
        <is>
          <t>revenue</t>
        </is>
      </c>
      <c r="D1159" s="2" t="inlineStr">
        <is>
          <t>Revenue</t>
        </is>
      </c>
      <c r="E1159" s="2" t="inlineStr">
        <is>
          <t>FY2022</t>
        </is>
      </c>
      <c r="F1159" s="2" t="n">
        <v>36</v>
      </c>
      <c r="G1159" s="2" t="inlineStr">
        <is>
          <t>EUR m</t>
        </is>
      </c>
      <c r="H1159" s="3" t="inlineStr">
        <is>
          <t>revenue EUR 35,963 thousand (five-year comparison)</t>
        </is>
      </c>
      <c r="I1159" s="2" t="inlineStr">
        <is>
          <t>S3</t>
        </is>
      </c>
      <c r="J1159" s="2" t="n">
        <v>97</v>
      </c>
      <c r="K1159" s="3" t="inlineStr">
        <is>
          <t>Revenue (€ ‘000) 139,177 66 % 83,799 38 % 60,514 68 % 35,963 191 % 12,352</t>
        </is>
      </c>
      <c r="L1159" s="2" t="inlineStr">
        <is>
          <t>pend</t>
        </is>
      </c>
      <c r="M1159" s="2" t="n"/>
      <c r="N1159" s="2" t="n"/>
      <c r="O1159" s="3" t="inlineStr">
        <is>
          <t>https://vanillabonds.com/dossier-data/pdf/fastned/fastned-2025-annual-report.pdf#page=97</t>
        </is>
      </c>
    </row>
    <row r="1160">
      <c r="A1160" s="2" t="inlineStr">
        <is>
          <t>F1159</t>
        </is>
      </c>
      <c r="B1160" s="2" t="inlineStr">
        <is>
          <t>financials</t>
        </is>
      </c>
      <c r="C1160" s="2" t="inlineStr">
        <is>
          <t>revenue</t>
        </is>
      </c>
      <c r="D1160" s="2" t="inlineStr">
        <is>
          <t>Revenue</t>
        </is>
      </c>
      <c r="E1160" s="2" t="inlineStr">
        <is>
          <t>FY2023</t>
        </is>
      </c>
      <c r="F1160" s="2" t="n">
        <v>60.5</v>
      </c>
      <c r="G1160" s="2" t="inlineStr">
        <is>
          <t>EUR m</t>
        </is>
      </c>
      <c r="H1160" s="3" t="inlineStr">
        <is>
          <t>total revenues (Financial Review key figures)</t>
        </is>
      </c>
      <c r="I1160" s="2" t="inlineStr">
        <is>
          <t>S3</t>
        </is>
      </c>
      <c r="J1160" s="2" t="n">
        <v>45</v>
      </c>
      <c r="K1160" s="2" t="inlineStr">
        <is>
          <t>Total revenues 139.2 83.8 60.5 66</t>
        </is>
      </c>
      <c r="L1160" s="2" t="inlineStr">
        <is>
          <t>pend</t>
        </is>
      </c>
      <c r="M1160" s="2" t="n"/>
      <c r="N1160" s="2" t="n"/>
      <c r="O1160" s="3" t="inlineStr">
        <is>
          <t>https://vanillabonds.com/dossier-data/pdf/fastned/fastned-2025-annual-report.pdf#page=45</t>
        </is>
      </c>
    </row>
    <row r="1161">
      <c r="A1161" s="2" t="inlineStr">
        <is>
          <t>F1160</t>
        </is>
      </c>
      <c r="B1161" s="2" t="inlineStr">
        <is>
          <t>financials</t>
        </is>
      </c>
      <c r="C1161" s="2" t="inlineStr">
        <is>
          <t>revenue</t>
        </is>
      </c>
      <c r="D1161" s="2" t="inlineStr">
        <is>
          <t>Revenue</t>
        </is>
      </c>
      <c r="E1161" s="2" t="inlineStr">
        <is>
          <t>FY2024</t>
        </is>
      </c>
      <c r="F1161" s="2" t="n">
        <v>83.8</v>
      </c>
      <c r="G1161" s="2" t="inlineStr">
        <is>
          <t>EUR m</t>
        </is>
      </c>
      <c r="H1161" s="3" t="inlineStr">
        <is>
          <t>restated for the renewable energy units accounting policy change (as reported 86.7)</t>
        </is>
      </c>
      <c r="I1161" s="2" t="inlineStr">
        <is>
          <t>S3</t>
        </is>
      </c>
      <c r="J1161" s="2" t="n">
        <v>116</v>
      </c>
      <c r="K1161" s="2" t="inlineStr">
        <is>
          <t>Revenue 6 139,177 83,779</t>
        </is>
      </c>
      <c r="L1161" s="2" t="inlineStr">
        <is>
          <t>pend</t>
        </is>
      </c>
      <c r="M1161" s="2" t="n"/>
      <c r="N1161" s="2" t="inlineStr">
        <is>
          <t>conflict: S2·p129 86.7 vs S3·p116 83.8</t>
        </is>
      </c>
      <c r="O1161" s="3" t="inlineStr">
        <is>
          <t>https://vanillabonds.com/dossier-data/pdf/fastned/fastned-2025-annual-report.pdf#page=116</t>
        </is>
      </c>
    </row>
    <row r="1162">
      <c r="A1162" s="2" t="inlineStr">
        <is>
          <t>F1161</t>
        </is>
      </c>
      <c r="B1162" s="2" t="inlineStr">
        <is>
          <t>financials</t>
        </is>
      </c>
      <c r="C1162" s="2" t="inlineStr">
        <is>
          <t>revenue</t>
        </is>
      </c>
      <c r="D1162" s="2" t="inlineStr">
        <is>
          <t>Revenue</t>
        </is>
      </c>
      <c r="E1162" s="2" t="inlineStr">
        <is>
          <t>FY2025</t>
        </is>
      </c>
      <c r="F1162" s="2" t="n">
        <v>139.2</v>
      </c>
      <c r="G1162" s="2" t="inlineStr">
        <is>
          <t>EUR m</t>
        </is>
      </c>
      <c r="H1162" s="3" t="inlineStr">
        <is>
          <t>Total revenue incl. €16.7m station construction for the German Highway Tender</t>
        </is>
      </c>
      <c r="I1162" s="2" t="inlineStr">
        <is>
          <t>S3</t>
        </is>
      </c>
      <c r="J1162" s="2" t="n">
        <v>116</v>
      </c>
      <c r="K1162" s="2" t="inlineStr">
        <is>
          <t>Revenue 6 139,177 83,779</t>
        </is>
      </c>
      <c r="L1162" s="2" t="inlineStr">
        <is>
          <t>pend</t>
        </is>
      </c>
      <c r="M1162" s="2" t="n"/>
      <c r="N1162" s="2" t="n"/>
      <c r="O1162" s="3" t="inlineStr">
        <is>
          <t>https://vanillabonds.com/dossier-data/pdf/fastned/fastned-2025-annual-report.pdf#page=116</t>
        </is>
      </c>
    </row>
    <row r="1163">
      <c r="A1163" s="2" t="inlineStr">
        <is>
          <t>F1162</t>
        </is>
      </c>
      <c r="B1163" s="2" t="inlineStr">
        <is>
          <t>financials</t>
        </is>
      </c>
      <c r="C1163" s="2" t="inlineStr">
        <is>
          <t>ebitda</t>
        </is>
      </c>
      <c r="D1163" s="2" t="inlineStr">
        <is>
          <t>EBITDA (as reported)</t>
        </is>
      </c>
      <c r="E1163" s="2" t="inlineStr">
        <is>
          <t>FY2023</t>
        </is>
      </c>
      <c r="F1163" s="2" t="n">
        <v>4.6</v>
      </c>
      <c r="G1163" s="2" t="inlineStr">
        <is>
          <t>EUR m</t>
        </is>
      </c>
      <c r="H1163" s="3" t="inlineStr">
        <is>
          <t>EBITDA as labelled by the company (non-IFRS)</t>
        </is>
      </c>
      <c r="I1163" s="2" t="inlineStr">
        <is>
          <t>S3</t>
        </is>
      </c>
      <c r="J1163" s="2" t="n">
        <v>45</v>
      </c>
      <c r="K1163" s="2" t="inlineStr">
        <is>
          <t>EBITDA 14.8 7.4 4.6 101</t>
        </is>
      </c>
      <c r="L1163" s="2" t="inlineStr">
        <is>
          <t>pend</t>
        </is>
      </c>
      <c r="M1163" s="2" t="n"/>
      <c r="N1163" s="2" t="n"/>
      <c r="O1163" s="3" t="inlineStr">
        <is>
          <t>https://vanillabonds.com/dossier-data/pdf/fastned/fastned-2025-annual-report.pdf#page=45</t>
        </is>
      </c>
    </row>
    <row r="1164">
      <c r="A1164" s="2" t="inlineStr">
        <is>
          <t>F1163</t>
        </is>
      </c>
      <c r="B1164" s="2" t="inlineStr">
        <is>
          <t>financials</t>
        </is>
      </c>
      <c r="C1164" s="2" t="inlineStr">
        <is>
          <t>ebitda</t>
        </is>
      </c>
      <c r="D1164" s="2" t="inlineStr">
        <is>
          <t>EBITDA (as reported)</t>
        </is>
      </c>
      <c r="E1164" s="2" t="inlineStr">
        <is>
          <t>FY2024</t>
        </is>
      </c>
      <c r="F1164" s="2" t="n">
        <v>7.4</v>
      </c>
      <c r="G1164" s="2" t="inlineStr">
        <is>
          <t>EUR m</t>
        </is>
      </c>
      <c r="H1164" s="3" t="inlineStr">
        <is>
          <t>EBITDA as reported in the segment note (restated; reconciliation page shows 7,365)</t>
        </is>
      </c>
      <c r="I1164" s="2" t="inlineStr">
        <is>
          <t>S3</t>
        </is>
      </c>
      <c r="J1164" s="2" t="n">
        <v>153</v>
      </c>
      <c r="K1164" s="3" t="inlineStr">
        <is>
          <t>EBITDA 12,282 (1,121) (2,804) 1,630 (111) (2,512) 7,364</t>
        </is>
      </c>
      <c r="L1164" s="2" t="inlineStr">
        <is>
          <t>pend</t>
        </is>
      </c>
      <c r="M1164" s="2" t="n"/>
      <c r="N1164" s="2" t="n"/>
      <c r="O1164" s="3" t="inlineStr">
        <is>
          <t>https://vanillabonds.com/dossier-data/pdf/fastned/fastned-2025-annual-report.pdf#page=153</t>
        </is>
      </c>
    </row>
    <row r="1165">
      <c r="A1165" s="2" t="inlineStr">
        <is>
          <t>F1164</t>
        </is>
      </c>
      <c r="B1165" s="2" t="inlineStr">
        <is>
          <t>financials</t>
        </is>
      </c>
      <c r="C1165" s="2" t="inlineStr">
        <is>
          <t>ebitda</t>
        </is>
      </c>
      <c r="D1165" s="2" t="inlineStr">
        <is>
          <t>EBITDA (as reported)</t>
        </is>
      </c>
      <c r="E1165" s="2" t="inlineStr">
        <is>
          <t>FY2025</t>
        </is>
      </c>
      <c r="F1165" s="2" t="n">
        <v>14.8</v>
      </c>
      <c r="G1165" s="2" t="inlineStr">
        <is>
          <t>EUR m</t>
        </is>
      </c>
      <c r="H1165" s="3" t="inlineStr">
        <is>
          <t>EBITDA as reported in the segment note (IFRS amount)</t>
        </is>
      </c>
      <c r="I1165" s="2" t="inlineStr">
        <is>
          <t>S3</t>
        </is>
      </c>
      <c r="J1165" s="2" t="n">
        <v>152</v>
      </c>
      <c r="K1165" s="3" t="inlineStr">
        <is>
          <t>EBITDA 17,501 3,885 (2,784) 1,811 (988) (4,624) 14,801</t>
        </is>
      </c>
      <c r="L1165" s="2" t="inlineStr">
        <is>
          <t>pend</t>
        </is>
      </c>
      <c r="M1165" s="2" t="n"/>
      <c r="N1165" s="2" t="n"/>
      <c r="O1165" s="3" t="inlineStr">
        <is>
          <t>https://vanillabonds.com/dossier-data/pdf/fastned/fastned-2025-annual-report.pdf#page=152</t>
        </is>
      </c>
    </row>
    <row r="1166">
      <c r="A1166" s="2" t="inlineStr">
        <is>
          <t>F1165</t>
        </is>
      </c>
      <c r="B1166" s="2" t="inlineStr">
        <is>
          <t>financials</t>
        </is>
      </c>
      <c r="C1166" s="2" t="inlineStr">
        <is>
          <t>ebitda_adj</t>
        </is>
      </c>
      <c r="D1166" s="3" t="inlineStr">
        <is>
          <t>EBITDA adjusted / underlying (as reported)</t>
        </is>
      </c>
      <c r="E1166" s="2" t="inlineStr">
        <is>
          <t>FY2023</t>
        </is>
      </c>
      <c r="F1166" s="2" t="n">
        <v>7.8</v>
      </c>
      <c r="G1166" s="2" t="inlineStr">
        <is>
          <t>EUR m</t>
        </is>
      </c>
      <c r="H1166" s="3" t="inlineStr">
        <is>
          <t>underlying company EBITDA (before exceptional items)</t>
        </is>
      </c>
      <c r="I1166" s="2" t="inlineStr">
        <is>
          <t>S3</t>
        </is>
      </c>
      <c r="J1166" s="2" t="n">
        <v>45</v>
      </c>
      <c r="K1166" s="3" t="inlineStr">
        <is>
          <t>Underlying company EBITDA 8.3 8.7 7.8 (4)</t>
        </is>
      </c>
      <c r="L1166" s="2" t="inlineStr">
        <is>
          <t>pend</t>
        </is>
      </c>
      <c r="M1166" s="2" t="n"/>
      <c r="N1166" s="2" t="n"/>
      <c r="O1166" s="3" t="inlineStr">
        <is>
          <t>https://vanillabonds.com/dossier-data/pdf/fastned/fastned-2025-annual-report.pdf#page=45</t>
        </is>
      </c>
    </row>
    <row r="1167">
      <c r="A1167" s="2" t="inlineStr">
        <is>
          <t>F1166</t>
        </is>
      </c>
      <c r="B1167" s="2" t="inlineStr">
        <is>
          <t>financials</t>
        </is>
      </c>
      <c r="C1167" s="2" t="inlineStr">
        <is>
          <t>ebitda_adj</t>
        </is>
      </c>
      <c r="D1167" s="3" t="inlineStr">
        <is>
          <t>EBITDA adjusted / underlying (as reported)</t>
        </is>
      </c>
      <c r="E1167" s="2" t="inlineStr">
        <is>
          <t>FY2024</t>
        </is>
      </c>
      <c r="F1167" s="2" t="n">
        <v>8.699999999999999</v>
      </c>
      <c r="G1167" s="2" t="inlineStr">
        <is>
          <t>EUR m</t>
        </is>
      </c>
      <c r="H1167" s="3" t="inlineStr">
        <is>
          <t>underlying company EBITDA (before exceptional items)</t>
        </is>
      </c>
      <c r="I1167" s="2" t="inlineStr">
        <is>
          <t>S3</t>
        </is>
      </c>
      <c r="J1167" s="2" t="n">
        <v>46</v>
      </c>
      <c r="K1167" s="3" t="inlineStr">
        <is>
          <t>The underlying company EBITDA in 2025 was stable at €8.3 million compared to €8.7 million in 2024.</t>
        </is>
      </c>
      <c r="L1167" s="2" t="inlineStr">
        <is>
          <t>pend</t>
        </is>
      </c>
      <c r="M1167" s="2" t="n"/>
      <c r="N1167" s="3" t="inlineStr">
        <is>
          <t>conflict: S2·p39 8.7 vs S3·p46 8.7 vs S3·p114 32.6</t>
        </is>
      </c>
      <c r="O1167" s="3" t="inlineStr">
        <is>
          <t>https://vanillabonds.com/dossier-data/pdf/fastned/fastned-2025-annual-report.pdf#page=46</t>
        </is>
      </c>
    </row>
    <row r="1168">
      <c r="A1168" s="2" t="inlineStr">
        <is>
          <t>F1167</t>
        </is>
      </c>
      <c r="B1168" s="2" t="inlineStr">
        <is>
          <t>financials</t>
        </is>
      </c>
      <c r="C1168" s="2" t="inlineStr">
        <is>
          <t>ebitda_adj</t>
        </is>
      </c>
      <c r="D1168" s="3" t="inlineStr">
        <is>
          <t>EBITDA adjusted / underlying (as reported)</t>
        </is>
      </c>
      <c r="E1168" s="2" t="inlineStr">
        <is>
          <t>FY2024</t>
        </is>
      </c>
      <c r="F1168" s="2" t="n">
        <v>32.6</v>
      </c>
      <c r="G1168" s="2" t="inlineStr">
        <is>
          <t>EUR m</t>
        </is>
      </c>
      <c r="H1168" s="3" t="inlineStr">
        <is>
          <t>Operational EBITDA (non-IFRS, unaudited): opened stations only, before network expansion costs and exceptional items</t>
        </is>
      </c>
      <c r="I1168" s="2" t="inlineStr">
        <is>
          <t>S3</t>
        </is>
      </c>
      <c r="J1168" s="2" t="n">
        <v>114</v>
      </c>
      <c r="K1168" s="2" t="inlineStr">
        <is>
          <t>Operational EBITDA 43,735 32,642</t>
        </is>
      </c>
      <c r="L1168" s="2" t="inlineStr">
        <is>
          <t>pend</t>
        </is>
      </c>
      <c r="M1168" s="2" t="n"/>
      <c r="N1168" s="3" t="inlineStr">
        <is>
          <t>conflict: S2·p39 8.7 vs S3·p46 8.7 vs S3·p114 32.6</t>
        </is>
      </c>
      <c r="O1168" s="3" t="inlineStr">
        <is>
          <t>https://vanillabonds.com/dossier-data/pdf/fastned/fastned-2025-annual-report.pdf#page=114</t>
        </is>
      </c>
    </row>
    <row r="1169">
      <c r="A1169" s="2" t="inlineStr">
        <is>
          <t>F1168</t>
        </is>
      </c>
      <c r="B1169" s="2" t="inlineStr">
        <is>
          <t>financials</t>
        </is>
      </c>
      <c r="C1169" s="2" t="inlineStr">
        <is>
          <t>ebitda_adj</t>
        </is>
      </c>
      <c r="D1169" s="3" t="inlineStr">
        <is>
          <t>EBITDA adjusted / underlying (as reported)</t>
        </is>
      </c>
      <c r="E1169" s="2" t="inlineStr">
        <is>
          <t>FY2025</t>
        </is>
      </c>
      <c r="F1169" s="2" t="n">
        <v>8.300000000000001</v>
      </c>
      <c r="G1169" s="2" t="inlineStr">
        <is>
          <t>EUR m</t>
        </is>
      </c>
      <c r="H1169" s="3" t="inlineStr">
        <is>
          <t>underlying company EBITDA (before exceptional items)</t>
        </is>
      </c>
      <c r="I1169" s="2" t="inlineStr">
        <is>
          <t>S3</t>
        </is>
      </c>
      <c r="J1169" s="2" t="n">
        <v>46</v>
      </c>
      <c r="K1169" s="3" t="inlineStr">
        <is>
          <t>The underlying company EBITDA in 2025 was stable at €8.3 million compared to €8.7 million in 2024.</t>
        </is>
      </c>
      <c r="L1169" s="2" t="inlineStr">
        <is>
          <t>pend</t>
        </is>
      </c>
      <c r="M1169" s="2" t="n"/>
      <c r="N1169" s="2" t="inlineStr">
        <is>
          <t>conflict: S3·p46 8.3 vs S3·p114 43.7</t>
        </is>
      </c>
      <c r="O1169" s="3" t="inlineStr">
        <is>
          <t>https://vanillabonds.com/dossier-data/pdf/fastned/fastned-2025-annual-report.pdf#page=46</t>
        </is>
      </c>
    </row>
    <row r="1170">
      <c r="A1170" s="2" t="inlineStr">
        <is>
          <t>F1169</t>
        </is>
      </c>
      <c r="B1170" s="2" t="inlineStr">
        <is>
          <t>financials</t>
        </is>
      </c>
      <c r="C1170" s="2" t="inlineStr">
        <is>
          <t>ebitda_adj</t>
        </is>
      </c>
      <c r="D1170" s="3" t="inlineStr">
        <is>
          <t>EBITDA adjusted / underlying (as reported)</t>
        </is>
      </c>
      <c r="E1170" s="2" t="inlineStr">
        <is>
          <t>FY2025</t>
        </is>
      </c>
      <c r="F1170" s="2" t="n">
        <v>43.7</v>
      </c>
      <c r="G1170" s="2" t="inlineStr">
        <is>
          <t>EUR m</t>
        </is>
      </c>
      <c r="H1170" s="3" t="inlineStr">
        <is>
          <t>Operational EBITDA (non-IFRS, unaudited): opened stations only, before network expansion costs and exceptional items</t>
        </is>
      </c>
      <c r="I1170" s="2" t="inlineStr">
        <is>
          <t>S3</t>
        </is>
      </c>
      <c r="J1170" s="2" t="n">
        <v>114</v>
      </c>
      <c r="K1170" s="2" t="inlineStr">
        <is>
          <t>Operational EBITDA 43,735 32,642</t>
        </is>
      </c>
      <c r="L1170" s="2" t="inlineStr">
        <is>
          <t>pend</t>
        </is>
      </c>
      <c r="M1170" s="2" t="n"/>
      <c r="N1170" s="2" t="inlineStr">
        <is>
          <t>conflict: S3·p46 8.3 vs S3·p114 43.7</t>
        </is>
      </c>
      <c r="O1170" s="3" t="inlineStr">
        <is>
          <t>https://vanillabonds.com/dossier-data/pdf/fastned/fastned-2025-annual-report.pdf#page=114</t>
        </is>
      </c>
    </row>
    <row r="1171">
      <c r="A1171" s="2" t="inlineStr">
        <is>
          <t>F1170</t>
        </is>
      </c>
      <c r="B1171" s="2" t="inlineStr">
        <is>
          <t>financials</t>
        </is>
      </c>
      <c r="C1171" s="2" t="inlineStr">
        <is>
          <t>ebit</t>
        </is>
      </c>
      <c r="D1171" s="2" t="inlineStr">
        <is>
          <t>EBIT / operating result</t>
        </is>
      </c>
      <c r="E1171" s="2" t="inlineStr">
        <is>
          <t>FY2024</t>
        </is>
      </c>
      <c r="F1171" s="2" t="n">
        <v>-16.1</v>
      </c>
      <c r="G1171" s="2" t="inlineStr">
        <is>
          <t>EUR m</t>
        </is>
      </c>
      <c r="H1171" s="2" t="inlineStr">
        <is>
          <t>Operating loss (restated, unchanged)</t>
        </is>
      </c>
      <c r="I1171" s="2" t="inlineStr">
        <is>
          <t>S3</t>
        </is>
      </c>
      <c r="J1171" s="2" t="n">
        <v>116</v>
      </c>
      <c r="K1171" s="2" t="inlineStr">
        <is>
          <t>Operating loss (13,597) (16,065)</t>
        </is>
      </c>
      <c r="L1171" s="2" t="inlineStr">
        <is>
          <t>pend</t>
        </is>
      </c>
      <c r="M1171" s="2" t="n"/>
      <c r="N1171" s="2" t="n"/>
      <c r="O1171" s="3" t="inlineStr">
        <is>
          <t>https://vanillabonds.com/dossier-data/pdf/fastned/fastned-2025-annual-report.pdf#page=116</t>
        </is>
      </c>
    </row>
    <row r="1172">
      <c r="A1172" s="2" t="inlineStr">
        <is>
          <t>F1171</t>
        </is>
      </c>
      <c r="B1172" s="2" t="inlineStr">
        <is>
          <t>financials</t>
        </is>
      </c>
      <c r="C1172" s="2" t="inlineStr">
        <is>
          <t>ebit</t>
        </is>
      </c>
      <c r="D1172" s="2" t="inlineStr">
        <is>
          <t>EBIT / operating result</t>
        </is>
      </c>
      <c r="E1172" s="2" t="inlineStr">
        <is>
          <t>FY2025</t>
        </is>
      </c>
      <c r="F1172" s="2" t="n">
        <v>-13.6</v>
      </c>
      <c r="G1172" s="2" t="inlineStr">
        <is>
          <t>EUR m</t>
        </is>
      </c>
      <c r="H1172" s="2" t="inlineStr">
        <is>
          <t>Operating loss</t>
        </is>
      </c>
      <c r="I1172" s="2" t="inlineStr">
        <is>
          <t>S3</t>
        </is>
      </c>
      <c r="J1172" s="2" t="n">
        <v>116</v>
      </c>
      <c r="K1172" s="2" t="inlineStr">
        <is>
          <t>Operating loss (13,597) (16,065)</t>
        </is>
      </c>
      <c r="L1172" s="2" t="inlineStr">
        <is>
          <t>pend</t>
        </is>
      </c>
      <c r="M1172" s="2" t="n"/>
      <c r="N1172" s="2" t="n"/>
      <c r="O1172" s="3" t="inlineStr">
        <is>
          <t>https://vanillabonds.com/dossier-data/pdf/fastned/fastned-2025-annual-report.pdf#page=116</t>
        </is>
      </c>
    </row>
    <row r="1173">
      <c r="A1173" s="2" t="inlineStr">
        <is>
          <t>F1172</t>
        </is>
      </c>
      <c r="B1173" s="2" t="inlineStr">
        <is>
          <t>financials</t>
        </is>
      </c>
      <c r="C1173" s="2" t="inlineStr">
        <is>
          <t>net_income</t>
        </is>
      </c>
      <c r="D1173" s="2" t="inlineStr">
        <is>
          <t>Net result</t>
        </is>
      </c>
      <c r="E1173" s="2" t="inlineStr">
        <is>
          <t>FY2023</t>
        </is>
      </c>
      <c r="F1173" s="2" t="n">
        <v>-19.3</v>
      </c>
      <c r="G1173" s="2" t="inlineStr">
        <is>
          <t>EUR m</t>
        </is>
      </c>
      <c r="H1173" s="2" t="inlineStr">
        <is>
          <t>net loss</t>
        </is>
      </c>
      <c r="I1173" s="2" t="inlineStr">
        <is>
          <t>S3</t>
        </is>
      </c>
      <c r="J1173" s="2" t="n">
        <v>45</v>
      </c>
      <c r="K1173" s="2" t="inlineStr">
        <is>
          <t>Net profit / (loss) (30.2) (26.6) (19.3)</t>
        </is>
      </c>
      <c r="L1173" s="2" t="inlineStr">
        <is>
          <t>pend</t>
        </is>
      </c>
      <c r="M1173" s="2" t="n"/>
      <c r="N1173" s="2" t="n"/>
      <c r="O1173" s="3" t="inlineStr">
        <is>
          <t>https://vanillabonds.com/dossier-data/pdf/fastned/fastned-2025-annual-report.pdf#page=45</t>
        </is>
      </c>
    </row>
    <row r="1174">
      <c r="A1174" s="2" t="inlineStr">
        <is>
          <t>F1173</t>
        </is>
      </c>
      <c r="B1174" s="2" t="inlineStr">
        <is>
          <t>financials</t>
        </is>
      </c>
      <c r="C1174" s="2" t="inlineStr">
        <is>
          <t>net_income</t>
        </is>
      </c>
      <c r="D1174" s="2" t="inlineStr">
        <is>
          <t>Net result</t>
        </is>
      </c>
      <c r="E1174" s="2" t="inlineStr">
        <is>
          <t>FY2024</t>
        </is>
      </c>
      <c r="F1174" s="2" t="n">
        <v>-26.6</v>
      </c>
      <c r="G1174" s="2" t="inlineStr">
        <is>
          <t>EUR m</t>
        </is>
      </c>
      <c r="H1174" s="2" t="inlineStr">
        <is>
          <t>Loss for the year (restated, unchanged)</t>
        </is>
      </c>
      <c r="I1174" s="2" t="inlineStr">
        <is>
          <t>S3</t>
        </is>
      </c>
      <c r="J1174" s="2" t="n">
        <v>116</v>
      </c>
      <c r="K1174" s="2" t="inlineStr">
        <is>
          <t>Loss for the year (30,227) (26,641)</t>
        </is>
      </c>
      <c r="L1174" s="2" t="inlineStr">
        <is>
          <t>pend</t>
        </is>
      </c>
      <c r="M1174" s="2" t="n"/>
      <c r="N1174" s="2" t="n"/>
      <c r="O1174" s="3" t="inlineStr">
        <is>
          <t>https://vanillabonds.com/dossier-data/pdf/fastned/fastned-2025-annual-report.pdf#page=116</t>
        </is>
      </c>
    </row>
    <row r="1175">
      <c r="A1175" s="2" t="inlineStr">
        <is>
          <t>F1174</t>
        </is>
      </c>
      <c r="B1175" s="2" t="inlineStr">
        <is>
          <t>financials</t>
        </is>
      </c>
      <c r="C1175" s="2" t="inlineStr">
        <is>
          <t>net_income</t>
        </is>
      </c>
      <c r="D1175" s="2" t="inlineStr">
        <is>
          <t>Net result</t>
        </is>
      </c>
      <c r="E1175" s="2" t="inlineStr">
        <is>
          <t>FY2025</t>
        </is>
      </c>
      <c r="F1175" s="2" t="n">
        <v>-30.2</v>
      </c>
      <c r="G1175" s="2" t="inlineStr">
        <is>
          <t>EUR m</t>
        </is>
      </c>
      <c r="H1175" s="3" t="inlineStr">
        <is>
          <t>Loss for the year attributable to equity holders</t>
        </is>
      </c>
      <c r="I1175" s="2" t="inlineStr">
        <is>
          <t>S3</t>
        </is>
      </c>
      <c r="J1175" s="2" t="n">
        <v>116</v>
      </c>
      <c r="K1175" s="2" t="inlineStr">
        <is>
          <t>Loss for the year (30,227) (26,641)</t>
        </is>
      </c>
      <c r="L1175" s="2" t="inlineStr">
        <is>
          <t>pend</t>
        </is>
      </c>
      <c r="M1175" s="2" t="n"/>
      <c r="N1175" s="2" t="n"/>
      <c r="O1175" s="3" t="inlineStr">
        <is>
          <t>https://vanillabonds.com/dossier-data/pdf/fastned/fastned-2025-annual-report.pdf#page=116</t>
        </is>
      </c>
    </row>
    <row r="1176">
      <c r="A1176" s="2" t="inlineStr">
        <is>
          <t>F1175</t>
        </is>
      </c>
      <c r="B1176" s="2" t="inlineStr">
        <is>
          <t>financials</t>
        </is>
      </c>
      <c r="C1176" s="2" t="inlineStr">
        <is>
          <t>da</t>
        </is>
      </c>
      <c r="D1176" s="2" t="inlineStr">
        <is>
          <t>Depreciation &amp; amortisation</t>
        </is>
      </c>
      <c r="E1176" s="2" t="inlineStr">
        <is>
          <t>FY2023</t>
        </is>
      </c>
      <c r="F1176" s="2" t="n">
        <v>16.7</v>
      </c>
      <c r="G1176" s="2" t="inlineStr">
        <is>
          <t>EUR m</t>
        </is>
      </c>
      <c r="H1176" s="3" t="inlineStr">
        <is>
          <t>depreciation and amortisation (income statement line)</t>
        </is>
      </c>
      <c r="I1176" s="2" t="inlineStr">
        <is>
          <t>S3</t>
        </is>
      </c>
      <c r="J1176" s="2" t="n">
        <v>45</v>
      </c>
      <c r="K1176" s="3" t="inlineStr">
        <is>
          <t>Depreciation &amp; amortisation (28.4) (23.4) (16.7)</t>
        </is>
      </c>
      <c r="L1176" s="2" t="inlineStr">
        <is>
          <t>pend</t>
        </is>
      </c>
      <c r="M1176" s="2" t="n"/>
      <c r="N1176" s="2" t="n"/>
      <c r="O1176" s="3" t="inlineStr">
        <is>
          <t>https://vanillabonds.com/dossier-data/pdf/fastned/fastned-2025-annual-report.pdf#page=45</t>
        </is>
      </c>
    </row>
    <row r="1177">
      <c r="A1177" s="2" t="inlineStr">
        <is>
          <t>F1176</t>
        </is>
      </c>
      <c r="B1177" s="2" t="inlineStr">
        <is>
          <t>financials</t>
        </is>
      </c>
      <c r="C1177" s="2" t="inlineStr">
        <is>
          <t>da</t>
        </is>
      </c>
      <c r="D1177" s="2" t="inlineStr">
        <is>
          <t>Depreciation &amp; amortisation</t>
        </is>
      </c>
      <c r="E1177" s="2" t="inlineStr">
        <is>
          <t>FY2024</t>
        </is>
      </c>
      <c r="F1177" s="2" t="n">
        <v>23.4</v>
      </c>
      <c r="G1177" s="2" t="inlineStr">
        <is>
          <t>EUR m</t>
        </is>
      </c>
      <c r="H1177" s="3" t="inlineStr">
        <is>
          <t>Depreciation and amortisation per segment note (impairment 1.5 shown separately)</t>
        </is>
      </c>
      <c r="I1177" s="2" t="inlineStr">
        <is>
          <t>S3</t>
        </is>
      </c>
      <c r="J1177" s="2" t="n">
        <v>153</v>
      </c>
      <c r="K1177" s="3" t="inlineStr">
        <is>
          <t>Depreciation and amortization (13,270) (2,483) (1,480) (2,073) (3,224) (899) (23,429)</t>
        </is>
      </c>
      <c r="L1177" s="2" t="inlineStr">
        <is>
          <t>pend</t>
        </is>
      </c>
      <c r="M1177" s="2" t="n"/>
      <c r="N1177" s="2" t="n"/>
      <c r="O1177" s="3" t="inlineStr">
        <is>
          <t>https://vanillabonds.com/dossier-data/pdf/fastned/fastned-2025-annual-report.pdf#page=153</t>
        </is>
      </c>
    </row>
    <row r="1178">
      <c r="A1178" s="2" t="inlineStr">
        <is>
          <t>F1177</t>
        </is>
      </c>
      <c r="B1178" s="2" t="inlineStr">
        <is>
          <t>financials</t>
        </is>
      </c>
      <c r="C1178" s="2" t="inlineStr">
        <is>
          <t>da</t>
        </is>
      </c>
      <c r="D1178" s="2" t="inlineStr">
        <is>
          <t>Depreciation &amp; amortisation</t>
        </is>
      </c>
      <c r="E1178" s="2" t="inlineStr">
        <is>
          <t>FY2025</t>
        </is>
      </c>
      <c r="F1178" s="2" t="n">
        <v>28.4</v>
      </c>
      <c r="G1178" s="2" t="inlineStr">
        <is>
          <t>EUR m</t>
        </is>
      </c>
      <c r="H1178" s="3" t="inlineStr">
        <is>
          <t>Depreciation and amortisation per segment note (PP&amp;E 22.4, right-of-use 5.5, intangibles 0.5); impairment 0.2 shown separately</t>
        </is>
      </c>
      <c r="I1178" s="2" t="inlineStr">
        <is>
          <t>S3</t>
        </is>
      </c>
      <c r="J1178" s="2" t="n">
        <v>152</v>
      </c>
      <c r="K1178" s="3" t="inlineStr">
        <is>
          <t>Depreciation and amortization (12,972) (2,844) (2,549) (3,357) (4,871) (1,805) (28,398)</t>
        </is>
      </c>
      <c r="L1178" s="2" t="inlineStr">
        <is>
          <t>pend</t>
        </is>
      </c>
      <c r="M1178" s="2" t="n"/>
      <c r="N1178" s="2" t="n"/>
      <c r="O1178" s="3" t="inlineStr">
        <is>
          <t>https://vanillabonds.com/dossier-data/pdf/fastned/fastned-2025-annual-report.pdf#page=152</t>
        </is>
      </c>
    </row>
    <row r="1179">
      <c r="A1179" s="2" t="inlineStr">
        <is>
          <t>F1178</t>
        </is>
      </c>
      <c r="B1179" s="2" t="inlineStr">
        <is>
          <t>financials</t>
        </is>
      </c>
      <c r="C1179" s="2" t="inlineStr">
        <is>
          <t>net_interest</t>
        </is>
      </c>
      <c r="D1179" s="2" t="inlineStr">
        <is>
          <t>Net finance cost</t>
        </is>
      </c>
      <c r="E1179" s="2" t="inlineStr">
        <is>
          <t>FY2023</t>
        </is>
      </c>
      <c r="F1179" s="2" t="n">
        <v>6.8</v>
      </c>
      <c r="G1179" s="2" t="inlineStr">
        <is>
          <t>EUR m</t>
        </is>
      </c>
      <c r="H1179" s="2" t="inlineStr">
        <is>
          <t>net finance cost</t>
        </is>
      </c>
      <c r="I1179" s="2" t="inlineStr">
        <is>
          <t>S3</t>
        </is>
      </c>
      <c r="J1179" s="2" t="n">
        <v>45</v>
      </c>
      <c r="K1179" s="3" t="inlineStr">
        <is>
          <t>Finance income/(cost) (16.4) (10.9) (6.8)</t>
        </is>
      </c>
      <c r="L1179" s="2" t="inlineStr">
        <is>
          <t>pend</t>
        </is>
      </c>
      <c r="M1179" s="2" t="n"/>
      <c r="N1179" s="3" t="inlineStr">
        <is>
          <t>conflict: S1·p36 6.8 vs S1·p125 9.6 vs S2·p39 6.8 vs S3·p45 6.8</t>
        </is>
      </c>
      <c r="O1179" s="3" t="inlineStr">
        <is>
          <t>https://vanillabonds.com/dossier-data/pdf/fastned/fastned-2025-annual-report.pdf#page=45</t>
        </is>
      </c>
    </row>
    <row r="1180">
      <c r="A1180" s="2" t="inlineStr">
        <is>
          <t>F1179</t>
        </is>
      </c>
      <c r="B1180" s="2" t="inlineStr">
        <is>
          <t>financials</t>
        </is>
      </c>
      <c r="C1180" s="2" t="inlineStr">
        <is>
          <t>net_interest</t>
        </is>
      </c>
      <c r="D1180" s="2" t="inlineStr">
        <is>
          <t>Net finance cost</t>
        </is>
      </c>
      <c r="E1180" s="2" t="inlineStr">
        <is>
          <t>FY2024</t>
        </is>
      </c>
      <c r="F1180" s="2" t="n">
        <v>10.9</v>
      </c>
      <c r="G1180" s="2" t="inlineStr">
        <is>
          <t>EUR m</t>
        </is>
      </c>
      <c r="H1180" s="2" t="inlineStr">
        <is>
          <t>net finance cost</t>
        </is>
      </c>
      <c r="I1180" s="2" t="inlineStr">
        <is>
          <t>S3</t>
        </is>
      </c>
      <c r="J1180" s="2" t="n">
        <v>45</v>
      </c>
      <c r="K1180" s="3" t="inlineStr">
        <is>
          <t>Finance income/(cost) (16.4) (10.9) (6.8)</t>
        </is>
      </c>
      <c r="L1180" s="2" t="inlineStr">
        <is>
          <t>pend</t>
        </is>
      </c>
      <c r="M1180" s="2" t="n"/>
      <c r="N1180" s="3" t="inlineStr">
        <is>
          <t>conflict: S2·p39 10.9 vs S3·p45 10.9 vs S3·p116 15.0</t>
        </is>
      </c>
      <c r="O1180" s="3" t="inlineStr">
        <is>
          <t>https://vanillabonds.com/dossier-data/pdf/fastned/fastned-2025-annual-report.pdf#page=45</t>
        </is>
      </c>
    </row>
    <row r="1181">
      <c r="A1181" s="2" t="inlineStr">
        <is>
          <t>F1180</t>
        </is>
      </c>
      <c r="B1181" s="2" t="inlineStr">
        <is>
          <t>financials</t>
        </is>
      </c>
      <c r="C1181" s="2" t="inlineStr">
        <is>
          <t>net_interest</t>
        </is>
      </c>
      <c r="D1181" s="2" t="inlineStr">
        <is>
          <t>Net finance cost</t>
        </is>
      </c>
      <c r="E1181" s="2" t="inlineStr">
        <is>
          <t>FY2024</t>
        </is>
      </c>
      <c r="F1181" s="2" t="n">
        <v>15</v>
      </c>
      <c r="G1181" s="2" t="inlineStr">
        <is>
          <t>EUR m</t>
        </is>
      </c>
      <c r="H1181" s="3" t="inlineStr">
        <is>
          <t>Finance costs as reported (gross); finance income €4.1m shown separately; a net figure is not stated</t>
        </is>
      </c>
      <c r="I1181" s="2" t="inlineStr">
        <is>
          <t>S3</t>
        </is>
      </c>
      <c r="J1181" s="2" t="n">
        <v>116</v>
      </c>
      <c r="K1181" s="2" t="inlineStr">
        <is>
          <t>Finance costs 8.5 (18,399) (15,042)</t>
        </is>
      </c>
      <c r="L1181" s="2" t="inlineStr">
        <is>
          <t>pend</t>
        </is>
      </c>
      <c r="M1181" s="2" t="n"/>
      <c r="N1181" s="3" t="inlineStr">
        <is>
          <t>conflict: S2·p39 10.9 vs S3·p45 10.9 vs S3·p116 15.0</t>
        </is>
      </c>
      <c r="O1181" s="3" t="inlineStr">
        <is>
          <t>https://vanillabonds.com/dossier-data/pdf/fastned/fastned-2025-annual-report.pdf#page=116</t>
        </is>
      </c>
    </row>
    <row r="1182">
      <c r="A1182" s="2" t="inlineStr">
        <is>
          <t>F1181</t>
        </is>
      </c>
      <c r="B1182" s="2" t="inlineStr">
        <is>
          <t>financials</t>
        </is>
      </c>
      <c r="C1182" s="2" t="inlineStr">
        <is>
          <t>net_interest</t>
        </is>
      </c>
      <c r="D1182" s="2" t="inlineStr">
        <is>
          <t>Net finance cost</t>
        </is>
      </c>
      <c r="E1182" s="2" t="inlineStr">
        <is>
          <t>FY2025</t>
        </is>
      </c>
      <c r="F1182" s="2" t="n">
        <v>16.4</v>
      </c>
      <c r="G1182" s="2" t="inlineStr">
        <is>
          <t>EUR m</t>
        </is>
      </c>
      <c r="H1182" s="2" t="inlineStr">
        <is>
          <t>net finance cost</t>
        </is>
      </c>
      <c r="I1182" s="2" t="inlineStr">
        <is>
          <t>S3</t>
        </is>
      </c>
      <c r="J1182" s="2" t="n">
        <v>45</v>
      </c>
      <c r="K1182" s="3" t="inlineStr">
        <is>
          <t>Finance income/(cost) (16.4) (10.9) (6.8)</t>
        </is>
      </c>
      <c r="L1182" s="2" t="inlineStr">
        <is>
          <t>pend</t>
        </is>
      </c>
      <c r="M1182" s="2" t="n"/>
      <c r="N1182" s="2" t="inlineStr">
        <is>
          <t>conflict: S3·p45 16.4 vs S3·p116 18.4</t>
        </is>
      </c>
      <c r="O1182" s="3" t="inlineStr">
        <is>
          <t>https://vanillabonds.com/dossier-data/pdf/fastned/fastned-2025-annual-report.pdf#page=45</t>
        </is>
      </c>
    </row>
    <row r="1183">
      <c r="A1183" s="2" t="inlineStr">
        <is>
          <t>F1182</t>
        </is>
      </c>
      <c r="B1183" s="2" t="inlineStr">
        <is>
          <t>financials</t>
        </is>
      </c>
      <c r="C1183" s="2" t="inlineStr">
        <is>
          <t>net_interest</t>
        </is>
      </c>
      <c r="D1183" s="2" t="inlineStr">
        <is>
          <t>Net finance cost</t>
        </is>
      </c>
      <c r="E1183" s="2" t="inlineStr">
        <is>
          <t>FY2025</t>
        </is>
      </c>
      <c r="F1183" s="2" t="n">
        <v>18.4</v>
      </c>
      <c r="G1183" s="2" t="inlineStr">
        <is>
          <t>EUR m</t>
        </is>
      </c>
      <c r="H1183" s="3" t="inlineStr">
        <is>
          <t>Finance costs as reported (gross); finance income €2.0m shown separately; a net figure is not stated</t>
        </is>
      </c>
      <c r="I1183" s="2" t="inlineStr">
        <is>
          <t>S3</t>
        </is>
      </c>
      <c r="J1183" s="2" t="n">
        <v>116</v>
      </c>
      <c r="K1183" s="2" t="inlineStr">
        <is>
          <t>Finance costs 8.5 (18,399) (15,042)</t>
        </is>
      </c>
      <c r="L1183" s="2" t="inlineStr">
        <is>
          <t>pend</t>
        </is>
      </c>
      <c r="M1183" s="2" t="n"/>
      <c r="N1183" s="2" t="inlineStr">
        <is>
          <t>conflict: S3·p45 16.4 vs S3·p116 18.4</t>
        </is>
      </c>
      <c r="O1183" s="3" t="inlineStr">
        <is>
          <t>https://vanillabonds.com/dossier-data/pdf/fastned/fastned-2025-annual-report.pdf#page=116</t>
        </is>
      </c>
    </row>
    <row r="1184">
      <c r="A1184" s="2" t="inlineStr">
        <is>
          <t>F1183</t>
        </is>
      </c>
      <c r="B1184" s="2" t="inlineStr">
        <is>
          <t>financials</t>
        </is>
      </c>
      <c r="C1184" s="2" t="inlineStr">
        <is>
          <t>cfo</t>
        </is>
      </c>
      <c r="D1184" s="2" t="inlineStr">
        <is>
          <t>Cash flow from operating activities</t>
        </is>
      </c>
      <c r="E1184" s="2" t="inlineStr">
        <is>
          <t>FY2023</t>
        </is>
      </c>
      <c r="F1184" s="2" t="n">
        <v>-3.1</v>
      </c>
      <c r="G1184" s="2" t="inlineStr">
        <is>
          <t>EUR m</t>
        </is>
      </c>
      <c r="H1184" s="2" t="inlineStr">
        <is>
          <t>net cash flow from operating activities</t>
        </is>
      </c>
      <c r="I1184" s="2" t="inlineStr">
        <is>
          <t>S3</t>
        </is>
      </c>
      <c r="J1184" s="2" t="n">
        <v>47</v>
      </c>
      <c r="K1184" s="3" t="inlineStr">
        <is>
          <t>Net cash flow from operating activities (20.4) (7.6) (3.1)</t>
        </is>
      </c>
      <c r="L1184" s="2" t="inlineStr">
        <is>
          <t>pend</t>
        </is>
      </c>
      <c r="M1184" s="2" t="n"/>
      <c r="N1184" s="2" t="n"/>
      <c r="O1184" s="3" t="inlineStr">
        <is>
          <t>https://vanillabonds.com/dossier-data/pdf/fastned/fastned-2025-annual-report.pdf#page=47</t>
        </is>
      </c>
    </row>
    <row r="1185">
      <c r="A1185" s="2" t="inlineStr">
        <is>
          <t>F1184</t>
        </is>
      </c>
      <c r="B1185" s="2" t="inlineStr">
        <is>
          <t>financials</t>
        </is>
      </c>
      <c r="C1185" s="2" t="inlineStr">
        <is>
          <t>cfo</t>
        </is>
      </c>
      <c r="D1185" s="2" t="inlineStr">
        <is>
          <t>Cash flow from operating activities</t>
        </is>
      </c>
      <c r="E1185" s="2" t="inlineStr">
        <is>
          <t>FY2024</t>
        </is>
      </c>
      <c r="F1185" s="2" t="n">
        <v>-7.6</v>
      </c>
      <c r="G1185" s="2" t="inlineStr">
        <is>
          <t>EUR m</t>
        </is>
      </c>
      <c r="H1185" s="2" t="inlineStr">
        <is>
          <t>restated (unchanged)</t>
        </is>
      </c>
      <c r="I1185" s="2" t="inlineStr">
        <is>
          <t>S3</t>
        </is>
      </c>
      <c r="J1185" s="2" t="n">
        <v>120</v>
      </c>
      <c r="K1185" s="3" t="inlineStr">
        <is>
          <t>Net cash flows from operating activities (20,415) (7,609)</t>
        </is>
      </c>
      <c r="L1185" s="2" t="inlineStr">
        <is>
          <t>pend</t>
        </is>
      </c>
      <c r="M1185" s="2" t="n"/>
      <c r="N1185" s="2" t="n"/>
      <c r="O1185" s="3" t="inlineStr">
        <is>
          <t>https://vanillabonds.com/dossier-data/pdf/fastned/fastned-2025-annual-report.pdf#page=120</t>
        </is>
      </c>
    </row>
    <row r="1186">
      <c r="A1186" s="2" t="inlineStr">
        <is>
          <t>F1185</t>
        </is>
      </c>
      <c r="B1186" s="2" t="inlineStr">
        <is>
          <t>financials</t>
        </is>
      </c>
      <c r="C1186" s="2" t="inlineStr">
        <is>
          <t>cfo</t>
        </is>
      </c>
      <c r="D1186" s="2" t="inlineStr">
        <is>
          <t>Cash flow from operating activities</t>
        </is>
      </c>
      <c r="E1186" s="2" t="inlineStr">
        <is>
          <t>FY2025</t>
        </is>
      </c>
      <c r="F1186" s="2" t="n">
        <v>-20.4</v>
      </c>
      <c r="G1186" s="2" t="inlineStr">
        <is>
          <t>EUR m</t>
        </is>
      </c>
      <c r="H1186" s="3" t="inlineStr">
        <is>
          <t>Net cash flows from operating activities; interest paid and received classified as operating</t>
        </is>
      </c>
      <c r="I1186" s="2" t="inlineStr">
        <is>
          <t>S3</t>
        </is>
      </c>
      <c r="J1186" s="2" t="n">
        <v>120</v>
      </c>
      <c r="K1186" s="3" t="inlineStr">
        <is>
          <t>Net cash flows from operating activities (20,415) (7,609)</t>
        </is>
      </c>
      <c r="L1186" s="2" t="inlineStr">
        <is>
          <t>pend</t>
        </is>
      </c>
      <c r="M1186" s="2" t="n"/>
      <c r="N1186" s="2" t="n"/>
      <c r="O1186" s="3" t="inlineStr">
        <is>
          <t>https://vanillabonds.com/dossier-data/pdf/fastned/fastned-2025-annual-report.pdf#page=120</t>
        </is>
      </c>
    </row>
    <row r="1187">
      <c r="A1187" s="2" t="inlineStr">
        <is>
          <t>F1186</t>
        </is>
      </c>
      <c r="B1187" s="2" t="inlineStr">
        <is>
          <t>financials</t>
        </is>
      </c>
      <c r="C1187" s="2" t="inlineStr">
        <is>
          <t>capex</t>
        </is>
      </c>
      <c r="D1187" s="2" t="inlineStr">
        <is>
          <t>Capex (PP&amp;E + intangibles)</t>
        </is>
      </c>
      <c r="E1187" s="2" t="inlineStr">
        <is>
          <t>FY2024</t>
        </is>
      </c>
      <c r="F1187" s="2" t="n">
        <v>68</v>
      </c>
      <c r="G1187" s="2" t="inlineStr">
        <is>
          <t>EUR m</t>
        </is>
      </c>
      <c r="H1187" s="3" t="inlineStr">
        <is>
          <t>Payments for property, plant and equipment and other intangible assets</t>
        </is>
      </c>
      <c r="I1187" s="2" t="inlineStr">
        <is>
          <t>S3</t>
        </is>
      </c>
      <c r="J1187" s="2" t="n">
        <v>120</v>
      </c>
      <c r="K1187" s="3" t="inlineStr">
        <is>
          <t>Payments for property, plant and equipment and other intangible assets 11 &amp; 12 (81,704) (68,042)</t>
        </is>
      </c>
      <c r="L1187" s="2" t="inlineStr">
        <is>
          <t>pend</t>
        </is>
      </c>
      <c r="M1187" s="2" t="n"/>
      <c r="N1187" s="3" t="inlineStr">
        <is>
          <t>conflict: S2·p104 68.0 vs S2·p141 72.3 vs S3·p120 68.0</t>
        </is>
      </c>
      <c r="O1187" s="3" t="inlineStr">
        <is>
          <t>https://vanillabonds.com/dossier-data/pdf/fastned/fastned-2025-annual-report.pdf#page=120</t>
        </is>
      </c>
    </row>
    <row r="1188">
      <c r="A1188" s="2" t="inlineStr">
        <is>
          <t>F1187</t>
        </is>
      </c>
      <c r="B1188" s="2" t="inlineStr">
        <is>
          <t>financials</t>
        </is>
      </c>
      <c r="C1188" s="2" t="inlineStr">
        <is>
          <t>capex</t>
        </is>
      </c>
      <c r="D1188" s="2" t="inlineStr">
        <is>
          <t>Capex (PP&amp;E + intangibles)</t>
        </is>
      </c>
      <c r="E1188" s="2" t="inlineStr">
        <is>
          <t>FY2025</t>
        </is>
      </c>
      <c r="F1188" s="2" t="n">
        <v>81.7</v>
      </c>
      <c r="G1188" s="2" t="inlineStr">
        <is>
          <t>EUR m</t>
        </is>
      </c>
      <c r="H1188" s="3" t="inlineStr">
        <is>
          <t>Payments for property, plant and equipment and other intangible assets</t>
        </is>
      </c>
      <c r="I1188" s="2" t="inlineStr">
        <is>
          <t>S3</t>
        </is>
      </c>
      <c r="J1188" s="2" t="n">
        <v>120</v>
      </c>
      <c r="K1188" s="3" t="inlineStr">
        <is>
          <t>Payments for property, plant and equipment and other intangible assets 11 &amp; 12 (81,704) (68,042)</t>
        </is>
      </c>
      <c r="L1188" s="2" t="inlineStr">
        <is>
          <t>pend</t>
        </is>
      </c>
      <c r="M1188" s="2" t="n"/>
      <c r="N1188" s="2" t="n"/>
      <c r="O1188" s="3" t="inlineStr">
        <is>
          <t>https://vanillabonds.com/dossier-data/pdf/fastned/fastned-2025-annual-report.pdf#page=120</t>
        </is>
      </c>
    </row>
    <row r="1189">
      <c r="A1189" s="2" t="inlineStr">
        <is>
          <t>F1188</t>
        </is>
      </c>
      <c r="B1189" s="2" t="inlineStr">
        <is>
          <t>financials</t>
        </is>
      </c>
      <c r="C1189" s="2" t="inlineStr">
        <is>
          <t>cash</t>
        </is>
      </c>
      <c r="D1189" s="2" t="inlineStr">
        <is>
          <t>Cash &amp; equivalents</t>
        </is>
      </c>
      <c r="E1189" s="2" t="inlineStr">
        <is>
          <t>FY2023</t>
        </is>
      </c>
      <c r="F1189" s="2" t="n">
        <v>126.6</v>
      </c>
      <c r="G1189" s="2" t="inlineStr">
        <is>
          <t>EUR m</t>
        </is>
      </c>
      <c r="H1189" s="2" t="inlineStr">
        <is>
          <t>cash and cash equivalents at 31 December</t>
        </is>
      </c>
      <c r="I1189" s="2" t="inlineStr">
        <is>
          <t>S3</t>
        </is>
      </c>
      <c r="J1189" s="2" t="n">
        <v>47</v>
      </c>
      <c r="K1189" s="3" t="inlineStr">
        <is>
          <t>Cash and cash equivalents at 31 December 69.9 117.4 126.6</t>
        </is>
      </c>
      <c r="L1189" s="2" t="inlineStr">
        <is>
          <t>pend</t>
        </is>
      </c>
      <c r="M1189" s="2" t="n"/>
      <c r="N1189" s="2" t="n"/>
      <c r="O1189" s="3" t="inlineStr">
        <is>
          <t>https://vanillabonds.com/dossier-data/pdf/fastned/fastned-2025-annual-report.pdf#page=47</t>
        </is>
      </c>
    </row>
    <row r="1190">
      <c r="A1190" s="2" t="inlineStr">
        <is>
          <t>F1189</t>
        </is>
      </c>
      <c r="B1190" s="2" t="inlineStr">
        <is>
          <t>financials</t>
        </is>
      </c>
      <c r="C1190" s="2" t="inlineStr">
        <is>
          <t>cash</t>
        </is>
      </c>
      <c r="D1190" s="2" t="inlineStr">
        <is>
          <t>Cash &amp; equivalents</t>
        </is>
      </c>
      <c r="E1190" s="2" t="inlineStr">
        <is>
          <t>FY2024</t>
        </is>
      </c>
      <c r="F1190" s="2" t="n">
        <v>117.4</v>
      </c>
      <c r="G1190" s="2" t="inlineStr">
        <is>
          <t>EUR m</t>
        </is>
      </c>
      <c r="H1190" s="2" t="n"/>
      <c r="I1190" s="2" t="inlineStr">
        <is>
          <t>S3</t>
        </is>
      </c>
      <c r="J1190" s="2" t="n">
        <v>118</v>
      </c>
      <c r="K1190" s="3" t="inlineStr">
        <is>
          <t>Cash and cash equivalents 18 69,918 117,416</t>
        </is>
      </c>
      <c r="L1190" s="2" t="inlineStr">
        <is>
          <t>pend</t>
        </is>
      </c>
      <c r="M1190" s="2" t="n"/>
      <c r="N1190" s="2" t="n"/>
      <c r="O1190" s="3" t="inlineStr">
        <is>
          <t>https://vanillabonds.com/dossier-data/pdf/fastned/fastned-2025-annual-report.pdf#page=118</t>
        </is>
      </c>
    </row>
    <row r="1191">
      <c r="A1191" s="2" t="inlineStr">
        <is>
          <t>F1190</t>
        </is>
      </c>
      <c r="B1191" s="2" t="inlineStr">
        <is>
          <t>financials</t>
        </is>
      </c>
      <c r="C1191" s="2" t="inlineStr">
        <is>
          <t>cash</t>
        </is>
      </c>
      <c r="D1191" s="2" t="inlineStr">
        <is>
          <t>Cash &amp; equivalents</t>
        </is>
      </c>
      <c r="E1191" s="2" t="inlineStr">
        <is>
          <t>FY2025</t>
        </is>
      </c>
      <c r="F1191" s="2" t="n">
        <v>69.90000000000001</v>
      </c>
      <c r="G1191" s="2" t="inlineStr">
        <is>
          <t>EUR m</t>
        </is>
      </c>
      <c r="H1191" s="2" t="n"/>
      <c r="I1191" s="2" t="inlineStr">
        <is>
          <t>S3</t>
        </is>
      </c>
      <c r="J1191" s="2" t="n">
        <v>118</v>
      </c>
      <c r="K1191" s="3" t="inlineStr">
        <is>
          <t>Cash and cash equivalents 18 69,918 117,416</t>
        </is>
      </c>
      <c r="L1191" s="2" t="inlineStr">
        <is>
          <t>pend</t>
        </is>
      </c>
      <c r="M1191" s="2" t="n"/>
      <c r="N1191" s="2" t="n"/>
      <c r="O1191" s="3" t="inlineStr">
        <is>
          <t>https://vanillabonds.com/dossier-data/pdf/fastned/fastned-2025-annual-report.pdf#page=118</t>
        </is>
      </c>
    </row>
    <row r="1192">
      <c r="A1192" s="2" t="inlineStr">
        <is>
          <t>F1191</t>
        </is>
      </c>
      <c r="B1192" s="2" t="inlineStr">
        <is>
          <t>financials</t>
        </is>
      </c>
      <c r="C1192" s="2" t="inlineStr">
        <is>
          <t>gross_debt</t>
        </is>
      </c>
      <c r="D1192" s="3" t="inlineStr">
        <is>
          <t>Gross financial debt (bonds + loans, excl. leases)</t>
        </is>
      </c>
      <c r="E1192" s="2" t="inlineStr">
        <is>
          <t>FY2024</t>
        </is>
      </c>
      <c r="F1192" s="2" t="n">
        <v>226.5</v>
      </c>
      <c r="G1192" s="2" t="inlineStr">
        <is>
          <t>EUR m</t>
        </is>
      </c>
      <c r="H1192" s="3" t="inlineStr">
        <is>
          <t>Interest-bearing loans and borrowings; excludes lease liabilities</t>
        </is>
      </c>
      <c r="I1192" s="2" t="inlineStr">
        <is>
          <t>S3</t>
        </is>
      </c>
      <c r="J1192" s="2" t="n">
        <v>172</v>
      </c>
      <c r="K1192" s="3" t="inlineStr">
        <is>
          <t>Total interest-bearing loans and borrowings 295,093 226,460</t>
        </is>
      </c>
      <c r="L1192" s="2" t="inlineStr">
        <is>
          <t>pend</t>
        </is>
      </c>
      <c r="M1192" s="2" t="n"/>
      <c r="N1192" s="2" t="n"/>
      <c r="O1192" s="3" t="inlineStr">
        <is>
          <t>https://vanillabonds.com/dossier-data/pdf/fastned/fastned-2025-annual-report.pdf#page=172</t>
        </is>
      </c>
    </row>
    <row r="1193">
      <c r="A1193" s="2" t="inlineStr">
        <is>
          <t>F1192</t>
        </is>
      </c>
      <c r="B1193" s="2" t="inlineStr">
        <is>
          <t>financials</t>
        </is>
      </c>
      <c r="C1193" s="2" t="inlineStr">
        <is>
          <t>gross_debt</t>
        </is>
      </c>
      <c r="D1193" s="3" t="inlineStr">
        <is>
          <t>Gross financial debt (bonds + loans, excl. leases)</t>
        </is>
      </c>
      <c r="E1193" s="2" t="inlineStr">
        <is>
          <t>FY2025</t>
        </is>
      </c>
      <c r="F1193" s="2" t="n">
        <v>295.1</v>
      </c>
      <c r="G1193" s="2" t="inlineStr">
        <is>
          <t>EUR m</t>
        </is>
      </c>
      <c r="H1193" s="3" t="inlineStr">
        <is>
          <t>Interest-bearing loans and borrowings: unsecured bonds, 4% secured loan (Caisse des Dépôts), German Regional Tender loan; excludes lease liabilities</t>
        </is>
      </c>
      <c r="I1193" s="2" t="inlineStr">
        <is>
          <t>S3</t>
        </is>
      </c>
      <c r="J1193" s="2" t="n">
        <v>172</v>
      </c>
      <c r="K1193" s="3" t="inlineStr">
        <is>
          <t>Total interest-bearing loans and borrowings 295,093 226,460</t>
        </is>
      </c>
      <c r="L1193" s="2" t="inlineStr">
        <is>
          <t>pend</t>
        </is>
      </c>
      <c r="M1193" s="2" t="n"/>
      <c r="N1193" s="2" t="n"/>
      <c r="O1193" s="3" t="inlineStr">
        <is>
          <t>https://vanillabonds.com/dossier-data/pdf/fastned/fastned-2025-annual-report.pdf#page=172</t>
        </is>
      </c>
    </row>
    <row r="1194">
      <c r="A1194" s="2" t="inlineStr">
        <is>
          <t>F1193</t>
        </is>
      </c>
      <c r="B1194" s="2" t="inlineStr">
        <is>
          <t>financials</t>
        </is>
      </c>
      <c r="C1194" s="2" t="inlineStr">
        <is>
          <t>lease_liabilities</t>
        </is>
      </c>
      <c r="D1194" s="2" t="inlineStr">
        <is>
          <t>Lease liabilities</t>
        </is>
      </c>
      <c r="E1194" s="2" t="inlineStr">
        <is>
          <t>FY2024</t>
        </is>
      </c>
      <c r="F1194" s="2" t="n">
        <v>37.7</v>
      </c>
      <c r="G1194" s="2" t="inlineStr">
        <is>
          <t>EUR m</t>
        </is>
      </c>
      <c r="H1194" s="3" t="inlineStr">
        <is>
          <t>Lease liabilities: current 3.4, non-current 34.4</t>
        </is>
      </c>
      <c r="I1194" s="2" t="inlineStr">
        <is>
          <t>S3</t>
        </is>
      </c>
      <c r="J1194" s="2" t="n">
        <v>185</v>
      </c>
      <c r="K1194" s="2" t="inlineStr">
        <is>
          <t>Total lease liabilities 62,864 37,719</t>
        </is>
      </c>
      <c r="L1194" s="2" t="inlineStr">
        <is>
          <t>pend</t>
        </is>
      </c>
      <c r="M1194" s="2" t="n"/>
      <c r="N1194" s="2" t="n"/>
      <c r="O1194" s="3" t="inlineStr">
        <is>
          <t>https://vanillabonds.com/dossier-data/pdf/fastned/fastned-2025-annual-report.pdf#page=185</t>
        </is>
      </c>
    </row>
    <row r="1195">
      <c r="A1195" s="2" t="inlineStr">
        <is>
          <t>F1194</t>
        </is>
      </c>
      <c r="B1195" s="2" t="inlineStr">
        <is>
          <t>financials</t>
        </is>
      </c>
      <c r="C1195" s="2" t="inlineStr">
        <is>
          <t>lease_liabilities</t>
        </is>
      </c>
      <c r="D1195" s="2" t="inlineStr">
        <is>
          <t>Lease liabilities</t>
        </is>
      </c>
      <c r="E1195" s="2" t="inlineStr">
        <is>
          <t>FY2025</t>
        </is>
      </c>
      <c r="F1195" s="2" t="n">
        <v>62.9</v>
      </c>
      <c r="G1195" s="2" t="inlineStr">
        <is>
          <t>EUR m</t>
        </is>
      </c>
      <c r="H1195" s="3" t="inlineStr">
        <is>
          <t>Lease liabilities: current 4.7, non-current 58.2</t>
        </is>
      </c>
      <c r="I1195" s="2" t="inlineStr">
        <is>
          <t>S3</t>
        </is>
      </c>
      <c r="J1195" s="2" t="n">
        <v>185</v>
      </c>
      <c r="K1195" s="2" t="inlineStr">
        <is>
          <t>Total lease liabilities 62,864 37,719</t>
        </is>
      </c>
      <c r="L1195" s="2" t="inlineStr">
        <is>
          <t>pend</t>
        </is>
      </c>
      <c r="M1195" s="2" t="n"/>
      <c r="N1195" s="2" t="n"/>
      <c r="O1195" s="3" t="inlineStr">
        <is>
          <t>https://vanillabonds.com/dossier-data/pdf/fastned/fastned-2025-annual-report.pdf#page=185</t>
        </is>
      </c>
    </row>
    <row r="1196">
      <c r="A1196" s="2" t="inlineStr">
        <is>
          <t>F1195</t>
        </is>
      </c>
      <c r="B1196" s="2" t="inlineStr">
        <is>
          <t>financials</t>
        </is>
      </c>
      <c r="C1196" s="2" t="inlineStr">
        <is>
          <t>net_debt</t>
        </is>
      </c>
      <c r="D1196" s="2" t="inlineStr">
        <is>
          <t>Net debt (as reported)</t>
        </is>
      </c>
      <c r="E1196" s="2" t="inlineStr">
        <is>
          <t>FY2024</t>
        </is>
      </c>
      <c r="F1196" s="2" t="n">
        <v>146.8</v>
      </c>
      <c r="G1196" s="2" t="inlineStr">
        <is>
          <t>EUR m</t>
        </is>
      </c>
      <c r="H1196" s="3" t="inlineStr">
        <is>
          <t>As reported in the capital management note; includes lease liabilities</t>
        </is>
      </c>
      <c r="I1196" s="2" t="inlineStr">
        <is>
          <t>S3</t>
        </is>
      </c>
      <c r="J1196" s="2" t="n">
        <v>146</v>
      </c>
      <c r="K1196" s="2" t="inlineStr">
        <is>
          <t>Net debt (288,040) (146,764)</t>
        </is>
      </c>
      <c r="L1196" s="2" t="inlineStr">
        <is>
          <t>pend</t>
        </is>
      </c>
      <c r="M1196" s="2" t="n"/>
      <c r="N1196" s="2" t="n"/>
      <c r="O1196" s="3" t="inlineStr">
        <is>
          <t>https://vanillabonds.com/dossier-data/pdf/fastned/fastned-2025-annual-report.pdf#page=146</t>
        </is>
      </c>
    </row>
    <row r="1197">
      <c r="A1197" s="2" t="inlineStr">
        <is>
          <t>F1196</t>
        </is>
      </c>
      <c r="B1197" s="2" t="inlineStr">
        <is>
          <t>financials</t>
        </is>
      </c>
      <c r="C1197" s="2" t="inlineStr">
        <is>
          <t>net_debt</t>
        </is>
      </c>
      <c r="D1197" s="2" t="inlineStr">
        <is>
          <t>Net debt (as reported)</t>
        </is>
      </c>
      <c r="E1197" s="2" t="inlineStr">
        <is>
          <t>FY2025</t>
        </is>
      </c>
      <c r="F1197" s="2" t="n">
        <v>288</v>
      </c>
      <c r="G1197" s="2" t="inlineStr">
        <is>
          <t>EUR m</t>
        </is>
      </c>
      <c r="H1197" s="3" t="inlineStr">
        <is>
          <t>As reported in the capital management note; includes lease liabilities (loans 295.1 + leases 62.9 - cash 69.9)</t>
        </is>
      </c>
      <c r="I1197" s="2" t="inlineStr">
        <is>
          <t>S3</t>
        </is>
      </c>
      <c r="J1197" s="2" t="n">
        <v>146</v>
      </c>
      <c r="K1197" s="2" t="inlineStr">
        <is>
          <t>Net debt (288,040) (146,764)</t>
        </is>
      </c>
      <c r="L1197" s="2" t="inlineStr">
        <is>
          <t>pend</t>
        </is>
      </c>
      <c r="M1197" s="2" t="n"/>
      <c r="N1197" s="2" t="n"/>
      <c r="O1197" s="3" t="inlineStr">
        <is>
          <t>https://vanillabonds.com/dossier-data/pdf/fastned/fastned-2025-annual-report.pdf#page=146</t>
        </is>
      </c>
    </row>
    <row r="1198">
      <c r="A1198" s="2" t="inlineStr">
        <is>
          <t>F1197</t>
        </is>
      </c>
      <c r="B1198" s="2" t="inlineStr">
        <is>
          <t>financials</t>
        </is>
      </c>
      <c r="C1198" s="2" t="inlineStr">
        <is>
          <t>equity</t>
        </is>
      </c>
      <c r="D1198" s="2" t="inlineStr">
        <is>
          <t>Total equity</t>
        </is>
      </c>
      <c r="E1198" s="2" t="inlineStr">
        <is>
          <t>FY2023</t>
        </is>
      </c>
      <c r="F1198" s="2" t="n">
        <v>146.2</v>
      </c>
      <c r="G1198" s="2" t="inlineStr">
        <is>
          <t>EUR m</t>
        </is>
      </c>
      <c r="H1198" s="2" t="inlineStr">
        <is>
          <t>total equity</t>
        </is>
      </c>
      <c r="I1198" s="2" t="inlineStr">
        <is>
          <t>S3</t>
        </is>
      </c>
      <c r="J1198" s="2" t="n">
        <v>47</v>
      </c>
      <c r="K1198" s="2" t="inlineStr">
        <is>
          <t>Total equity 91.9 122.7 146.2</t>
        </is>
      </c>
      <c r="L1198" s="2" t="inlineStr">
        <is>
          <t>pend</t>
        </is>
      </c>
      <c r="M1198" s="2" t="n"/>
      <c r="N1198" s="2" t="n"/>
      <c r="O1198" s="3" t="inlineStr">
        <is>
          <t>https://vanillabonds.com/dossier-data/pdf/fastned/fastned-2025-annual-report.pdf#page=47</t>
        </is>
      </c>
    </row>
    <row r="1199">
      <c r="A1199" s="2" t="inlineStr">
        <is>
          <t>F1198</t>
        </is>
      </c>
      <c r="B1199" s="2" t="inlineStr">
        <is>
          <t>financials</t>
        </is>
      </c>
      <c r="C1199" s="2" t="inlineStr">
        <is>
          <t>equity</t>
        </is>
      </c>
      <c r="D1199" s="2" t="inlineStr">
        <is>
          <t>Total equity</t>
        </is>
      </c>
      <c r="E1199" s="2" t="inlineStr">
        <is>
          <t>FY2024</t>
        </is>
      </c>
      <c r="F1199" s="2" t="n">
        <v>122.7</v>
      </c>
      <c r="G1199" s="2" t="inlineStr">
        <is>
          <t>EUR m</t>
        </is>
      </c>
      <c r="H1199" s="2" t="n"/>
      <c r="I1199" s="2" t="inlineStr">
        <is>
          <t>S3</t>
        </is>
      </c>
      <c r="J1199" s="2" t="n">
        <v>118</v>
      </c>
      <c r="K1199" s="3" t="inlineStr">
        <is>
          <t>Equity attributable to owners of the parent company 91,921 122,693</t>
        </is>
      </c>
      <c r="L1199" s="2" t="inlineStr">
        <is>
          <t>pend</t>
        </is>
      </c>
      <c r="M1199" s="2" t="n"/>
      <c r="N1199" s="2" t="n"/>
      <c r="O1199" s="3" t="inlineStr">
        <is>
          <t>https://vanillabonds.com/dossier-data/pdf/fastned/fastned-2025-annual-report.pdf#page=118</t>
        </is>
      </c>
    </row>
    <row r="1200">
      <c r="A1200" s="2" t="inlineStr">
        <is>
          <t>F1199</t>
        </is>
      </c>
      <c r="B1200" s="2" t="inlineStr">
        <is>
          <t>financials</t>
        </is>
      </c>
      <c r="C1200" s="2" t="inlineStr">
        <is>
          <t>equity</t>
        </is>
      </c>
      <c r="D1200" s="2" t="inlineStr">
        <is>
          <t>Total equity</t>
        </is>
      </c>
      <c r="E1200" s="2" t="inlineStr">
        <is>
          <t>FY2025</t>
        </is>
      </c>
      <c r="F1200" s="2" t="n">
        <v>91.90000000000001</v>
      </c>
      <c r="G1200" s="2" t="inlineStr">
        <is>
          <t>EUR m</t>
        </is>
      </c>
      <c r="H1200" s="3" t="inlineStr">
        <is>
          <t>Equity attributable to owners of the parent; no non-controlling interests</t>
        </is>
      </c>
      <c r="I1200" s="2" t="inlineStr">
        <is>
          <t>S3</t>
        </is>
      </c>
      <c r="J1200" s="2" t="n">
        <v>118</v>
      </c>
      <c r="K1200" s="3" t="inlineStr">
        <is>
          <t>Equity attributable to owners of the parent company 91,921 122,693</t>
        </is>
      </c>
      <c r="L1200" s="2" t="inlineStr">
        <is>
          <t>pend</t>
        </is>
      </c>
      <c r="M1200" s="2" t="n"/>
      <c r="N1200" s="2" t="n"/>
      <c r="O1200" s="3" t="inlineStr">
        <is>
          <t>https://vanillabonds.com/dossier-data/pdf/fastned/fastned-2025-annual-report.pdf#page=118</t>
        </is>
      </c>
    </row>
    <row r="1201">
      <c r="A1201" s="2" t="inlineStr">
        <is>
          <t>F1200</t>
        </is>
      </c>
      <c r="B1201" s="2" t="inlineStr">
        <is>
          <t>financials</t>
        </is>
      </c>
      <c r="C1201" s="2" t="inlineStr">
        <is>
          <t>total_assets</t>
        </is>
      </c>
      <c r="D1201" s="2" t="inlineStr">
        <is>
          <t>Total assets</t>
        </is>
      </c>
      <c r="E1201" s="2" t="inlineStr">
        <is>
          <t>FY2023</t>
        </is>
      </c>
      <c r="F1201" s="2" t="n">
        <v>357.5</v>
      </c>
      <c r="G1201" s="2" t="inlineStr">
        <is>
          <t>EUR m</t>
        </is>
      </c>
      <c r="H1201" s="2" t="inlineStr">
        <is>
          <t>total assets</t>
        </is>
      </c>
      <c r="I1201" s="2" t="inlineStr">
        <is>
          <t>S3</t>
        </is>
      </c>
      <c r="J1201" s="2" t="n">
        <v>47</v>
      </c>
      <c r="K1201" s="2" t="inlineStr">
        <is>
          <t>Total assets 501.8 426.7 357.5</t>
        </is>
      </c>
      <c r="L1201" s="2" t="inlineStr">
        <is>
          <t>pend</t>
        </is>
      </c>
      <c r="M1201" s="2" t="n"/>
      <c r="N1201" s="2" t="n"/>
      <c r="O1201" s="3" t="inlineStr">
        <is>
          <t>https://vanillabonds.com/dossier-data/pdf/fastned/fastned-2025-annual-report.pdf#page=47</t>
        </is>
      </c>
    </row>
    <row r="1202">
      <c r="A1202" s="2" t="inlineStr">
        <is>
          <t>F1201</t>
        </is>
      </c>
      <c r="B1202" s="2" t="inlineStr">
        <is>
          <t>financials</t>
        </is>
      </c>
      <c r="C1202" s="2" t="inlineStr">
        <is>
          <t>total_assets</t>
        </is>
      </c>
      <c r="D1202" s="2" t="inlineStr">
        <is>
          <t>Total assets</t>
        </is>
      </c>
      <c r="E1202" s="2" t="inlineStr">
        <is>
          <t>FY2024</t>
        </is>
      </c>
      <c r="F1202" s="2" t="n">
        <v>426.7</v>
      </c>
      <c r="G1202" s="2" t="inlineStr">
        <is>
          <t>EUR m</t>
        </is>
      </c>
      <c r="H1202" s="2" t="inlineStr">
        <is>
          <t>restated</t>
        </is>
      </c>
      <c r="I1202" s="2" t="inlineStr">
        <is>
          <t>S3</t>
        </is>
      </c>
      <c r="J1202" s="2" t="n">
        <v>118</v>
      </c>
      <c r="K1202" s="2" t="inlineStr">
        <is>
          <t>Total assets 501,764 426,695</t>
        </is>
      </c>
      <c r="L1202" s="2" t="inlineStr">
        <is>
          <t>pend</t>
        </is>
      </c>
      <c r="M1202" s="2" t="n"/>
      <c r="N1202" s="2" t="n"/>
      <c r="O1202" s="3" t="inlineStr">
        <is>
          <t>https://vanillabonds.com/dossier-data/pdf/fastned/fastned-2025-annual-report.pdf#page=118</t>
        </is>
      </c>
    </row>
    <row r="1203">
      <c r="A1203" s="2" t="inlineStr">
        <is>
          <t>F1202</t>
        </is>
      </c>
      <c r="B1203" s="2" t="inlineStr">
        <is>
          <t>financials</t>
        </is>
      </c>
      <c r="C1203" s="2" t="inlineStr">
        <is>
          <t>total_assets</t>
        </is>
      </c>
      <c r="D1203" s="2" t="inlineStr">
        <is>
          <t>Total assets</t>
        </is>
      </c>
      <c r="E1203" s="2" t="inlineStr">
        <is>
          <t>FY2025</t>
        </is>
      </c>
      <c r="F1203" s="2" t="n">
        <v>501.8</v>
      </c>
      <c r="G1203" s="2" t="inlineStr">
        <is>
          <t>EUR m</t>
        </is>
      </c>
      <c r="H1203" s="2" t="n"/>
      <c r="I1203" s="2" t="inlineStr">
        <is>
          <t>S3</t>
        </is>
      </c>
      <c r="J1203" s="2" t="n">
        <v>118</v>
      </c>
      <c r="K1203" s="2" t="inlineStr">
        <is>
          <t>Total assets 501,764 426,695</t>
        </is>
      </c>
      <c r="L1203" s="2" t="inlineStr">
        <is>
          <t>pend</t>
        </is>
      </c>
      <c r="M1203" s="2" t="n"/>
      <c r="N1203" s="2" t="n"/>
      <c r="O1203" s="3" t="inlineStr">
        <is>
          <t>https://vanillabonds.com/dossier-data/pdf/fastned/fastned-2025-annual-report.pdf#page=118</t>
        </is>
      </c>
    </row>
    <row r="1204">
      <c r="A1204" s="2" t="inlineStr">
        <is>
          <t>F1203</t>
        </is>
      </c>
      <c r="B1204" s="2" t="inlineStr">
        <is>
          <t>debt</t>
        </is>
      </c>
      <c r="C1204" s="2" t="inlineStr">
        <is>
          <t>debt_instrument</t>
        </is>
      </c>
      <c r="D1204" s="2" t="inlineStr">
        <is>
          <t>Debt instrument</t>
        </is>
      </c>
      <c r="E1204" s="2" t="n"/>
      <c r="F1204" s="2" t="n">
        <v>36.6</v>
      </c>
      <c r="G1204" s="2" t="n"/>
      <c r="H1204" s="3" t="inlineStr">
        <is>
          <t>Retail bond, first 2025 issue (January 2025), EUR 36.6m raised; coupon and maturity not in these pages.</t>
        </is>
      </c>
      <c r="I1204" s="2" t="inlineStr">
        <is>
          <t>S3</t>
        </is>
      </c>
      <c r="J1204" s="2" t="n">
        <v>3</v>
      </c>
      <c r="K1204" s="3" t="inlineStr">
        <is>
          <t>Fastned begins its first retail bond issue of the year - eventually raising €36.6m to help fund our rollout.</t>
        </is>
      </c>
      <c r="L1204" s="2" t="inlineStr">
        <is>
          <t>pend</t>
        </is>
      </c>
      <c r="M1204" s="2" t="n"/>
      <c r="N1204" s="2" t="n"/>
      <c r="O1204" s="3" t="inlineStr">
        <is>
          <t>https://vanillabonds.com/dossier-data/pdf/fastned/fastned-2025-annual-report.pdf#page=3</t>
        </is>
      </c>
    </row>
    <row r="1205">
      <c r="A1205" s="2" t="inlineStr">
        <is>
          <t>F1204</t>
        </is>
      </c>
      <c r="B1205" s="2" t="inlineStr">
        <is>
          <t>debt</t>
        </is>
      </c>
      <c r="C1205" s="2" t="inlineStr">
        <is>
          <t>debt_instrument</t>
        </is>
      </c>
      <c r="D1205" s="2" t="inlineStr">
        <is>
          <t>Debt instrument</t>
        </is>
      </c>
      <c r="E1205" s="2" t="n"/>
      <c r="F1205" s="2" t="n">
        <v>34.7</v>
      </c>
      <c r="G1205" s="2" t="n"/>
      <c r="H1205" s="3" t="inlineStr">
        <is>
          <t>Retail bond, second 2025 issue (May 2025), EUR 34.7m raised; coupon and maturity not in these pages.</t>
        </is>
      </c>
      <c r="I1205" s="2" t="inlineStr">
        <is>
          <t>S3</t>
        </is>
      </c>
      <c r="J1205" s="2" t="n">
        <v>3</v>
      </c>
      <c r="K1205" s="3" t="inlineStr">
        <is>
          <t>A second retail bond issue begins, raising €34.7m to support Fastned's rapid scaling.</t>
        </is>
      </c>
      <c r="L1205" s="2" t="inlineStr">
        <is>
          <t>pend</t>
        </is>
      </c>
      <c r="M1205" s="2" t="n"/>
      <c r="N1205" s="2" t="n"/>
      <c r="O1205" s="3" t="inlineStr">
        <is>
          <t>https://vanillabonds.com/dossier-data/pdf/fastned/fastned-2025-annual-report.pdf#page=3</t>
        </is>
      </c>
    </row>
    <row r="1206">
      <c r="A1206" s="2" t="inlineStr">
        <is>
          <t>F1205</t>
        </is>
      </c>
      <c r="B1206" s="2" t="inlineStr">
        <is>
          <t>debt</t>
        </is>
      </c>
      <c r="C1206" s="2" t="inlineStr">
        <is>
          <t>debt_instrument</t>
        </is>
      </c>
      <c r="D1206" s="2" t="inlineStr">
        <is>
          <t>Debt instrument</t>
        </is>
      </c>
      <c r="E1206" s="2" t="n"/>
      <c r="F1206" s="2" t="n">
        <v>39.1</v>
      </c>
      <c r="G1206" s="2" t="n"/>
      <c r="H1206" s="3" t="inlineStr">
        <is>
          <t>Retail bond, third 2025 tranche (November 2025), EUR 39.1m raised, the largest single issue to date; coupon and maturity not in these pages.</t>
        </is>
      </c>
      <c r="I1206" s="2" t="inlineStr">
        <is>
          <t>S3</t>
        </is>
      </c>
      <c r="J1206" s="2" t="n">
        <v>4</v>
      </c>
      <c r="K1206" s="3" t="inlineStr">
        <is>
          <t>A third tranche of bonds raises €39.1m - Fastned's highest ever - for a total of over €110m in bonds in 2025.</t>
        </is>
      </c>
      <c r="L1206" s="2" t="inlineStr">
        <is>
          <t>pend</t>
        </is>
      </c>
      <c r="M1206" s="2" t="n"/>
      <c r="N1206" s="2" t="n"/>
      <c r="O1206" s="3" t="inlineStr">
        <is>
          <t>https://vanillabonds.com/dossier-data/pdf/fastned/fastned-2025-annual-report.pdf#page=4</t>
        </is>
      </c>
    </row>
    <row r="1207">
      <c r="A1207" s="2" t="inlineStr">
        <is>
          <t>F1206</t>
        </is>
      </c>
      <c r="B1207" s="2" t="inlineStr">
        <is>
          <t>debt</t>
        </is>
      </c>
      <c r="C1207" s="2" t="inlineStr">
        <is>
          <t>debt_instrument</t>
        </is>
      </c>
      <c r="D1207" s="2" t="inlineStr">
        <is>
          <t>Debt instrument</t>
        </is>
      </c>
      <c r="E1207" s="2" t="n"/>
      <c r="F1207" s="2" t="n">
        <v>12</v>
      </c>
      <c r="G1207" s="2" t="n"/>
      <c r="H1207" s="3" t="inlineStr">
        <is>
          <t>5.0% unsecured corporate bond maturing 12/12/2026, €12.0m outstanding at end 2025 (2024: €30.4m), unsecured, not subordinated, unlisted</t>
        </is>
      </c>
      <c r="I1207" s="2" t="inlineStr">
        <is>
          <t>S3</t>
        </is>
      </c>
      <c r="J1207" s="2" t="n">
        <v>172</v>
      </c>
      <c r="K1207" s="2" t="inlineStr">
        <is>
          <t>5.0 12/12/26 11,981 30,357</t>
        </is>
      </c>
      <c r="L1207" s="2" t="inlineStr">
        <is>
          <t>pend</t>
        </is>
      </c>
      <c r="M1207" s="2" t="n"/>
      <c r="N1207" s="2" t="n"/>
      <c r="O1207" s="3" t="inlineStr">
        <is>
          <t>https://vanillabonds.com/dossier-data/pdf/fastned/fastned-2025-annual-report.pdf#page=172</t>
        </is>
      </c>
    </row>
    <row r="1208">
      <c r="A1208" s="2" t="inlineStr">
        <is>
          <t>F1207</t>
        </is>
      </c>
      <c r="B1208" s="2" t="inlineStr">
        <is>
          <t>debt</t>
        </is>
      </c>
      <c r="C1208" s="2" t="inlineStr">
        <is>
          <t>debt_instrument</t>
        </is>
      </c>
      <c r="D1208" s="2" t="inlineStr">
        <is>
          <t>Debt instrument</t>
        </is>
      </c>
      <c r="E1208" s="2" t="n"/>
      <c r="F1208" s="2" t="n">
        <v>7.3</v>
      </c>
      <c r="G1208" s="2" t="n"/>
      <c r="H1208" s="3" t="inlineStr">
        <is>
          <t>5.0% unsecured corporate bond maturing 21/06/2027, €7.3m outstanding (2024: €13.2m), unsecured, not subordinated, unlisted</t>
        </is>
      </c>
      <c r="I1208" s="2" t="inlineStr">
        <is>
          <t>S3</t>
        </is>
      </c>
      <c r="J1208" s="2" t="n">
        <v>172</v>
      </c>
      <c r="K1208" s="2" t="inlineStr">
        <is>
          <t>5.0 21/06/27 7,262 13,248</t>
        </is>
      </c>
      <c r="L1208" s="2" t="inlineStr">
        <is>
          <t>pend</t>
        </is>
      </c>
      <c r="M1208" s="2" t="n"/>
      <c r="N1208" s="2" t="n"/>
      <c r="O1208" s="3" t="inlineStr">
        <is>
          <t>https://vanillabonds.com/dossier-data/pdf/fastned/fastned-2025-annual-report.pdf#page=172</t>
        </is>
      </c>
    </row>
    <row r="1209">
      <c r="A1209" s="2" t="inlineStr">
        <is>
          <t>F1208</t>
        </is>
      </c>
      <c r="B1209" s="2" t="inlineStr">
        <is>
          <t>debt</t>
        </is>
      </c>
      <c r="C1209" s="2" t="inlineStr">
        <is>
          <t>debt_instrument</t>
        </is>
      </c>
      <c r="D1209" s="2" t="inlineStr">
        <is>
          <t>Debt instrument</t>
        </is>
      </c>
      <c r="E1209" s="2" t="n"/>
      <c r="F1209" s="2" t="n">
        <v>24.4</v>
      </c>
      <c r="G1209" s="2" t="n"/>
      <c r="H1209" s="3" t="inlineStr">
        <is>
          <t>5.5% unsecured corporate bond maturing 12/06/2028, €24.4m outstanding (2024: €24.4m), unsecured, not subordinated, unlisted</t>
        </is>
      </c>
      <c r="I1209" s="2" t="inlineStr">
        <is>
          <t>S3</t>
        </is>
      </c>
      <c r="J1209" s="2" t="n">
        <v>172</v>
      </c>
      <c r="K1209" s="2" t="inlineStr">
        <is>
          <t>5.5 12/06/28 24,413 24,413</t>
        </is>
      </c>
      <c r="L1209" s="2" t="inlineStr">
        <is>
          <t>pend</t>
        </is>
      </c>
      <c r="M1209" s="2" t="n"/>
      <c r="N1209" s="2" t="n"/>
      <c r="O1209" s="3" t="inlineStr">
        <is>
          <t>https://vanillabonds.com/dossier-data/pdf/fastned/fastned-2025-annual-report.pdf#page=172</t>
        </is>
      </c>
    </row>
    <row r="1210">
      <c r="A1210" s="2" t="inlineStr">
        <is>
          <t>F1209</t>
        </is>
      </c>
      <c r="B1210" s="2" t="inlineStr">
        <is>
          <t>debt</t>
        </is>
      </c>
      <c r="C1210" s="2" t="inlineStr">
        <is>
          <t>debt_instrument</t>
        </is>
      </c>
      <c r="D1210" s="2" t="inlineStr">
        <is>
          <t>Debt instrument</t>
        </is>
      </c>
      <c r="E1210" s="2" t="n"/>
      <c r="F1210" s="2" t="n">
        <v>34.5</v>
      </c>
      <c r="G1210" s="2" t="n"/>
      <c r="H1210" s="3" t="inlineStr">
        <is>
          <t>6.0% unsecured corporate bond maturing 16/10/2028, €34.5m outstanding (2024: €34.5m), unsecured, not subordinated, unlisted</t>
        </is>
      </c>
      <c r="I1210" s="2" t="inlineStr">
        <is>
          <t>S3</t>
        </is>
      </c>
      <c r="J1210" s="2" t="n">
        <v>172</v>
      </c>
      <c r="K1210" s="2" t="inlineStr">
        <is>
          <t>6.0 16/10/28 34,537 34,537</t>
        </is>
      </c>
      <c r="L1210" s="2" t="inlineStr">
        <is>
          <t>pend</t>
        </is>
      </c>
      <c r="M1210" s="2" t="n"/>
      <c r="N1210" s="2" t="n"/>
      <c r="O1210" s="3" t="inlineStr">
        <is>
          <t>https://vanillabonds.com/dossier-data/pdf/fastned/fastned-2025-annual-report.pdf#page=172</t>
        </is>
      </c>
    </row>
    <row r="1211">
      <c r="A1211" s="2" t="inlineStr">
        <is>
          <t>F1210</t>
        </is>
      </c>
      <c r="B1211" s="2" t="inlineStr">
        <is>
          <t>debt</t>
        </is>
      </c>
      <c r="C1211" s="2" t="inlineStr">
        <is>
          <t>debt_instrument</t>
        </is>
      </c>
      <c r="D1211" s="2" t="inlineStr">
        <is>
          <t>Debt instrument</t>
        </is>
      </c>
      <c r="E1211" s="2" t="n"/>
      <c r="F1211" s="2" t="n">
        <v>27.9</v>
      </c>
      <c r="G1211" s="2" t="n"/>
      <c r="H1211" s="3" t="inlineStr">
        <is>
          <t>6.0% unsecured corporate bond maturing 19/02/2029, €27.9m outstanding (2024: €27.9m), unsecured, not subordinated, unlisted (note 15.4 labels it 5.5%)</t>
        </is>
      </c>
      <c r="I1211" s="2" t="inlineStr">
        <is>
          <t>S3</t>
        </is>
      </c>
      <c r="J1211" s="2" t="n">
        <v>172</v>
      </c>
      <c r="K1211" s="2" t="inlineStr">
        <is>
          <t>6.0 19/02/29 27,892 27,892</t>
        </is>
      </c>
      <c r="L1211" s="2" t="inlineStr">
        <is>
          <t>pend</t>
        </is>
      </c>
      <c r="M1211" s="2" t="n"/>
      <c r="N1211" s="2" t="n"/>
      <c r="O1211" s="3" t="inlineStr">
        <is>
          <t>https://vanillabonds.com/dossier-data/pdf/fastned/fastned-2025-annual-report.pdf#page=172</t>
        </is>
      </c>
    </row>
    <row r="1212">
      <c r="A1212" s="2" t="inlineStr">
        <is>
          <t>F1211</t>
        </is>
      </c>
      <c r="B1212" s="2" t="inlineStr">
        <is>
          <t>debt</t>
        </is>
      </c>
      <c r="C1212" s="2" t="inlineStr">
        <is>
          <t>debt_instrument</t>
        </is>
      </c>
      <c r="D1212" s="2" t="inlineStr">
        <is>
          <t>Debt instrument</t>
        </is>
      </c>
      <c r="E1212" s="2" t="n"/>
      <c r="F1212" s="2" t="n">
        <v>33.1</v>
      </c>
      <c r="G1212" s="2" t="n"/>
      <c r="H1212" s="3" t="inlineStr">
        <is>
          <t>6.0% unsecured corporate bond maturing 21/06/2029, €33.1m outstanding (2024: €33.1m), unsecured, not subordinated, unlisted</t>
        </is>
      </c>
      <c r="I1212" s="2" t="inlineStr">
        <is>
          <t>S3</t>
        </is>
      </c>
      <c r="J1212" s="2" t="n">
        <v>172</v>
      </c>
      <c r="K1212" s="2" t="inlineStr">
        <is>
          <t>6.0 21/06/29 33,067 33,068</t>
        </is>
      </c>
      <c r="L1212" s="2" t="inlineStr">
        <is>
          <t>pend</t>
        </is>
      </c>
      <c r="M1212" s="2" t="n"/>
      <c r="N1212" s="2" t="n"/>
      <c r="O1212" s="3" t="inlineStr">
        <is>
          <t>https://vanillabonds.com/dossier-data/pdf/fastned/fastned-2025-annual-report.pdf#page=172</t>
        </is>
      </c>
    </row>
    <row r="1213">
      <c r="A1213" s="2" t="inlineStr">
        <is>
          <t>F1212</t>
        </is>
      </c>
      <c r="B1213" s="2" t="inlineStr">
        <is>
          <t>debt</t>
        </is>
      </c>
      <c r="C1213" s="2" t="inlineStr">
        <is>
          <t>debt_instrument</t>
        </is>
      </c>
      <c r="D1213" s="2" t="inlineStr">
        <is>
          <t>Debt instrument</t>
        </is>
      </c>
      <c r="E1213" s="2" t="n"/>
      <c r="F1213" s="2" t="n">
        <v>22.1</v>
      </c>
      <c r="G1213" s="2" t="n"/>
      <c r="H1213" s="3" t="inlineStr">
        <is>
          <t>6.0% unsecured corporate bond maturing 30/10/2029, €22.1m outstanding (2024: €22.1m), unsecured, not subordinated, unlisted</t>
        </is>
      </c>
      <c r="I1213" s="2" t="inlineStr">
        <is>
          <t>S3</t>
        </is>
      </c>
      <c r="J1213" s="2" t="n">
        <v>172</v>
      </c>
      <c r="K1213" s="2" t="inlineStr">
        <is>
          <t>6.0 30/10/29 22,135 22,136</t>
        </is>
      </c>
      <c r="L1213" s="2" t="inlineStr">
        <is>
          <t>pend</t>
        </is>
      </c>
      <c r="M1213" s="2" t="n"/>
      <c r="N1213" s="2" t="n"/>
      <c r="O1213" s="3" t="inlineStr">
        <is>
          <t>https://vanillabonds.com/dossier-data/pdf/fastned/fastned-2025-annual-report.pdf#page=172</t>
        </is>
      </c>
    </row>
    <row r="1214">
      <c r="A1214" s="2" t="inlineStr">
        <is>
          <t>F1213</t>
        </is>
      </c>
      <c r="B1214" s="2" t="inlineStr">
        <is>
          <t>debt</t>
        </is>
      </c>
      <c r="C1214" s="2" t="inlineStr">
        <is>
          <t>debt_instrument</t>
        </is>
      </c>
      <c r="D1214" s="2" t="inlineStr">
        <is>
          <t>Debt instrument</t>
        </is>
      </c>
      <c r="E1214" s="2" t="n"/>
      <c r="F1214" s="2" t="n">
        <v>36.5</v>
      </c>
      <c r="G1214" s="2" t="n"/>
      <c r="H1214" s="3" t="inlineStr">
        <is>
          <t>6.0% unsecured corporate bond maturing 19/02/2030, €36.5m outstanding, issued February 2025, unsecured, not subordinated, unlisted</t>
        </is>
      </c>
      <c r="I1214" s="2" t="inlineStr">
        <is>
          <t>S3</t>
        </is>
      </c>
      <c r="J1214" s="2" t="n">
        <v>172</v>
      </c>
      <c r="K1214" s="2" t="inlineStr">
        <is>
          <t>6.0 19/02/30 36,528 —</t>
        </is>
      </c>
      <c r="L1214" s="2" t="inlineStr">
        <is>
          <t>pend</t>
        </is>
      </c>
      <c r="M1214" s="2" t="n"/>
      <c r="N1214" s="2" t="n"/>
      <c r="O1214" s="3" t="inlineStr">
        <is>
          <t>https://vanillabonds.com/dossier-data/pdf/fastned/fastned-2025-annual-report.pdf#page=172</t>
        </is>
      </c>
    </row>
    <row r="1215">
      <c r="A1215" s="2" t="inlineStr">
        <is>
          <t>F1214</t>
        </is>
      </c>
      <c r="B1215" s="2" t="inlineStr">
        <is>
          <t>debt</t>
        </is>
      </c>
      <c r="C1215" s="2" t="inlineStr">
        <is>
          <t>debt_instrument</t>
        </is>
      </c>
      <c r="D1215" s="2" t="inlineStr">
        <is>
          <t>Debt instrument</t>
        </is>
      </c>
      <c r="E1215" s="2" t="n"/>
      <c r="F1215" s="2" t="n">
        <v>34.8</v>
      </c>
      <c r="G1215" s="2" t="n"/>
      <c r="H1215" s="3" t="inlineStr">
        <is>
          <t>6.0% unsecured corporate bond maturing 21/06/2030, €34.8m outstanding, issued June 2025, unsecured, not subordinated, unlisted</t>
        </is>
      </c>
      <c r="I1215" s="2" t="inlineStr">
        <is>
          <t>S3</t>
        </is>
      </c>
      <c r="J1215" s="2" t="n">
        <v>172</v>
      </c>
      <c r="K1215" s="2" t="inlineStr">
        <is>
          <t>6.0 21/06/30 34,770 —</t>
        </is>
      </c>
      <c r="L1215" s="2" t="inlineStr">
        <is>
          <t>pend</t>
        </is>
      </c>
      <c r="M1215" s="2" t="n"/>
      <c r="N1215" s="2" t="n"/>
      <c r="O1215" s="3" t="inlineStr">
        <is>
          <t>https://vanillabonds.com/dossier-data/pdf/fastned/fastned-2025-annual-report.pdf#page=172</t>
        </is>
      </c>
    </row>
    <row r="1216">
      <c r="A1216" s="2" t="inlineStr">
        <is>
          <t>F1215</t>
        </is>
      </c>
      <c r="B1216" s="2" t="inlineStr">
        <is>
          <t>debt</t>
        </is>
      </c>
      <c r="C1216" s="2" t="inlineStr">
        <is>
          <t>debt_instrument</t>
        </is>
      </c>
      <c r="D1216" s="2" t="inlineStr">
        <is>
          <t>Debt instrument</t>
        </is>
      </c>
      <c r="E1216" s="2" t="n"/>
      <c r="F1216" s="2" t="n">
        <v>39.1</v>
      </c>
      <c r="G1216" s="2" t="n"/>
      <c r="H1216" s="3" t="inlineStr">
        <is>
          <t>6.0% unsecured corporate bond maturing 30/10/2030, €39.1m outstanding, issued October 2025, unsecured, not subordinated, unlisted</t>
        </is>
      </c>
      <c r="I1216" s="2" t="inlineStr">
        <is>
          <t>S3</t>
        </is>
      </c>
      <c r="J1216" s="2" t="n">
        <v>172</v>
      </c>
      <c r="K1216" s="2" t="inlineStr">
        <is>
          <t>6.0 30/10/30 39,098 —</t>
        </is>
      </c>
      <c r="L1216" s="2" t="inlineStr">
        <is>
          <t>pend</t>
        </is>
      </c>
      <c r="M1216" s="2" t="n"/>
      <c r="N1216" s="2" t="n"/>
      <c r="O1216" s="3" t="inlineStr">
        <is>
          <t>https://vanillabonds.com/dossier-data/pdf/fastned/fastned-2025-annual-report.pdf#page=172</t>
        </is>
      </c>
    </row>
    <row r="1217">
      <c r="A1217" s="2" t="inlineStr">
        <is>
          <t>F1216</t>
        </is>
      </c>
      <c r="B1217" s="2" t="inlineStr">
        <is>
          <t>debt</t>
        </is>
      </c>
      <c r="C1217" s="2" t="inlineStr">
        <is>
          <t>debt_instrument</t>
        </is>
      </c>
      <c r="D1217" s="2" t="inlineStr">
        <is>
          <t>Debt instrument</t>
        </is>
      </c>
      <c r="E1217" s="2" t="n"/>
      <c r="F1217" s="2" t="n">
        <v>2.1</v>
      </c>
      <c r="G1217" s="2" t="n"/>
      <c r="H1217" s="3" t="inlineStr">
        <is>
          <t>4% secured loan from Caisse des Dépôts maturing 01/12/2031, €2.1m outstanding (2024: €2.2m)</t>
        </is>
      </c>
      <c r="I1217" s="2" t="inlineStr">
        <is>
          <t>S3</t>
        </is>
      </c>
      <c r="J1217" s="2" t="n">
        <v>172</v>
      </c>
      <c r="K1217" s="2" t="inlineStr">
        <is>
          <t>4.0 01/12/31 2,138 2,241</t>
        </is>
      </c>
      <c r="L1217" s="2" t="inlineStr">
        <is>
          <t>pend</t>
        </is>
      </c>
      <c r="M1217" s="2" t="n"/>
      <c r="N1217" s="2" t="n"/>
      <c r="O1217" s="3" t="inlineStr">
        <is>
          <t>https://vanillabonds.com/dossier-data/pdf/fastned/fastned-2025-annual-report.pdf#page=172</t>
        </is>
      </c>
    </row>
    <row r="1218">
      <c r="A1218" s="2" t="inlineStr">
        <is>
          <t>F1217</t>
        </is>
      </c>
      <c r="B1218" s="2" t="inlineStr">
        <is>
          <t>debt</t>
        </is>
      </c>
      <c r="C1218" s="2" t="inlineStr">
        <is>
          <t>debt_instrument</t>
        </is>
      </c>
      <c r="D1218" s="2" t="inlineStr">
        <is>
          <t>Debt instrument</t>
        </is>
      </c>
      <c r="E1218" s="2" t="n"/>
      <c r="F1218" s="2" t="n">
        <v>12.6</v>
      </c>
      <c r="G1218" s="2" t="n"/>
      <c r="H1218" s="3" t="inlineStr">
        <is>
          <t>4% secured loan from Caisse des Dépôts maturing 01/12/2032, €12.6m outstanding (2024: €12.1m); fixed interest accrued in the first three years plus variable interest on kWh sold</t>
        </is>
      </c>
      <c r="I1218" s="2" t="inlineStr">
        <is>
          <t>S3</t>
        </is>
      </c>
      <c r="J1218" s="2" t="n">
        <v>172</v>
      </c>
      <c r="K1218" s="2" t="inlineStr">
        <is>
          <t>4.0 01/12/32 12,591 12,139</t>
        </is>
      </c>
      <c r="L1218" s="2" t="inlineStr">
        <is>
          <t>pend</t>
        </is>
      </c>
      <c r="M1218" s="2" t="n"/>
      <c r="N1218" s="2" t="n"/>
      <c r="O1218" s="3" t="inlineStr">
        <is>
          <t>https://vanillabonds.com/dossier-data/pdf/fastned/fastned-2025-annual-report.pdf#page=172</t>
        </is>
      </c>
    </row>
    <row r="1219">
      <c r="A1219" s="2" t="inlineStr">
        <is>
          <t>F1218</t>
        </is>
      </c>
      <c r="B1219" s="2" t="inlineStr">
        <is>
          <t>debt</t>
        </is>
      </c>
      <c r="C1219" s="2" t="inlineStr">
        <is>
          <t>debt_instrument</t>
        </is>
      </c>
      <c r="D1219" s="2" t="inlineStr">
        <is>
          <t>Debt instrument</t>
        </is>
      </c>
      <c r="E1219" s="2" t="n"/>
      <c r="F1219" s="2" t="n">
        <v>8.699999999999999</v>
      </c>
      <c r="G1219" s="2" t="n"/>
      <c r="H1219" s="3" t="inlineStr">
        <is>
          <t>German Regional Tender loan (government grant treated as interest-free loan) maturing 01/12/2031, €8.7m (2024: €4.6m), repaid via €0.15 per kWh remuneration sharing</t>
        </is>
      </c>
      <c r="I1219" s="2" t="inlineStr">
        <is>
          <t>S3</t>
        </is>
      </c>
      <c r="J1219" s="2" t="n">
        <v>172</v>
      </c>
      <c r="K1219" s="3" t="inlineStr">
        <is>
          <t>German Regional Tender loan 01/12/31 8,681 4,610</t>
        </is>
      </c>
      <c r="L1219" s="2" t="inlineStr">
        <is>
          <t>pend</t>
        </is>
      </c>
      <c r="M1219" s="2" t="n"/>
      <c r="N1219" s="2" t="n"/>
      <c r="O1219" s="3" t="inlineStr">
        <is>
          <t>https://vanillabonds.com/dossier-data/pdf/fastned/fastned-2025-annual-report.pdf#page=172</t>
        </is>
      </c>
    </row>
    <row r="1220">
      <c r="A1220" s="2" t="inlineStr">
        <is>
          <t>F1219</t>
        </is>
      </c>
      <c r="B1220" s="2" t="inlineStr">
        <is>
          <t>debt</t>
        </is>
      </c>
      <c r="C1220" s="2" t="inlineStr">
        <is>
          <t>debt_instrument</t>
        </is>
      </c>
      <c r="D1220" s="2" t="inlineStr">
        <is>
          <t>Debt instrument</t>
        </is>
      </c>
      <c r="E1220" s="2" t="n"/>
      <c r="F1220" s="2" t="n"/>
      <c r="G1220" s="2" t="n"/>
      <c r="H1220" s="3" t="inlineStr">
        <is>
          <t>TICO Financing: EUR 100m five-year limited-recourse senior secured term facilities, drawable in EUR and CHF, floating- and fixed-rate tranches at interbank reference rates plus a margin, signed January 2026, secured on the TICO Group.</t>
        </is>
      </c>
      <c r="I1220" s="2" t="inlineStr">
        <is>
          <t>S3</t>
        </is>
      </c>
      <c r="J1220" s="2" t="n">
        <v>195</v>
      </c>
      <c r="K1220" s="3" t="inlineStr">
        <is>
          <t>The five-year term facilities, which can be drawn in EUR and CHF, consist of a mix of floating-rate and fixed-rate tranches with interest based on interbank reference rates plus a margin.</t>
        </is>
      </c>
      <c r="L1220" s="2" t="inlineStr">
        <is>
          <t>pend</t>
        </is>
      </c>
      <c r="M1220" s="2" t="n"/>
      <c r="N1220" s="2" t="n"/>
      <c r="O1220" s="3" t="inlineStr">
        <is>
          <t>https://vanillabonds.com/dossier-data/pdf/fastned/fastned-2025-annual-report.pdf#page=195</t>
        </is>
      </c>
    </row>
    <row r="1221">
      <c r="A1221" s="2" t="inlineStr">
        <is>
          <t>F1220</t>
        </is>
      </c>
      <c r="B1221" s="2" t="inlineStr">
        <is>
          <t>debt</t>
        </is>
      </c>
      <c r="C1221" s="2" t="inlineStr">
        <is>
          <t>debt_instrument</t>
        </is>
      </c>
      <c r="D1221" s="2" t="inlineStr">
        <is>
          <t>Debt instrument</t>
        </is>
      </c>
      <c r="E1221" s="2" t="n"/>
      <c r="F1221" s="2" t="n"/>
      <c r="G1221" s="2" t="n"/>
      <c r="H1221" s="3" t="inlineStr">
        <is>
          <t>Unsecured corporate bonds issued February 2026: EUR 30.1m new money plus EUR 2.3m extended from earlier issues, 6% per annum payable quarterly in arrears; maturity not stated.</t>
        </is>
      </c>
      <c r="I1221" s="2" t="inlineStr">
        <is>
          <t>S3</t>
        </is>
      </c>
      <c r="J1221" s="2" t="n">
        <v>195</v>
      </c>
      <c r="K1221" s="3" t="inlineStr">
        <is>
          <t>Interest on this bond is 6% per annum, payable quarterly in arrears.</t>
        </is>
      </c>
      <c r="L1221" s="2" t="inlineStr">
        <is>
          <t>pend</t>
        </is>
      </c>
      <c r="M1221" s="2" t="n"/>
      <c r="N1221" s="2" t="n"/>
      <c r="O1221" s="3" t="inlineStr">
        <is>
          <t>https://vanillabonds.com/dossier-data/pdf/fastned/fastned-2025-annual-report.pdf#page=195</t>
        </is>
      </c>
    </row>
    <row r="1222">
      <c r="A1222" s="2" t="inlineStr">
        <is>
          <t>F1221</t>
        </is>
      </c>
      <c r="B1222" s="2" t="inlineStr">
        <is>
          <t>debt</t>
        </is>
      </c>
      <c r="C1222" s="2" t="inlineStr">
        <is>
          <t>covenant</t>
        </is>
      </c>
      <c r="D1222" s="2" t="inlineStr">
        <is>
          <t>Financial covenant / restriction</t>
        </is>
      </c>
      <c r="E1222" s="2" t="n"/>
      <c r="F1222" s="2" t="n"/>
      <c r="G1222" s="2" t="n"/>
      <c r="H1222" s="3" t="inlineStr">
        <is>
          <t>The unsecured bonds carry no financial covenants that could require Fastned to repay the loans and no security.</t>
        </is>
      </c>
      <c r="I1222" s="2" t="inlineStr">
        <is>
          <t>S3</t>
        </is>
      </c>
      <c r="J1222" s="2" t="n">
        <v>173</v>
      </c>
      <c r="K1222" s="3" t="inlineStr">
        <is>
          <t>There are no securities for the bonds and there are no covenants applicable that could require Fastned to repay any of the loans.</t>
        </is>
      </c>
      <c r="L1222" s="2" t="inlineStr">
        <is>
          <t>pend</t>
        </is>
      </c>
      <c r="M1222" s="2" t="n"/>
      <c r="N1222" s="2" t="n"/>
      <c r="O1222" s="3" t="inlineStr">
        <is>
          <t>https://vanillabonds.com/dossier-data/pdf/fastned/fastned-2025-annual-report.pdf#page=173</t>
        </is>
      </c>
    </row>
    <row r="1223">
      <c r="A1223" s="2" t="inlineStr">
        <is>
          <t>F1222</t>
        </is>
      </c>
      <c r="B1223" s="2" t="inlineStr">
        <is>
          <t>debt</t>
        </is>
      </c>
      <c r="C1223" s="2" t="inlineStr">
        <is>
          <t>covenant</t>
        </is>
      </c>
      <c r="D1223" s="2" t="inlineStr">
        <is>
          <t>Financial covenant / restriction</t>
        </is>
      </c>
      <c r="E1223" s="2" t="n"/>
      <c r="F1223" s="2" t="n"/>
      <c r="G1223" s="2" t="n"/>
      <c r="H1223" s="3" t="inlineStr">
        <is>
          <t>Bank guarantee facility covenants: Fastned B.V. as borrower must maintain a minimum level of tangible equity and a minimum ratio of tangible equity to total assets; tested quarterly by management; complied at 31 Dec 2025.</t>
        </is>
      </c>
      <c r="I1223" s="2" t="inlineStr">
        <is>
          <t>S3</t>
        </is>
      </c>
      <c r="J1223" s="2" t="n">
        <v>184</v>
      </c>
      <c r="K1223" s="3" t="inlineStr">
        <is>
          <t>The bank guarantee facility is subject to financial covenants that require Fastned B.V., as borrower, to maintain a minimum level of tangible equity</t>
        </is>
      </c>
      <c r="L1223" s="2" t="inlineStr">
        <is>
          <t>pend</t>
        </is>
      </c>
      <c r="M1223" s="2" t="n"/>
      <c r="N1223" s="2" t="n"/>
      <c r="O1223" s="3" t="inlineStr">
        <is>
          <t>https://vanillabonds.com/dossier-data/pdf/fastned/fastned-2025-annual-report.pdf#page=184</t>
        </is>
      </c>
    </row>
    <row r="1224">
      <c r="A1224" s="2" t="inlineStr">
        <is>
          <t>F1223</t>
        </is>
      </c>
      <c r="B1224" s="2" t="inlineStr">
        <is>
          <t>debt</t>
        </is>
      </c>
      <c r="C1224" s="2" t="inlineStr">
        <is>
          <t>covenant</t>
        </is>
      </c>
      <c r="D1224" s="2" t="inlineStr">
        <is>
          <t>Financial covenant / restriction</t>
        </is>
      </c>
      <c r="E1224" s="2" t="n"/>
      <c r="F1224" s="2" t="n"/>
      <c r="G1224" s="2" t="n"/>
      <c r="H1224" s="3" t="inlineStr">
        <is>
          <t>TICO Financing contains financial covenants including leverage and interest cover tests and restrictions on additional indebtedness and distributions; thresholds not disclosed.</t>
        </is>
      </c>
      <c r="I1224" s="2" t="inlineStr">
        <is>
          <t>S3</t>
        </is>
      </c>
      <c r="J1224" s="2" t="n">
        <v>195</v>
      </c>
      <c r="K1224" s="3" t="inlineStr">
        <is>
          <t>contain customary representations, undertakings and financial covenants, including leverage and interest cover tests and restrictions on additional indebtedness and distributions.</t>
        </is>
      </c>
      <c r="L1224" s="2" t="inlineStr">
        <is>
          <t>pend</t>
        </is>
      </c>
      <c r="M1224" s="2" t="n"/>
      <c r="N1224" s="2" t="n"/>
      <c r="O1224" s="3" t="inlineStr">
        <is>
          <t>https://vanillabonds.com/dossier-data/pdf/fastned/fastned-2025-annual-report.pdf#page=195</t>
        </is>
      </c>
    </row>
    <row r="1225">
      <c r="A1225" s="2" t="inlineStr">
        <is>
          <t>F1224</t>
        </is>
      </c>
      <c r="B1225" s="2" t="inlineStr">
        <is>
          <t>risk</t>
        </is>
      </c>
      <c r="C1225" s="2" t="inlineStr">
        <is>
          <t>risk_fact</t>
        </is>
      </c>
      <c r="D1225" s="2" t="inlineStr">
        <is>
          <t>Risk fact</t>
        </is>
      </c>
      <c r="E1225" s="2" t="n"/>
      <c r="F1225" s="2" t="n"/>
      <c r="G1225" s="2" t="n"/>
      <c r="H1225" s="3" t="inlineStr">
        <is>
          <t>Build pace in 2025 remains below the rate required for the 1,000-station target by 2030 (company statement).</t>
        </is>
      </c>
      <c r="I1225" s="2" t="inlineStr">
        <is>
          <t>S3</t>
        </is>
      </c>
      <c r="J1225" s="2" t="n">
        <v>9</v>
      </c>
      <c r="K1225" s="3" t="inlineStr">
        <is>
          <t>While our build pace increased as 2025 progressed, it is still below the rate required to achieve this target</t>
        </is>
      </c>
      <c r="L1225" s="2" t="inlineStr">
        <is>
          <t>pend</t>
        </is>
      </c>
      <c r="M1225" s="2" t="n"/>
      <c r="N1225" s="2" t="n"/>
      <c r="O1225" s="3" t="inlineStr">
        <is>
          <t>https://vanillabonds.com/dossier-data/pdf/fastned/fastned-2025-annual-report.pdf#page=9</t>
        </is>
      </c>
    </row>
    <row r="1226">
      <c r="A1226" s="2" t="inlineStr">
        <is>
          <t>F1225</t>
        </is>
      </c>
      <c r="B1226" s="2" t="inlineStr">
        <is>
          <t>risk</t>
        </is>
      </c>
      <c r="C1226" s="2" t="inlineStr">
        <is>
          <t>risk_fact</t>
        </is>
      </c>
      <c r="D1226" s="2" t="inlineStr">
        <is>
          <t>Risk fact</t>
        </is>
      </c>
      <c r="E1226" s="2" t="n"/>
      <c r="F1226" s="2" t="n"/>
      <c r="G1226" s="2" t="n"/>
      <c r="H1226" s="3" t="inlineStr">
        <is>
          <t>Delays in several markets in 2025 from grid connection queues and planning processes; grid capacity, permitting and site availability named as the primary limits on expansion pace.</t>
        </is>
      </c>
      <c r="I1226" s="2" t="inlineStr">
        <is>
          <t>S3</t>
        </is>
      </c>
      <c r="J1226" s="2" t="n">
        <v>14</v>
      </c>
      <c r="K1226" s="3" t="inlineStr">
        <is>
          <t>In 2025, we experienced delays in several markets due to grid connection queues and planning processes.</t>
        </is>
      </c>
      <c r="L1226" s="2" t="inlineStr">
        <is>
          <t>pend</t>
        </is>
      </c>
      <c r="M1226" s="2" t="n"/>
      <c r="N1226" s="2" t="n"/>
      <c r="O1226" s="3" t="inlineStr">
        <is>
          <t>https://vanillabonds.com/dossier-data/pdf/fastned/fastned-2025-annual-report.pdf#page=14</t>
        </is>
      </c>
    </row>
    <row r="1227">
      <c r="A1227" s="2" t="inlineStr">
        <is>
          <t>F1226</t>
        </is>
      </c>
      <c r="B1227" s="2" t="inlineStr">
        <is>
          <t>risk</t>
        </is>
      </c>
      <c r="C1227" s="2" t="inlineStr">
        <is>
          <t>risk_fact</t>
        </is>
      </c>
      <c r="D1227" s="2" t="inlineStr">
        <is>
          <t>Risk fact</t>
        </is>
      </c>
      <c r="E1227" s="2" t="n"/>
      <c r="F1227" s="2" t="n"/>
      <c r="G1227" s="2" t="n"/>
      <c r="H1227" s="3" t="inlineStr">
        <is>
          <t>Talent: the company names the shortage of highly-skilled EV-charging talent a 'material risk'; staff turnover 12.9% in 2025 (2024: 13%).</t>
        </is>
      </c>
      <c r="I1227" s="2" t="inlineStr">
        <is>
          <t>S3</t>
        </is>
      </c>
      <c r="J1227" s="2" t="n">
        <v>55</v>
      </c>
      <c r="K1227" s="3" t="inlineStr">
        <is>
          <t>Fastned views this topic as a material risk, as there is a shortage of highly-skilled talent with knowledge about highly technical work in the EV charging industry.</t>
        </is>
      </c>
      <c r="L1227" s="2" t="inlineStr">
        <is>
          <t>pend</t>
        </is>
      </c>
      <c r="M1227" s="2" t="n"/>
      <c r="N1227" s="2" t="n"/>
      <c r="O1227" s="3" t="inlineStr">
        <is>
          <t>https://vanillabonds.com/dossier-data/pdf/fastned/fastned-2025-annual-report.pdf#page=55</t>
        </is>
      </c>
    </row>
    <row r="1228">
      <c r="A1228" s="2" t="inlineStr">
        <is>
          <t>F1227</t>
        </is>
      </c>
      <c r="B1228" s="2" t="inlineStr">
        <is>
          <t>risk</t>
        </is>
      </c>
      <c r="C1228" s="2" t="inlineStr">
        <is>
          <t>risk_fact</t>
        </is>
      </c>
      <c r="D1228" s="2" t="inlineStr">
        <is>
          <t>Risk fact</t>
        </is>
      </c>
      <c r="E1228" s="2" t="n"/>
      <c r="F1228" s="2" t="n"/>
      <c r="G1228" s="2" t="n"/>
      <c r="H1228" s="3" t="inlineStr">
        <is>
          <t>Internal control formalisation backlog accumulated during the start-up and scale-up phase; controls to be formalised and evidenced in 2026.</t>
        </is>
      </c>
      <c r="I1228" s="2" t="inlineStr">
        <is>
          <t>S3</t>
        </is>
      </c>
      <c r="J1228" s="2" t="n">
        <v>80</v>
      </c>
      <c r="K1228" s="3" t="inlineStr">
        <is>
          <t>This backlog accumulated during the initial, informal way of working inherent to a start-up and scale-up phase.</t>
        </is>
      </c>
      <c r="L1228" s="2" t="inlineStr">
        <is>
          <t>pend</t>
        </is>
      </c>
      <c r="M1228" s="2" t="n"/>
      <c r="N1228" s="2" t="n"/>
      <c r="O1228" s="3" t="inlineStr">
        <is>
          <t>https://vanillabonds.com/dossier-data/pdf/fastned/fastned-2025-annual-report.pdf#page=80</t>
        </is>
      </c>
    </row>
    <row r="1229">
      <c r="A1229" s="2" t="inlineStr">
        <is>
          <t>F1228</t>
        </is>
      </c>
      <c r="B1229" s="2" t="inlineStr">
        <is>
          <t>risk</t>
        </is>
      </c>
      <c r="C1229" s="2" t="inlineStr">
        <is>
          <t>risk_fact</t>
        </is>
      </c>
      <c r="D1229" s="2" t="inlineStr">
        <is>
          <t>Risk fact</t>
        </is>
      </c>
      <c r="E1229" s="2" t="n"/>
      <c r="F1229" s="2" t="n"/>
      <c r="G1229" s="2" t="n"/>
      <c r="H1229" s="3" t="inlineStr">
        <is>
          <t>Risk Radar 2025 shows a 'widening risk landscape' vs 2024 (management's words): increases in network development, external fraud, physical security, contractual liabilities and third-party risks.</t>
        </is>
      </c>
      <c r="I1229" s="2" t="inlineStr">
        <is>
          <t>S3</t>
        </is>
      </c>
      <c r="J1229" s="2" t="n">
        <v>80</v>
      </c>
      <c r="K1229" s="3" t="inlineStr">
        <is>
          <t>The Risk Radar visualises a widening risk landscape compared to 2024.</t>
        </is>
      </c>
      <c r="L1229" s="2" t="inlineStr">
        <is>
          <t>pend</t>
        </is>
      </c>
      <c r="M1229" s="2" t="n"/>
      <c r="N1229" s="2" t="n"/>
      <c r="O1229" s="3" t="inlineStr">
        <is>
          <t>https://vanillabonds.com/dossier-data/pdf/fastned/fastned-2025-annual-report.pdf#page=80</t>
        </is>
      </c>
    </row>
    <row r="1230">
      <c r="A1230" s="2" t="inlineStr">
        <is>
          <t>F1229</t>
        </is>
      </c>
      <c r="B1230" s="2" t="inlineStr">
        <is>
          <t>risk</t>
        </is>
      </c>
      <c r="C1230" s="2" t="inlineStr">
        <is>
          <t>risk_fact</t>
        </is>
      </c>
      <c r="D1230" s="2" t="inlineStr">
        <is>
          <t>Risk fact</t>
        </is>
      </c>
      <c r="E1230" s="2" t="n"/>
      <c r="F1230" s="2" t="n"/>
      <c r="G1230" s="2" t="n"/>
      <c r="H1230" s="3" t="inlineStr">
        <is>
          <t>Management names securing funding for network expansion and refinancing obligations 'a principal risk'; net growth-capital risk assessed by management as 'low to moderate', up slightly vs 2024.</t>
        </is>
      </c>
      <c r="I1230" s="2" t="inlineStr">
        <is>
          <t>S3</t>
        </is>
      </c>
      <c r="J1230" s="2" t="n">
        <v>81</v>
      </c>
      <c r="K1230" s="3" t="inlineStr">
        <is>
          <t>A principal risk for Fastned remains securing sufficient funding for both network expansion and meeting refinancing obligations.</t>
        </is>
      </c>
      <c r="L1230" s="2" t="inlineStr">
        <is>
          <t>pend</t>
        </is>
      </c>
      <c r="M1230" s="2" t="n"/>
      <c r="N1230" s="2" t="n"/>
      <c r="O1230" s="3" t="inlineStr">
        <is>
          <t>https://vanillabonds.com/dossier-data/pdf/fastned/fastned-2025-annual-report.pdf#page=81</t>
        </is>
      </c>
    </row>
    <row r="1231">
      <c r="A1231" s="2" t="inlineStr">
        <is>
          <t>F1230</t>
        </is>
      </c>
      <c r="B1231" s="2" t="inlineStr">
        <is>
          <t>risk</t>
        </is>
      </c>
      <c r="C1231" s="2" t="inlineStr">
        <is>
          <t>risk_fact</t>
        </is>
      </c>
      <c r="D1231" s="2" t="inlineStr">
        <is>
          <t>Risk fact</t>
        </is>
      </c>
      <c r="E1231" s="2" t="n"/>
      <c r="F1231" s="2" t="n"/>
      <c r="G1231" s="2" t="n"/>
      <c r="H1231" s="3" t="inlineStr">
        <is>
          <t>Market competition: net risk assessed by management as 'moderate' and increasing, citing more crowded tenders, more capital-rich competitors and consolidation.</t>
        </is>
      </c>
      <c r="I1231" s="2" t="inlineStr">
        <is>
          <t>S3</t>
        </is>
      </c>
      <c r="J1231" s="2" t="n">
        <v>81</v>
      </c>
      <c r="K1231" s="3" t="inlineStr">
        <is>
          <t>reflecting more crowded tenders, more capital-rich competitors and further consolidation in parts of the value chain</t>
        </is>
      </c>
      <c r="L1231" s="2" t="inlineStr">
        <is>
          <t>pend</t>
        </is>
      </c>
      <c r="M1231" s="2" t="n"/>
      <c r="N1231" s="2" t="n"/>
      <c r="O1231" s="3" t="inlineStr">
        <is>
          <t>https://vanillabonds.com/dossier-data/pdf/fastned/fastned-2025-annual-report.pdf#page=81</t>
        </is>
      </c>
    </row>
    <row r="1232">
      <c r="A1232" s="2" t="inlineStr">
        <is>
          <t>F1231</t>
        </is>
      </c>
      <c r="B1232" s="2" t="inlineStr">
        <is>
          <t>risk</t>
        </is>
      </c>
      <c r="C1232" s="2" t="inlineStr">
        <is>
          <t>risk_fact</t>
        </is>
      </c>
      <c r="D1232" s="2" t="inlineStr">
        <is>
          <t>Risk fact</t>
        </is>
      </c>
      <c r="E1232" s="2" t="n"/>
      <c r="F1232" s="2" t="n"/>
      <c r="G1232" s="2" t="n"/>
      <c r="H1232" s="3" t="inlineStr">
        <is>
          <t>Network development: grid capacity constraints called one of the biggest challenges in 2025; net risk assessed by management as 'moderate/high' with an increasing trend.</t>
        </is>
      </c>
      <c r="I1232" s="2" t="inlineStr">
        <is>
          <t>S3</t>
        </is>
      </c>
      <c r="J1232" s="2" t="n">
        <v>81</v>
      </c>
      <c r="K1232" s="3" t="inlineStr">
        <is>
          <t>Grid capacity constraints are one of the biggest challenges for Fastned in 2025.</t>
        </is>
      </c>
      <c r="L1232" s="2" t="inlineStr">
        <is>
          <t>pend</t>
        </is>
      </c>
      <c r="M1232" s="2" t="n"/>
      <c r="N1232" s="2" t="n"/>
      <c r="O1232" s="3" t="inlineStr">
        <is>
          <t>https://vanillabonds.com/dossier-data/pdf/fastned/fastned-2025-annual-report.pdf#page=81</t>
        </is>
      </c>
    </row>
    <row r="1233">
      <c r="A1233" s="2" t="inlineStr">
        <is>
          <t>F1232</t>
        </is>
      </c>
      <c r="B1233" s="2" t="inlineStr">
        <is>
          <t>risk</t>
        </is>
      </c>
      <c r="C1233" s="2" t="inlineStr">
        <is>
          <t>risk_fact</t>
        </is>
      </c>
      <c r="D1233" s="2" t="inlineStr">
        <is>
          <t>Risk fact</t>
        </is>
      </c>
      <c r="E1233" s="2" t="n"/>
      <c r="F1233" s="2" t="n"/>
      <c r="G1233" s="2" t="n"/>
      <c r="H1233" s="3" t="inlineStr">
        <is>
          <t>Cost control: increasing grid, construction and maintenance costs in 2025; net risk assessed by management as 'moderate', slightly increased.</t>
        </is>
      </c>
      <c r="I1233" s="2" t="inlineStr">
        <is>
          <t>S3</t>
        </is>
      </c>
      <c r="J1233" s="2" t="n">
        <v>81</v>
      </c>
      <c r="K1233" s="3" t="inlineStr">
        <is>
          <t>We experienced increasing grid, construction and maintenance costs in the past year.</t>
        </is>
      </c>
      <c r="L1233" s="2" t="inlineStr">
        <is>
          <t>pend</t>
        </is>
      </c>
      <c r="M1233" s="2" t="n"/>
      <c r="N1233" s="2" t="n"/>
      <c r="O1233" s="3" t="inlineStr">
        <is>
          <t>https://vanillabonds.com/dossier-data/pdf/fastned/fastned-2025-annual-report.pdf#page=81</t>
        </is>
      </c>
    </row>
    <row r="1234">
      <c r="A1234" s="2" t="inlineStr">
        <is>
          <t>F1233</t>
        </is>
      </c>
      <c r="B1234" s="2" t="inlineStr">
        <is>
          <t>risk</t>
        </is>
      </c>
      <c r="C1234" s="2" t="inlineStr">
        <is>
          <t>risk_fact</t>
        </is>
      </c>
      <c r="D1234" s="2" t="inlineStr">
        <is>
          <t>Risk fact</t>
        </is>
      </c>
      <c r="E1234" s="2" t="n"/>
      <c r="F1234" s="2" t="n"/>
      <c r="G1234" s="2" t="n"/>
      <c r="H1234" s="3" t="inlineStr">
        <is>
          <t>Climate-related risks did not appear as strategic risks in the 2025 assessment; no time horizons of climate hazards identified.</t>
        </is>
      </c>
      <c r="I1234" s="2" t="inlineStr">
        <is>
          <t>S3</t>
        </is>
      </c>
      <c r="J1234" s="2" t="n">
        <v>81</v>
      </c>
      <c r="K1234" s="3" t="inlineStr">
        <is>
          <t>While climate-related risks did not appear as strategic risks in our assessment, we do consider them important</t>
        </is>
      </c>
      <c r="L1234" s="2" t="inlineStr">
        <is>
          <t>pend</t>
        </is>
      </c>
      <c r="M1234" s="2" t="n"/>
      <c r="N1234" s="2" t="n"/>
      <c r="O1234" s="3" t="inlineStr">
        <is>
          <t>https://vanillabonds.com/dossier-data/pdf/fastned/fastned-2025-annual-report.pdf#page=81</t>
        </is>
      </c>
    </row>
    <row r="1235">
      <c r="A1235" s="2" t="inlineStr">
        <is>
          <t>F1234</t>
        </is>
      </c>
      <c r="B1235" s="2" t="inlineStr">
        <is>
          <t>risk</t>
        </is>
      </c>
      <c r="C1235" s="2" t="inlineStr">
        <is>
          <t>risk_fact</t>
        </is>
      </c>
      <c r="D1235" s="2" t="inlineStr">
        <is>
          <t>Risk fact</t>
        </is>
      </c>
      <c r="E1235" s="2" t="n"/>
      <c r="F1235" s="2" t="n"/>
      <c r="G1235" s="2" t="n"/>
      <c r="H1235" s="3" t="inlineStr">
        <is>
          <t>External fraud: increasing charge card fraud and non-payment of invoices by customers across countries in 2025; net risk assessed by management as 'moderate/high'.</t>
        </is>
      </c>
      <c r="I1235" s="2" t="inlineStr">
        <is>
          <t>S3</t>
        </is>
      </c>
      <c r="J1235" s="2" t="n">
        <v>82</v>
      </c>
      <c r="K1235" s="3" t="inlineStr">
        <is>
          <t>In 2025 we experienced increasing charge card fraud and non-payment of invoices by customers across different countries.</t>
        </is>
      </c>
      <c r="L1235" s="2" t="inlineStr">
        <is>
          <t>pend</t>
        </is>
      </c>
      <c r="M1235" s="2" t="n"/>
      <c r="N1235" s="2" t="n"/>
      <c r="O1235" s="3" t="inlineStr">
        <is>
          <t>https://vanillabonds.com/dossier-data/pdf/fastned/fastned-2025-annual-report.pdf#page=82</t>
        </is>
      </c>
    </row>
    <row r="1236">
      <c r="A1236" s="2" t="inlineStr">
        <is>
          <t>F1235</t>
        </is>
      </c>
      <c r="B1236" s="2" t="inlineStr">
        <is>
          <t>risk</t>
        </is>
      </c>
      <c r="C1236" s="2" t="inlineStr">
        <is>
          <t>risk_fact</t>
        </is>
      </c>
      <c r="D1236" s="2" t="inlineStr">
        <is>
          <t>Risk fact</t>
        </is>
      </c>
      <c r="E1236" s="2" t="n"/>
      <c r="F1236" s="2" t="n"/>
      <c r="G1236" s="2" t="n"/>
      <c r="H1236" s="3" t="inlineStr">
        <is>
          <t>Contractual and commercial liabilities: net risk assessed by management as 'moderate/high' and increasing, from new countries, tenders and joint ventures.</t>
        </is>
      </c>
      <c r="I1236" s="2" t="inlineStr">
        <is>
          <t>S3</t>
        </is>
      </c>
      <c r="J1236" s="2" t="n">
        <v>82</v>
      </c>
      <c r="K1236" s="3" t="inlineStr">
        <is>
          <t>The net risk is assessed as moderate/high with an increasing trend versus 2024, primarily due to growing volume and complexity of contracts</t>
        </is>
      </c>
      <c r="L1236" s="2" t="inlineStr">
        <is>
          <t>pend</t>
        </is>
      </c>
      <c r="M1236" s="2" t="n"/>
      <c r="N1236" s="2" t="n"/>
      <c r="O1236" s="3" t="inlineStr">
        <is>
          <t>https://vanillabonds.com/dossier-data/pdf/fastned/fastned-2025-annual-report.pdf#page=82</t>
        </is>
      </c>
    </row>
    <row r="1237">
      <c r="A1237" s="2" t="inlineStr">
        <is>
          <t>F1236</t>
        </is>
      </c>
      <c r="B1237" s="2" t="inlineStr">
        <is>
          <t>risk</t>
        </is>
      </c>
      <c r="C1237" s="2" t="inlineStr">
        <is>
          <t>risk_fact</t>
        </is>
      </c>
      <c r="D1237" s="2" t="inlineStr">
        <is>
          <t>Risk fact</t>
        </is>
      </c>
      <c r="E1237" s="2" t="n"/>
      <c r="F1237" s="2" t="n"/>
      <c r="G1237" s="2" t="n"/>
      <c r="H1237" s="3" t="inlineStr">
        <is>
          <t>Reliance on third-party suppliers and contractors for construction, maintenance and IT; net risk assessed by management as 'moderate', unchanged.</t>
        </is>
      </c>
      <c r="I1237" s="2" t="inlineStr">
        <is>
          <t>S3</t>
        </is>
      </c>
      <c r="J1237" s="2" t="n">
        <v>83</v>
      </c>
      <c r="K1237" s="3" t="inlineStr">
        <is>
          <t>Fastned is reliant on third-party suppliers and contractors for construction, maintenance, IT services and other activities.</t>
        </is>
      </c>
      <c r="L1237" s="2" t="inlineStr">
        <is>
          <t>pend</t>
        </is>
      </c>
      <c r="M1237" s="2" t="n"/>
      <c r="N1237" s="2" t="n"/>
      <c r="O1237" s="3" t="inlineStr">
        <is>
          <t>https://vanillabonds.com/dossier-data/pdf/fastned/fastned-2025-annual-report.pdf#page=83</t>
        </is>
      </c>
    </row>
    <row r="1238">
      <c r="A1238" s="2" t="inlineStr">
        <is>
          <t>F1237</t>
        </is>
      </c>
      <c r="B1238" s="2" t="inlineStr">
        <is>
          <t>risk</t>
        </is>
      </c>
      <c r="C1238" s="2" t="inlineStr">
        <is>
          <t>risk_fact</t>
        </is>
      </c>
      <c r="D1238" s="2" t="inlineStr">
        <is>
          <t>Risk fact</t>
        </is>
      </c>
      <c r="E1238" s="2" t="n"/>
      <c r="F1238" s="2" t="n"/>
      <c r="G1238" s="2" t="n"/>
      <c r="H1238" s="3" t="inlineStr">
        <is>
          <t>Physical security: increasing cable thefts at stations; net risk assessed by management as 'low to moderate', slightly increasing.</t>
        </is>
      </c>
      <c r="I1238" s="2" t="inlineStr">
        <is>
          <t>S3</t>
        </is>
      </c>
      <c r="J1238" s="2" t="n">
        <v>84</v>
      </c>
      <c r="K1238" s="3" t="inlineStr">
        <is>
          <t>Given heightened concerns about attacks on critical infrastructure in Europe, and the increasing cable thefts we experience</t>
        </is>
      </c>
      <c r="L1238" s="2" t="inlineStr">
        <is>
          <t>pend</t>
        </is>
      </c>
      <c r="M1238" s="2" t="n"/>
      <c r="N1238" s="2" t="n"/>
      <c r="O1238" s="3" t="inlineStr">
        <is>
          <t>https://vanillabonds.com/dossier-data/pdf/fastned/fastned-2025-annual-report.pdf#page=84</t>
        </is>
      </c>
    </row>
    <row r="1239">
      <c r="A1239" s="2" t="inlineStr">
        <is>
          <t>F1238</t>
        </is>
      </c>
      <c r="B1239" s="2" t="inlineStr">
        <is>
          <t>risk</t>
        </is>
      </c>
      <c r="C1239" s="2" t="inlineStr">
        <is>
          <t>risk_fact</t>
        </is>
      </c>
      <c r="D1239" s="2" t="inlineStr">
        <is>
          <t>Risk fact</t>
        </is>
      </c>
      <c r="E1239" s="2" t="n"/>
      <c r="F1239" s="2" t="n"/>
      <c r="G1239" s="2" t="n"/>
      <c r="H1239" s="3" t="inlineStr">
        <is>
          <t>Information resilience: net risk assessed by management as 'moderate'; NIS2 applies; ISO 27001 certification to be pursued from 2026.</t>
        </is>
      </c>
      <c r="I1239" s="2" t="inlineStr">
        <is>
          <t>S3</t>
        </is>
      </c>
      <c r="J1239" s="2" t="n">
        <v>84</v>
      </c>
      <c r="K1239" s="3" t="inlineStr">
        <is>
          <t>Fastned plans to pursue ISO27001 certification starting in 2026</t>
        </is>
      </c>
      <c r="L1239" s="2" t="inlineStr">
        <is>
          <t>pend</t>
        </is>
      </c>
      <c r="M1239" s="2" t="n"/>
      <c r="N1239" s="2" t="n"/>
      <c r="O1239" s="3" t="inlineStr">
        <is>
          <t>https://vanillabonds.com/dossier-data/pdf/fastned/fastned-2025-annual-report.pdf#page=84</t>
        </is>
      </c>
    </row>
    <row r="1240">
      <c r="A1240" s="2" t="inlineStr">
        <is>
          <t>F1239</t>
        </is>
      </c>
      <c r="B1240" s="2" t="inlineStr">
        <is>
          <t>risk</t>
        </is>
      </c>
      <c r="C1240" s="2" t="inlineStr">
        <is>
          <t>risk_fact</t>
        </is>
      </c>
      <c r="D1240" s="2" t="inlineStr">
        <is>
          <t>Risk fact</t>
        </is>
      </c>
      <c r="E1240" s="2" t="n"/>
      <c r="F1240" s="2" t="n"/>
      <c r="G1240" s="2" t="n"/>
      <c r="H1240" s="3" t="inlineStr">
        <is>
          <t>Brand: limitations on applying the full brand concept in some tenders; net risk assessed by management as 'moderate'.</t>
        </is>
      </c>
      <c r="I1240" s="2" t="inlineStr">
        <is>
          <t>S3</t>
        </is>
      </c>
      <c r="J1240" s="2" t="n">
        <v>84</v>
      </c>
      <c r="K1240" s="3" t="inlineStr">
        <is>
          <t>primarily driven by competitive pressure and limitations on applying our full brand concept in some tenders</t>
        </is>
      </c>
      <c r="L1240" s="2" t="inlineStr">
        <is>
          <t>pend</t>
        </is>
      </c>
      <c r="M1240" s="2" t="n"/>
      <c r="N1240" s="2" t="n"/>
      <c r="O1240" s="3" t="inlineStr">
        <is>
          <t>https://vanillabonds.com/dossier-data/pdf/fastned/fastned-2025-annual-report.pdf#page=84</t>
        </is>
      </c>
    </row>
    <row r="1241">
      <c r="A1241" s="2" t="inlineStr">
        <is>
          <t>F1240</t>
        </is>
      </c>
      <c r="B1241" s="2" t="inlineStr">
        <is>
          <t>risk</t>
        </is>
      </c>
      <c r="C1241" s="2" t="inlineStr">
        <is>
          <t>risk_fact</t>
        </is>
      </c>
      <c r="D1241" s="2" t="inlineStr">
        <is>
          <t>Risk fact</t>
        </is>
      </c>
      <c r="E1241" s="2" t="n"/>
      <c r="F1241" s="2" t="n"/>
      <c r="G1241" s="2" t="n"/>
      <c r="H1241" s="3" t="inlineStr">
        <is>
          <t>The Management Board states that internal control of key processes 'still has serious deficiencies, such as insufficient segregation of duties and formalization' (Management Board statement 2025).</t>
        </is>
      </c>
      <c r="I1241" s="2" t="inlineStr">
        <is>
          <t>S3</t>
        </is>
      </c>
      <c r="J1241" s="2" t="n">
        <v>111</v>
      </c>
      <c r="K1241" s="3" t="inlineStr">
        <is>
          <t>The Board acknowledges that internal control of key processes still has serious deficiencies, such as insufficient segregation of duties and formalization.</t>
        </is>
      </c>
      <c r="L1241" s="2" t="inlineStr">
        <is>
          <t>pend</t>
        </is>
      </c>
      <c r="M1241" s="2" t="n"/>
      <c r="N1241" s="2" t="n"/>
      <c r="O1241" s="3" t="inlineStr">
        <is>
          <t>https://vanillabonds.com/dossier-data/pdf/fastned/fastned-2025-annual-report.pdf#page=111</t>
        </is>
      </c>
    </row>
    <row r="1242">
      <c r="A1242" s="2" t="inlineStr">
        <is>
          <t>F1241</t>
        </is>
      </c>
      <c r="B1242" s="2" t="inlineStr">
        <is>
          <t>risk</t>
        </is>
      </c>
      <c r="C1242" s="2" t="inlineStr">
        <is>
          <t>risk_fact</t>
        </is>
      </c>
      <c r="D1242" s="2" t="inlineStr">
        <is>
          <t>Risk fact</t>
        </is>
      </c>
      <c r="E1242" s="2" t="n"/>
      <c r="F1242" s="2" t="n"/>
      <c r="G1242" s="2" t="n"/>
      <c r="H1242" s="3" t="inlineStr">
        <is>
          <t>Exchange differences on translating foreign operations were -€2.0m in 2025 (2024: +€1.2m) through OCI; total comprehensive income -€32.2m.</t>
        </is>
      </c>
      <c r="I1242" s="2" t="inlineStr">
        <is>
          <t>S3</t>
        </is>
      </c>
      <c r="J1242" s="2" t="n">
        <v>117</v>
      </c>
      <c r="K1242" s="3" t="inlineStr">
        <is>
          <t>Exchange differences on translating foreign operations 2.2(g) (1,958) 1,196</t>
        </is>
      </c>
      <c r="L1242" s="2" t="inlineStr">
        <is>
          <t>pend</t>
        </is>
      </c>
      <c r="M1242" s="2" t="n"/>
      <c r="N1242" s="2" t="n"/>
      <c r="O1242" s="3" t="inlineStr">
        <is>
          <t>https://vanillabonds.com/dossier-data/pdf/fastned/fastned-2025-annual-report.pdf#page=117</t>
        </is>
      </c>
    </row>
    <row r="1243">
      <c r="A1243" s="2" t="inlineStr">
        <is>
          <t>F1242</t>
        </is>
      </c>
      <c r="B1243" s="2" t="inlineStr">
        <is>
          <t>risk</t>
        </is>
      </c>
      <c r="C1243" s="2" t="inlineStr">
        <is>
          <t>risk_fact</t>
        </is>
      </c>
      <c r="D1243" s="2" t="inlineStr">
        <is>
          <t>Risk fact</t>
        </is>
      </c>
      <c r="E1243" s="2" t="n"/>
      <c r="F1243" s="2" t="n"/>
      <c r="G1243" s="2" t="n"/>
      <c r="H1243" s="3" t="inlineStr">
        <is>
          <t>Going concern: the Group incurs losses funded mainly by borrowings and certificate issuance via FAST; equity €91.9m (2024: €122.7m) and cash €69.9m (2024: €117.4m) at year end.</t>
        </is>
      </c>
      <c r="I1243" s="2" t="inlineStr">
        <is>
          <t>S3</t>
        </is>
      </c>
      <c r="J1243" s="2" t="n">
        <v>122</v>
      </c>
      <c r="K1243" s="3" t="inlineStr">
        <is>
          <t>At balance sheet date this resulted in an equity amounting to €91.9 million (2024: €122.7 million) and a cash level of €69.9 million</t>
        </is>
      </c>
      <c r="L1243" s="2" t="inlineStr">
        <is>
          <t>pend</t>
        </is>
      </c>
      <c r="M1243" s="2" t="n"/>
      <c r="N1243" s="2" t="n"/>
      <c r="O1243" s="3" t="inlineStr">
        <is>
          <t>https://vanillabonds.com/dossier-data/pdf/fastned/fastned-2025-annual-report.pdf#page=122</t>
        </is>
      </c>
    </row>
    <row r="1244">
      <c r="A1244" s="2" t="inlineStr">
        <is>
          <t>F1243</t>
        </is>
      </c>
      <c r="B1244" s="2" t="inlineStr">
        <is>
          <t>risk</t>
        </is>
      </c>
      <c r="C1244" s="2" t="inlineStr">
        <is>
          <t>risk_fact</t>
        </is>
      </c>
      <c r="D1244" s="2" t="inlineStr">
        <is>
          <t>Risk fact</t>
        </is>
      </c>
      <c r="E1244" s="2" t="n"/>
      <c r="F1244" s="2" t="n"/>
      <c r="G1244" s="2" t="n"/>
      <c r="H1244" s="3" t="inlineStr">
        <is>
          <t>Management's liquidity forecasts for the upcoming 18 months show 'adequate funds' for Fastned to continue as a going concern (management's wording).</t>
        </is>
      </c>
      <c r="I1244" s="2" t="inlineStr">
        <is>
          <t>S3</t>
        </is>
      </c>
      <c r="J1244" s="2" t="n">
        <v>122</v>
      </c>
      <c r="K1244" s="3" t="inlineStr">
        <is>
          <t>the liquidity forecasts for the upcoming 18 months show adequate funds available for Fastned to continue as a going concern</t>
        </is>
      </c>
      <c r="L1244" s="2" t="inlineStr">
        <is>
          <t>pend</t>
        </is>
      </c>
      <c r="M1244" s="2" t="n"/>
      <c r="N1244" s="2" t="n"/>
      <c r="O1244" s="3" t="inlineStr">
        <is>
          <t>https://vanillabonds.com/dossier-data/pdf/fastned/fastned-2025-annual-report.pdf#page=122</t>
        </is>
      </c>
    </row>
    <row r="1245">
      <c r="A1245" s="2" t="inlineStr">
        <is>
          <t>F1244</t>
        </is>
      </c>
      <c r="B1245" s="2" t="inlineStr">
        <is>
          <t>risk</t>
        </is>
      </c>
      <c r="C1245" s="2" t="inlineStr">
        <is>
          <t>risk_fact</t>
        </is>
      </c>
      <c r="D1245" s="2" t="inlineStr">
        <is>
          <t>Risk fact</t>
        </is>
      </c>
      <c r="E1245" s="2" t="n"/>
      <c r="F1245" s="2" t="n"/>
      <c r="G1245" s="2" t="n"/>
      <c r="H1245" s="3" t="inlineStr">
        <is>
          <t>RWS concessions expire from 2028 to 2036; for recently opened stations the remaining term is shorter than the asset useful life, a risk of accelerated depreciation; useful lives were kept unchanged at 31 Dec 2025.</t>
        </is>
      </c>
      <c r="I1245" s="2" t="inlineStr">
        <is>
          <t>S3</t>
        </is>
      </c>
      <c r="J1245" s="2" t="n">
        <v>142</v>
      </c>
      <c r="K1245" s="3" t="inlineStr">
        <is>
          <t>These concessions generally have a 15-year duration and are scheduled to expire starting from 2028 up until 2036.</t>
        </is>
      </c>
      <c r="L1245" s="2" t="inlineStr">
        <is>
          <t>pend</t>
        </is>
      </c>
      <c r="M1245" s="2" t="n"/>
      <c r="N1245" s="2" t="n"/>
      <c r="O1245" s="3" t="inlineStr">
        <is>
          <t>https://vanillabonds.com/dossier-data/pdf/fastned/fastned-2025-annual-report.pdf#page=142</t>
        </is>
      </c>
    </row>
    <row r="1246">
      <c r="A1246" s="2" t="inlineStr">
        <is>
          <t>F1245</t>
        </is>
      </c>
      <c r="B1246" s="2" t="inlineStr">
        <is>
          <t>risk</t>
        </is>
      </c>
      <c r="C1246" s="2" t="inlineStr">
        <is>
          <t>risk_fact</t>
        </is>
      </c>
      <c r="D1246" s="2" t="inlineStr">
        <is>
          <t>Risk fact</t>
        </is>
      </c>
      <c r="E1246" s="2" t="n"/>
      <c r="F1246" s="2" t="n"/>
      <c r="G1246" s="2" t="n"/>
      <c r="H1246" s="3" t="inlineStr">
        <is>
          <t>Company estimate of accelerated depreciation if RWS concessions end on schedule: €15m (no sites retained), €9m (37.5% retained), €7m (end dates postponed about 2 years, 37.5% retained), spread over 2027-2039.</t>
        </is>
      </c>
      <c r="I1246" s="2" t="inlineStr">
        <is>
          <t>S3</t>
        </is>
      </c>
      <c r="J1246" s="2" t="n">
        <v>143</v>
      </c>
      <c r="K1246" s="3" t="inlineStr">
        <is>
          <t>If the concessions end on the scheduled date and Fastned does not retain any sites: €15 million accelerated depreciation from 2027 to 2039</t>
        </is>
      </c>
      <c r="L1246" s="2" t="inlineStr">
        <is>
          <t>pend</t>
        </is>
      </c>
      <c r="M1246" s="2" t="n"/>
      <c r="N1246" s="2" t="n"/>
      <c r="O1246" s="3" t="inlineStr">
        <is>
          <t>https://vanillabonds.com/dossier-data/pdf/fastned/fastned-2025-annual-report.pdf#page=143</t>
        </is>
      </c>
    </row>
    <row r="1247">
      <c r="A1247" s="2" t="inlineStr">
        <is>
          <t>F1246</t>
        </is>
      </c>
      <c r="B1247" s="2" t="inlineStr">
        <is>
          <t>risk</t>
        </is>
      </c>
      <c r="C1247" s="2" t="inlineStr">
        <is>
          <t>risk_fact</t>
        </is>
      </c>
      <c r="D1247" s="2" t="inlineStr">
        <is>
          <t>Risk fact</t>
        </is>
      </c>
      <c r="E1247" s="2" t="n"/>
      <c r="F1247" s="2" t="n"/>
      <c r="G1247" s="2" t="n"/>
      <c r="H1247" s="3" t="inlineStr">
        <is>
          <t>German grant conditions: complete construction within contractual deadlines, operate the facilities 12 years (8 + 4), pay €0.15 per kWh supplied up to the subsidy value; failure triggers a pro-rated repayment of the remaining subsidy.</t>
        </is>
      </c>
      <c r="I1247" s="2" t="inlineStr">
        <is>
          <t>S3</t>
        </is>
      </c>
      <c r="J1247" s="2" t="n">
        <v>165</v>
      </c>
      <c r="K1247" s="3" t="inlineStr">
        <is>
          <t>paying €0.15 per kWh of electricity supplied up to the total value of the subsidy received</t>
        </is>
      </c>
      <c r="L1247" s="2" t="inlineStr">
        <is>
          <t>pend</t>
        </is>
      </c>
      <c r="M1247" s="2" t="n"/>
      <c r="N1247" s="2" t="n"/>
      <c r="O1247" s="3" t="inlineStr">
        <is>
          <t>https://vanillabonds.com/dossier-data/pdf/fastned/fastned-2025-annual-report.pdf#page=165</t>
        </is>
      </c>
    </row>
    <row r="1248">
      <c r="A1248" s="2" t="inlineStr">
        <is>
          <t>F1247</t>
        </is>
      </c>
      <c r="B1248" s="2" t="inlineStr">
        <is>
          <t>risk</t>
        </is>
      </c>
      <c r="C1248" s="2" t="inlineStr">
        <is>
          <t>risk_fact</t>
        </is>
      </c>
      <c r="D1248" s="2" t="inlineStr">
        <is>
          <t>Risk fact</t>
        </is>
      </c>
      <c r="E1248" s="2" t="n"/>
      <c r="F1248" s="2" t="n"/>
      <c r="G1248" s="2" t="n"/>
      <c r="H1248" s="3" t="inlineStr">
        <is>
          <t>Impairment sensitivity: a headroom shortfall could exist in the UK CGU if WACC rises 2 percentage points, UK long-term inflation rises 2 points, or there is no BEV growth after 2027; management calls these 'severe downside stress scenarios'.</t>
        </is>
      </c>
      <c r="I1248" s="2" t="inlineStr">
        <is>
          <t>S3</t>
        </is>
      </c>
      <c r="J1248" s="2" t="n">
        <v>167</v>
      </c>
      <c r="K1248" s="3" t="inlineStr">
        <is>
          <t>It was observed that a shortfall in headroom could exist in the United Kingdom CGU once the WACC is increased by 2 percentage points</t>
        </is>
      </c>
      <c r="L1248" s="2" t="inlineStr">
        <is>
          <t>pend</t>
        </is>
      </c>
      <c r="M1248" s="2" t="n"/>
      <c r="N1248" s="2" t="n"/>
      <c r="O1248" s="3" t="inlineStr">
        <is>
          <t>https://vanillabonds.com/dossier-data/pdf/fastned/fastned-2025-annual-report.pdf#page=167</t>
        </is>
      </c>
    </row>
    <row r="1249">
      <c r="A1249" s="2" t="inlineStr">
        <is>
          <t>F1248</t>
        </is>
      </c>
      <c r="B1249" s="2" t="inlineStr">
        <is>
          <t>risk</t>
        </is>
      </c>
      <c r="C1249" s="2" t="inlineStr">
        <is>
          <t>risk_fact</t>
        </is>
      </c>
      <c r="D1249" s="2" t="inlineStr">
        <is>
          <t>Risk fact</t>
        </is>
      </c>
      <c r="E1249" s="2" t="n"/>
      <c r="F1249" s="2" t="n"/>
      <c r="G1249" s="2" t="n"/>
      <c r="H1249" s="3" t="inlineStr">
        <is>
          <t>The majority of electricity is bought on the spot wholesale market; sensitivity on the unhedged balance 2025: +1% price = +€170k cost of sales, +5% = +€847k, +10% = +€1.6m.</t>
        </is>
      </c>
      <c r="I1249" s="2" t="inlineStr">
        <is>
          <t>S3</t>
        </is>
      </c>
      <c r="J1249" s="2" t="n">
        <v>178</v>
      </c>
      <c r="K1249" s="3" t="inlineStr">
        <is>
          <t>Increase in electricity prices of 10% across all countries: €1.6 million increase in cost of sales</t>
        </is>
      </c>
      <c r="L1249" s="2" t="inlineStr">
        <is>
          <t>pend</t>
        </is>
      </c>
      <c r="M1249" s="2" t="n"/>
      <c r="N1249" s="2" t="n"/>
      <c r="O1249" s="3" t="inlineStr">
        <is>
          <t>https://vanillabonds.com/dossier-data/pdf/fastned/fastned-2025-annual-report.pdf#page=178</t>
        </is>
      </c>
    </row>
    <row r="1250">
      <c r="A1250" s="2" t="inlineStr">
        <is>
          <t>F1249</t>
        </is>
      </c>
      <c r="B1250" s="2" t="inlineStr">
        <is>
          <t>risk</t>
        </is>
      </c>
      <c r="C1250" s="2" t="inlineStr">
        <is>
          <t>risk_fact</t>
        </is>
      </c>
      <c r="D1250" s="2" t="inlineStr">
        <is>
          <t>Risk fact</t>
        </is>
      </c>
      <c r="E1250" s="2" t="n"/>
      <c r="F1250" s="2" t="n"/>
      <c r="G1250" s="2" t="n"/>
      <c r="H1250" s="3" t="inlineStr">
        <is>
          <t>Receivables and contract assets from service concession revenue are due from one counterparty, Die Autobahn GmbH des Bundes; no instances of non-payment or default.</t>
        </is>
      </c>
      <c r="I1250" s="2" t="inlineStr">
        <is>
          <t>S3</t>
        </is>
      </c>
      <c r="J1250" s="2" t="n">
        <v>178</v>
      </c>
      <c r="K1250" s="3" t="inlineStr">
        <is>
          <t>Receivables and contract assets arising from service concession revenue consists of amounts receivable from one counterparty only, namely Die Autobahn GmbH des Bundes.</t>
        </is>
      </c>
      <c r="L1250" s="2" t="inlineStr">
        <is>
          <t>pend</t>
        </is>
      </c>
      <c r="M1250" s="2" t="n"/>
      <c r="N1250" s="2" t="n"/>
      <c r="O1250" s="3" t="inlineStr">
        <is>
          <t>https://vanillabonds.com/dossier-data/pdf/fastned/fastned-2025-annual-report.pdf#page=178</t>
        </is>
      </c>
    </row>
    <row r="1251">
      <c r="A1251" s="2" t="inlineStr">
        <is>
          <t>F1250</t>
        </is>
      </c>
      <c r="B1251" s="2" t="inlineStr">
        <is>
          <t>risk</t>
        </is>
      </c>
      <c r="C1251" s="2" t="inlineStr">
        <is>
          <t>risk_fact</t>
        </is>
      </c>
      <c r="D1251" s="2" t="inlineStr">
        <is>
          <t>Risk fact</t>
        </is>
      </c>
      <c r="E1251" s="2" t="n"/>
      <c r="F1251" s="2" t="n"/>
      <c r="G1251" s="2" t="n"/>
      <c r="H1251" s="3" t="inlineStr">
        <is>
          <t>Interest-rate sensitivity on cash balances: +50bp = +€466k profit, -50bp = -€376k (2024: +€22k and -€735k).</t>
        </is>
      </c>
      <c r="I1251" s="2" t="inlineStr">
        <is>
          <t>S3</t>
        </is>
      </c>
      <c r="J1251" s="2" t="n">
        <v>179</v>
      </c>
      <c r="K1251" s="3" t="inlineStr">
        <is>
          <t>Interest rates - increase by 50 basis points 466 22</t>
        </is>
      </c>
      <c r="L1251" s="2" t="inlineStr">
        <is>
          <t>pend</t>
        </is>
      </c>
      <c r="M1251" s="2" t="n"/>
      <c r="N1251" s="2" t="n"/>
      <c r="O1251" s="3" t="inlineStr">
        <is>
          <t>https://vanillabonds.com/dossier-data/pdf/fastned/fastned-2025-annual-report.pdf#page=179</t>
        </is>
      </c>
    </row>
    <row r="1252">
      <c r="A1252" s="2" t="inlineStr">
        <is>
          <t>F1251</t>
        </is>
      </c>
      <c r="B1252" s="2" t="inlineStr">
        <is>
          <t>risk</t>
        </is>
      </c>
      <c r="C1252" s="2" t="inlineStr">
        <is>
          <t>risk_fact</t>
        </is>
      </c>
      <c r="D1252" s="2" t="inlineStr">
        <is>
          <t>Risk fact</t>
        </is>
      </c>
      <c r="E1252" s="2" t="n"/>
      <c r="F1252" s="2" t="n"/>
      <c r="G1252" s="2" t="n"/>
      <c r="H1252" s="3" t="inlineStr">
        <is>
          <t>FX: UK, Swiss and Danish subsidiaries are funded with intercompany loans from Fastned B.V.; a 1% exchange-rate move changes the balance by €886k (2024: €621k).</t>
        </is>
      </c>
      <c r="I1252" s="2" t="inlineStr">
        <is>
          <t>S3</t>
        </is>
      </c>
      <c r="J1252" s="2" t="n">
        <v>179</v>
      </c>
      <c r="K1252" s="3" t="inlineStr">
        <is>
          <t>The balance at 31 December 2025 would change with €886 thousand in case foreign currency exchange rates change with 1% (at 31 December 2024: €621 thousand).</t>
        </is>
      </c>
      <c r="L1252" s="2" t="inlineStr">
        <is>
          <t>pend</t>
        </is>
      </c>
      <c r="M1252" s="2" t="n"/>
      <c r="N1252" s="2" t="n"/>
      <c r="O1252" s="3" t="inlineStr">
        <is>
          <t>https://vanillabonds.com/dossier-data/pdf/fastned/fastned-2025-annual-report.pdf#page=179</t>
        </is>
      </c>
    </row>
    <row r="1253">
      <c r="A1253" s="2" t="inlineStr">
        <is>
          <t>F1252</t>
        </is>
      </c>
      <c r="B1253" s="2" t="inlineStr">
        <is>
          <t>risk</t>
        </is>
      </c>
      <c r="C1253" s="2" t="inlineStr">
        <is>
          <t>risk_fact</t>
        </is>
      </c>
      <c r="D1253" s="2" t="inlineStr">
        <is>
          <t>Risk fact</t>
        </is>
      </c>
      <c r="E1253" s="2" t="n"/>
      <c r="F1253" s="2" t="n"/>
      <c r="G1253" s="2" t="n"/>
      <c r="H1253" s="3" t="inlineStr">
        <is>
          <t>At end 2025 Fastned states it held a 'significant cash surplus' (€69.9m) safeguarding against liquidity risk; a liquidity planning tool monitors shortage of funds.</t>
        </is>
      </c>
      <c r="I1253" s="2" t="inlineStr">
        <is>
          <t>S3</t>
        </is>
      </c>
      <c r="J1253" s="2" t="n">
        <v>179</v>
      </c>
      <c r="K1253" s="3" t="inlineStr">
        <is>
          <t>At the end of the reporting period Fastned held a significant cash surplus safeguarding against liquidity risk.</t>
        </is>
      </c>
      <c r="L1253" s="2" t="inlineStr">
        <is>
          <t>pend</t>
        </is>
      </c>
      <c r="M1253" s="2" t="n"/>
      <c r="N1253" s="2" t="n"/>
      <c r="O1253" s="3" t="inlineStr">
        <is>
          <t>https://vanillabonds.com/dossier-data/pdf/fastned/fastned-2025-annual-report.pdf#page=179</t>
        </is>
      </c>
    </row>
    <row r="1254">
      <c r="A1254" s="2" t="inlineStr">
        <is>
          <t>F1253</t>
        </is>
      </c>
      <c r="B1254" s="2" t="inlineStr">
        <is>
          <t>risk</t>
        </is>
      </c>
      <c r="C1254" s="2" t="inlineStr">
        <is>
          <t>risk_fact</t>
        </is>
      </c>
      <c r="D1254" s="2" t="inlineStr">
        <is>
          <t>Risk fact</t>
        </is>
      </c>
      <c r="E1254" s="2" t="n"/>
      <c r="F1254" s="2" t="n"/>
      <c r="G1254" s="2" t="n"/>
      <c r="H1254" s="3" t="inlineStr">
        <is>
          <t>PPAs could become onerous if power prices fall significantly; assessed annually against third-party electricity cost forecasts; €69.4k of unused PPA electricity was sold on the spot market in 2025.</t>
        </is>
      </c>
      <c r="I1254" s="2" t="inlineStr">
        <is>
          <t>S3</t>
        </is>
      </c>
      <c r="J1254" s="2" t="n">
        <v>180</v>
      </c>
      <c r="K1254" s="3" t="inlineStr">
        <is>
          <t>Based on the long-term nature of a PPA, it could become an onerous contract if power prices decrease significantly.</t>
        </is>
      </c>
      <c r="L1254" s="2" t="inlineStr">
        <is>
          <t>pend</t>
        </is>
      </c>
      <c r="M1254" s="2" t="n"/>
      <c r="N1254" s="2" t="n"/>
      <c r="O1254" s="3" t="inlineStr">
        <is>
          <t>https://vanillabonds.com/dossier-data/pdf/fastned/fastned-2025-annual-report.pdf#page=180</t>
        </is>
      </c>
    </row>
    <row r="1255">
      <c r="A1255" s="2" t="inlineStr">
        <is>
          <t>F1254</t>
        </is>
      </c>
      <c r="B1255" s="2" t="inlineStr">
        <is>
          <t>risk</t>
        </is>
      </c>
      <c r="C1255" s="2" t="inlineStr">
        <is>
          <t>risk_fact</t>
        </is>
      </c>
      <c r="D1255" s="2" t="inlineStr">
        <is>
          <t>Risk fact</t>
        </is>
      </c>
      <c r="E1255" s="2" t="n"/>
      <c r="F1255" s="2" t="n"/>
      <c r="G1255" s="2" t="n"/>
      <c r="H1255" s="3" t="inlineStr">
        <is>
          <t>Refinancing: €282.7m of interest-bearing loans and borrowings fall due in 1-5 years from 31 Dec 2025 (bonds 2027-2030, secured loans 2031-2032); contractual interest on loans €58.8m over the remaining terms.</t>
        </is>
      </c>
      <c r="I1255" s="2" t="inlineStr">
        <is>
          <t>S3</t>
        </is>
      </c>
      <c r="J1255" s="2" t="n">
        <v>181</v>
      </c>
      <c r="K1255" s="3" t="inlineStr">
        <is>
          <t>Interest on interest-bearing loans and borrowings — 3,997 11,990 42,858 58,845</t>
        </is>
      </c>
      <c r="L1255" s="2" t="inlineStr">
        <is>
          <t>pend</t>
        </is>
      </c>
      <c r="M1255" s="2" t="n"/>
      <c r="N1255" s="2" t="n"/>
      <c r="O1255" s="3" t="inlineStr">
        <is>
          <t>https://vanillabonds.com/dossier-data/pdf/fastned/fastned-2025-annual-report.pdf#page=181</t>
        </is>
      </c>
    </row>
    <row r="1256">
      <c r="A1256" s="2" t="inlineStr">
        <is>
          <t>F1255</t>
        </is>
      </c>
      <c r="B1256" s="2" t="inlineStr">
        <is>
          <t>risk</t>
        </is>
      </c>
      <c r="C1256" s="2" t="inlineStr">
        <is>
          <t>risk_fact</t>
        </is>
      </c>
      <c r="D1256" s="2" t="inlineStr">
        <is>
          <t>Risk fact</t>
        </is>
      </c>
      <c r="E1256" s="2" t="n"/>
      <c r="F1256" s="2" t="n"/>
      <c r="G1256" s="2" t="n"/>
      <c r="H1256" s="3" t="inlineStr">
        <is>
          <t>The parent's loan to Fastned UK Ltd (nominal EUR 70.9m, 6.15%, due 31 December 2029) carries a EUR 25.2m provision at 31 December 2025, net EUR 45.7m (2024: EUR 34.4m).</t>
        </is>
      </c>
      <c r="I1256" s="2" t="inlineStr">
        <is>
          <t>S3</t>
        </is>
      </c>
      <c r="J1256" s="2" t="n">
        <v>211</v>
      </c>
      <c r="K1256" s="3" t="inlineStr">
        <is>
          <t>Loan account Fastned UK Ltd 6.15 31.12.2029 70,933 (25,194) 45,738 34,364</t>
        </is>
      </c>
      <c r="L1256" s="2" t="inlineStr">
        <is>
          <t>pend</t>
        </is>
      </c>
      <c r="M1256" s="2" t="n"/>
      <c r="N1256" s="2" t="n"/>
      <c r="O1256" s="3" t="inlineStr">
        <is>
          <t>https://vanillabonds.com/dossier-data/pdf/fastned/fastned-2025-annual-report.pdf#page=211</t>
        </is>
      </c>
    </row>
    <row r="1257">
      <c r="A1257" s="2" t="inlineStr">
        <is>
          <t>F1256</t>
        </is>
      </c>
      <c r="B1257" s="2" t="inlineStr">
        <is>
          <t>risk</t>
        </is>
      </c>
      <c r="C1257" s="2" t="inlineStr">
        <is>
          <t>risk_fact</t>
        </is>
      </c>
      <c r="D1257" s="2" t="inlineStr">
        <is>
          <t>Risk fact</t>
        </is>
      </c>
      <c r="E1257" s="2" t="n"/>
      <c r="F1257" s="2" t="n"/>
      <c r="G1257" s="2" t="n"/>
      <c r="H1257" s="3" t="inlineStr">
        <is>
          <t>Going concern: management's liquidity forecasts for the 18 months after balance sheet date show 'adequate funds' (management, per BDO); BDO concluded 'no material uncertainty' exists for the twelve months after signing on 18 March 2026.</t>
        </is>
      </c>
      <c r="I1257" s="2" t="inlineStr">
        <is>
          <t>S3</t>
        </is>
      </c>
      <c r="J1257" s="2" t="n">
        <v>218</v>
      </c>
      <c r="K1257" s="3" t="inlineStr">
        <is>
          <t>has concluded that the liquidity forecasts for the 18 months after balance sheet date show adequate funds available for Fastned to continue as a going concern.</t>
        </is>
      </c>
      <c r="L1257" s="2" t="inlineStr">
        <is>
          <t>pend</t>
        </is>
      </c>
      <c r="M1257" s="2" t="n"/>
      <c r="N1257" s="2" t="n"/>
      <c r="O1257" s="3" t="inlineStr">
        <is>
          <t>https://vanillabonds.com/dossier-data/pdf/fastned/fastned-2025-annual-report.pdf#page=218</t>
        </is>
      </c>
    </row>
    <row r="1258">
      <c r="A1258" s="2" t="inlineStr">
        <is>
          <t>F1257</t>
        </is>
      </c>
      <c r="B1258" s="2" t="inlineStr">
        <is>
          <t>risk</t>
        </is>
      </c>
      <c r="C1258" s="2" t="inlineStr">
        <is>
          <t>risk_fact</t>
        </is>
      </c>
      <c r="D1258" s="2" t="inlineStr">
        <is>
          <t>Risk fact</t>
        </is>
      </c>
      <c r="E1258" s="2" t="n"/>
      <c r="F1258" s="2" t="n"/>
      <c r="G1258" s="2" t="n"/>
      <c r="H1258" s="3" t="inlineStr">
        <is>
          <t>BDO states the growth strategy 'can only be achieved by raising additional funding': continued access to the capital market for new bond issues, the ability to repay or refinance existing bonds and loans, and compliance with lender conditions including conditions on government grants.</t>
        </is>
      </c>
      <c r="I1258" s="2" t="inlineStr">
        <is>
          <t>S3</t>
        </is>
      </c>
      <c r="J1258" s="2" t="n">
        <v>218</v>
      </c>
      <c r="K1258" s="3" t="inlineStr">
        <is>
          <t>Fastned is aiming to pursue their growth strategy and this can only be achieved by raising additional funding.</t>
        </is>
      </c>
      <c r="L1258" s="2" t="inlineStr">
        <is>
          <t>pend</t>
        </is>
      </c>
      <c r="M1258" s="2" t="n"/>
      <c r="N1258" s="2" t="n"/>
      <c r="O1258" s="3" t="inlineStr">
        <is>
          <t>https://vanillabonds.com/dossier-data/pdf/fastned/fastned-2025-annual-report.pdf#page=218</t>
        </is>
      </c>
    </row>
    <row r="1259">
      <c r="A1259" s="2" t="inlineStr">
        <is>
          <t>F1258</t>
        </is>
      </c>
      <c r="B1259" s="2" t="inlineStr">
        <is>
          <t>risk</t>
        </is>
      </c>
      <c r="C1259" s="2" t="inlineStr">
        <is>
          <t>risk_fact</t>
        </is>
      </c>
      <c r="D1259" s="2" t="inlineStr">
        <is>
          <t>Risk fact</t>
        </is>
      </c>
      <c r="E1259" s="2" t="n"/>
      <c r="F1259" s="2" t="n"/>
      <c r="G1259" s="2" t="n"/>
      <c r="H1259" s="3" t="inlineStr">
        <is>
          <t>Cash-flow forecasts depend on management estimates the auditor calls 'uncertain': future kWh volume sold, EV-sector growth and BEV penetration in Fastned's countries, and projected investments in stations.</t>
        </is>
      </c>
      <c r="I1259" s="2" t="inlineStr">
        <is>
          <t>S3</t>
        </is>
      </c>
      <c r="J1259" s="2" t="n">
        <v>218</v>
      </c>
      <c r="K1259" s="3" t="inlineStr">
        <is>
          <t>These expectations and estimates are uncertain and e.g. include (i) the future volume of electricity (KWh) sold, (ii) growth of the EV-sector and Battery Electric Vehicles (‘BEV’) penetration</t>
        </is>
      </c>
      <c r="L1259" s="2" t="inlineStr">
        <is>
          <t>pend</t>
        </is>
      </c>
      <c r="M1259" s="2" t="n"/>
      <c r="N1259" s="2" t="n"/>
      <c r="O1259" s="3" t="inlineStr">
        <is>
          <t>https://vanillabonds.com/dossier-data/pdf/fastned/fastned-2025-annual-report.pdf#page=218</t>
        </is>
      </c>
    </row>
    <row r="1260">
      <c r="A1260" s="2" t="inlineStr">
        <is>
          <t>F1259</t>
        </is>
      </c>
      <c r="B1260" s="2" t="inlineStr">
        <is>
          <t>risk</t>
        </is>
      </c>
      <c r="C1260" s="2" t="inlineStr">
        <is>
          <t>risk_fact</t>
        </is>
      </c>
      <c r="D1260" s="2" t="inlineStr">
        <is>
          <t>Risk fact</t>
        </is>
      </c>
      <c r="E1260" s="2" t="n"/>
      <c r="F1260" s="2" t="n"/>
      <c r="G1260" s="2" t="n"/>
      <c r="H1260" s="3" t="inlineStr">
        <is>
          <t>BDO's going-concern work covered the ability to repay or refinance existing bonds and other loans within twelve months of signing, proceeds from the green loan facility entered into in 2026 and compliance with lender conditions.</t>
        </is>
      </c>
      <c r="I1260" s="2" t="inlineStr">
        <is>
          <t>S3</t>
        </is>
      </c>
      <c r="J1260" s="2" t="n">
        <v>219</v>
      </c>
      <c r="K1260" s="3" t="inlineStr">
        <is>
          <t>proceeds from the green loan facility entered into in 2026 and its ability to repay or refinance existing bonds and other loans in the period of twelve months from the date of signing</t>
        </is>
      </c>
      <c r="L1260" s="2" t="inlineStr">
        <is>
          <t>pend</t>
        </is>
      </c>
      <c r="M1260" s="2" t="n"/>
      <c r="N1260" s="2" t="n"/>
      <c r="O1260" s="3" t="inlineStr">
        <is>
          <t>https://vanillabonds.com/dossier-data/pdf/fastned/fastned-2025-annual-report.pdf#page=219</t>
        </is>
      </c>
    </row>
    <row r="1261">
      <c r="A1261" s="2" t="inlineStr">
        <is>
          <t>F1260</t>
        </is>
      </c>
      <c r="B1261" s="2" t="inlineStr">
        <is>
          <t>risk</t>
        </is>
      </c>
      <c r="C1261" s="2" t="inlineStr">
        <is>
          <t>risk_fact</t>
        </is>
      </c>
      <c r="D1261" s="2" t="inlineStr">
        <is>
          <t>Risk fact</t>
        </is>
      </c>
      <c r="E1261" s="2" t="n"/>
      <c r="F1261" s="2" t="n"/>
      <c r="G1261" s="2" t="n"/>
      <c r="H1261" s="3" t="inlineStr">
        <is>
          <t>A significant portion of the Dutch network operates under concessions granted in 2013 with a 15-year duration, expiring from 2028 to 2036; for recently opened stations the remaining concession term is shorter than the technical useful life of the assets.</t>
        </is>
      </c>
      <c r="I1261" s="2" t="inlineStr">
        <is>
          <t>S3</t>
        </is>
      </c>
      <c r="J1261" s="2" t="n">
        <v>225</v>
      </c>
      <c r="K1261" s="3" t="inlineStr">
        <is>
          <t>These concessions generally have a 15-year duration and are scheduled to expire starting from 2028 up until 2036.</t>
        </is>
      </c>
      <c r="L1261" s="2" t="inlineStr">
        <is>
          <t>pend</t>
        </is>
      </c>
      <c r="M1261" s="2" t="n"/>
      <c r="N1261" s="2" t="n"/>
      <c r="O1261" s="3" t="inlineStr">
        <is>
          <t>https://vanillabonds.com/dossier-data/pdf/fastned/fastned-2025-annual-report.pdf#page=225</t>
        </is>
      </c>
    </row>
    <row r="1262">
      <c r="A1262" s="2" t="inlineStr">
        <is>
          <t>F1261</t>
        </is>
      </c>
      <c r="B1262" s="2" t="inlineStr">
        <is>
          <t>risk</t>
        </is>
      </c>
      <c r="C1262" s="2" t="inlineStr">
        <is>
          <t>risk_fact</t>
        </is>
      </c>
      <c r="D1262" s="2" t="inlineStr">
        <is>
          <t>Risk fact</t>
        </is>
      </c>
      <c r="E1262" s="2" t="n"/>
      <c r="F1262" s="2" t="n"/>
      <c r="G1262" s="2" t="n"/>
      <c r="H1262" s="3" t="inlineStr">
        <is>
          <t>Company-stated factors that could cause results to differ: BEV adoption in the Netherlands and other countries, brand, innovation, investment choices, supply chain, electricity cost, IT, financial, regulatory, tax and legal matters.</t>
        </is>
      </c>
      <c r="I1262" s="2" t="inlineStr">
        <is>
          <t>S3</t>
        </is>
      </c>
      <c r="J1262" s="2" t="n">
        <v>232</v>
      </c>
      <c r="K1262" s="3" t="inlineStr">
        <is>
          <t>the material or principal factors which could cause actual results to differ materially are: the adoption of BEVs in the Netherlands and other countries</t>
        </is>
      </c>
      <c r="L1262" s="2" t="inlineStr">
        <is>
          <t>pend</t>
        </is>
      </c>
      <c r="M1262" s="2" t="n"/>
      <c r="N1262" s="2" t="n"/>
      <c r="O1262" s="3" t="inlineStr">
        <is>
          <t>https://vanillabonds.com/dossier-data/pdf/fastned/fastned-2025-annual-report.pdf#page=232</t>
        </is>
      </c>
    </row>
    <row r="1263">
      <c r="A1263" s="2" t="inlineStr">
        <is>
          <t>F1262</t>
        </is>
      </c>
      <c r="B1263" s="2" t="inlineStr">
        <is>
          <t>management</t>
        </is>
      </c>
      <c r="C1263" s="2" t="inlineStr">
        <is>
          <t>mgmt_person</t>
        </is>
      </c>
      <c r="D1263" s="3" t="inlineStr">
        <is>
          <t>Executive: name, role, since, prior roles (register / report)</t>
        </is>
      </c>
      <c r="E1263" s="2" t="n"/>
      <c r="F1263" s="2" t="n"/>
      <c r="G1263" s="2" t="n"/>
      <c r="H1263" s="3" t="inlineStr">
        <is>
          <t>Michiel Langezaal, Co-Founder and CEO; elected President of ChargeUp Europe in early 2025.</t>
        </is>
      </c>
      <c r="I1263" s="2" t="inlineStr">
        <is>
          <t>S3</t>
        </is>
      </c>
      <c r="J1263" s="2" t="n">
        <v>18</v>
      </c>
      <c r="K1263" s="3" t="inlineStr">
        <is>
          <t>In early 2025, Fastned co-founder and CEO Michiel Langezaal was elected President of ChargeUp Europe, the industry body for the charging sector.</t>
        </is>
      </c>
      <c r="L1263" s="2" t="inlineStr">
        <is>
          <t>pend</t>
        </is>
      </c>
      <c r="M1263" s="2" t="n"/>
      <c r="N1263" s="2" t="n"/>
      <c r="O1263" s="3" t="inlineStr">
        <is>
          <t>https://vanillabonds.com/dossier-data/pdf/fastned/fastned-2025-annual-report.pdf#page=18</t>
        </is>
      </c>
    </row>
    <row r="1264">
      <c r="A1264" s="2" t="inlineStr">
        <is>
          <t>F1263</t>
        </is>
      </c>
      <c r="B1264" s="2" t="inlineStr">
        <is>
          <t>management</t>
        </is>
      </c>
      <c r="C1264" s="2" t="inlineStr">
        <is>
          <t>mgmt_person</t>
        </is>
      </c>
      <c r="D1264" s="3" t="inlineStr">
        <is>
          <t>Executive: name, role, since, prior roles (register / report)</t>
        </is>
      </c>
      <c r="E1264" s="2" t="n"/>
      <c r="F1264" s="2" t="n"/>
      <c r="G1264" s="2" t="n"/>
      <c r="H1264" s="3" t="inlineStr">
        <is>
          <t>Matt Ersin, Director of Government and Public Affairs; elected first Chair of the Green Industrial Grids Association (GIGA) in 2025.</t>
        </is>
      </c>
      <c r="I1264" s="2" t="inlineStr">
        <is>
          <t>S3</t>
        </is>
      </c>
      <c r="J1264" s="2" t="n">
        <v>18</v>
      </c>
      <c r="K1264" s="3" t="inlineStr">
        <is>
          <t>with Fastned's Director of Government and Public Affairs, Matt Ersin, elected the organisation's first Chair.</t>
        </is>
      </c>
      <c r="L1264" s="2" t="inlineStr">
        <is>
          <t>pend</t>
        </is>
      </c>
      <c r="M1264" s="2" t="n"/>
      <c r="N1264" s="2" t="n"/>
      <c r="O1264" s="3" t="inlineStr">
        <is>
          <t>https://vanillabonds.com/dossier-data/pdf/fastned/fastned-2025-annual-report.pdf#page=18</t>
        </is>
      </c>
    </row>
    <row r="1265">
      <c r="A1265" s="2" t="inlineStr">
        <is>
          <t>F1264</t>
        </is>
      </c>
      <c r="B1265" s="2" t="inlineStr">
        <is>
          <t>management</t>
        </is>
      </c>
      <c r="C1265" s="2" t="inlineStr">
        <is>
          <t>mgmt_person</t>
        </is>
      </c>
      <c r="D1265" s="3" t="inlineStr">
        <is>
          <t>Executive: name, role, since, prior roles (register / report)</t>
        </is>
      </c>
      <c r="E1265" s="2" t="n"/>
      <c r="F1265" s="2" t="n"/>
      <c r="G1265" s="2" t="n"/>
      <c r="H1265" s="3" t="inlineStr">
        <is>
          <t>Martijn Repko, Country Director Netherlands (as of the 2025 annual report).</t>
        </is>
      </c>
      <c r="I1265" s="2" t="inlineStr">
        <is>
          <t>S3</t>
        </is>
      </c>
      <c r="J1265" s="2" t="n">
        <v>23</v>
      </c>
      <c r="K1265" s="3" t="inlineStr">
        <is>
          <t>Netherlands Country Director MARTIJN REPKO</t>
        </is>
      </c>
      <c r="L1265" s="2" t="inlineStr">
        <is>
          <t>pend</t>
        </is>
      </c>
      <c r="M1265" s="2" t="n"/>
      <c r="N1265" s="2" t="n"/>
      <c r="O1265" s="3" t="inlineStr">
        <is>
          <t>https://vanillabonds.com/dossier-data/pdf/fastned/fastned-2025-annual-report.pdf#page=23</t>
        </is>
      </c>
    </row>
    <row r="1266">
      <c r="A1266" s="2" t="inlineStr">
        <is>
          <t>F1265</t>
        </is>
      </c>
      <c r="B1266" s="2" t="inlineStr">
        <is>
          <t>management</t>
        </is>
      </c>
      <c r="C1266" s="2" t="inlineStr">
        <is>
          <t>mgmt_person</t>
        </is>
      </c>
      <c r="D1266" s="3" t="inlineStr">
        <is>
          <t>Executive: name, role, since, prior roles (register / report)</t>
        </is>
      </c>
      <c r="E1266" s="2" t="n"/>
      <c r="F1266" s="2" t="n"/>
      <c r="G1266" s="2" t="n"/>
      <c r="H1266" s="3" t="inlineStr">
        <is>
          <t>Pierre Courgeon, Country Director France (as of the 2025 annual report).</t>
        </is>
      </c>
      <c r="I1266" s="2" t="inlineStr">
        <is>
          <t>S3</t>
        </is>
      </c>
      <c r="J1266" s="2" t="n">
        <v>24</v>
      </c>
      <c r="K1266" s="2" t="inlineStr">
        <is>
          <t>France Country Director PIERRE COURGEON</t>
        </is>
      </c>
      <c r="L1266" s="2" t="inlineStr">
        <is>
          <t>pend</t>
        </is>
      </c>
      <c r="M1266" s="2" t="n"/>
      <c r="N1266" s="2" t="n"/>
      <c r="O1266" s="3" t="inlineStr">
        <is>
          <t>https://vanillabonds.com/dossier-data/pdf/fastned/fastned-2025-annual-report.pdf#page=24</t>
        </is>
      </c>
    </row>
    <row r="1267">
      <c r="A1267" s="2" t="inlineStr">
        <is>
          <t>F1266</t>
        </is>
      </c>
      <c r="B1267" s="2" t="inlineStr">
        <is>
          <t>management</t>
        </is>
      </c>
      <c r="C1267" s="2" t="inlineStr">
        <is>
          <t>mgmt_person</t>
        </is>
      </c>
      <c r="D1267" s="3" t="inlineStr">
        <is>
          <t>Executive: name, role, since, prior roles (register / report)</t>
        </is>
      </c>
      <c r="E1267" s="2" t="n"/>
      <c r="F1267" s="2" t="n"/>
      <c r="G1267" s="2" t="n"/>
      <c r="H1267" s="3" t="inlineStr">
        <is>
          <t>Linda Boll, Country Director Germany (as of the 2025 annual report).</t>
        </is>
      </c>
      <c r="I1267" s="2" t="inlineStr">
        <is>
          <t>S3</t>
        </is>
      </c>
      <c r="J1267" s="2" t="n">
        <v>25</v>
      </c>
      <c r="K1267" s="2" t="inlineStr">
        <is>
          <t>Germany Country Director LINDA BOLL</t>
        </is>
      </c>
      <c r="L1267" s="2" t="inlineStr">
        <is>
          <t>pend</t>
        </is>
      </c>
      <c r="M1267" s="2" t="n"/>
      <c r="N1267" s="2" t="n"/>
      <c r="O1267" s="3" t="inlineStr">
        <is>
          <t>https://vanillabonds.com/dossier-data/pdf/fastned/fastned-2025-annual-report.pdf#page=25</t>
        </is>
      </c>
    </row>
    <row r="1268">
      <c r="A1268" s="2" t="inlineStr">
        <is>
          <t>F1267</t>
        </is>
      </c>
      <c r="B1268" s="2" t="inlineStr">
        <is>
          <t>management</t>
        </is>
      </c>
      <c r="C1268" s="2" t="inlineStr">
        <is>
          <t>mgmt_person</t>
        </is>
      </c>
      <c r="D1268" s="3" t="inlineStr">
        <is>
          <t>Executive: name, role, since, prior roles (register / report)</t>
        </is>
      </c>
      <c r="E1268" s="2" t="n"/>
      <c r="F1268" s="2" t="n"/>
      <c r="G1268" s="2" t="n"/>
      <c r="H1268" s="3" t="inlineStr">
        <is>
          <t>Matthias Pletinckx, Country Director Belgium (as of the 2025 annual report).</t>
        </is>
      </c>
      <c r="I1268" s="2" t="inlineStr">
        <is>
          <t>S3</t>
        </is>
      </c>
      <c r="J1268" s="2" t="n">
        <v>26</v>
      </c>
      <c r="K1268" s="3" t="inlineStr">
        <is>
          <t>Belgium Country Director MATTHIAS PLETINCKX</t>
        </is>
      </c>
      <c r="L1268" s="2" t="inlineStr">
        <is>
          <t>pend</t>
        </is>
      </c>
      <c r="M1268" s="2" t="n"/>
      <c r="N1268" s="2" t="n"/>
      <c r="O1268" s="3" t="inlineStr">
        <is>
          <t>https://vanillabonds.com/dossier-data/pdf/fastned/fastned-2025-annual-report.pdf#page=26</t>
        </is>
      </c>
    </row>
    <row r="1269">
      <c r="A1269" s="2" t="inlineStr">
        <is>
          <t>F1268</t>
        </is>
      </c>
      <c r="B1269" s="2" t="inlineStr">
        <is>
          <t>management</t>
        </is>
      </c>
      <c r="C1269" s="2" t="inlineStr">
        <is>
          <t>mgmt_person</t>
        </is>
      </c>
      <c r="D1269" s="3" t="inlineStr">
        <is>
          <t>Executive: name, role, since, prior roles (register / report)</t>
        </is>
      </c>
      <c r="E1269" s="2" t="n"/>
      <c r="F1269" s="2" t="n"/>
      <c r="G1269" s="2" t="n"/>
      <c r="H1269" s="3" t="inlineStr">
        <is>
          <t>Tom Hurst, Country Director United Kingdom (as of the 2025 annual report).</t>
        </is>
      </c>
      <c r="I1269" s="2" t="inlineStr">
        <is>
          <t>S3</t>
        </is>
      </c>
      <c r="J1269" s="2" t="n">
        <v>27</v>
      </c>
      <c r="K1269" s="3" t="inlineStr">
        <is>
          <t>United Kingdom Country Director TOM HURST</t>
        </is>
      </c>
      <c r="L1269" s="2" t="inlineStr">
        <is>
          <t>pend</t>
        </is>
      </c>
      <c r="M1269" s="2" t="n"/>
      <c r="N1269" s="2" t="n"/>
      <c r="O1269" s="3" t="inlineStr">
        <is>
          <t>https://vanillabonds.com/dossier-data/pdf/fastned/fastned-2025-annual-report.pdf#page=27</t>
        </is>
      </c>
    </row>
    <row r="1270">
      <c r="A1270" s="2" t="inlineStr">
        <is>
          <t>F1269</t>
        </is>
      </c>
      <c r="B1270" s="2" t="inlineStr">
        <is>
          <t>management</t>
        </is>
      </c>
      <c r="C1270" s="2" t="inlineStr">
        <is>
          <t>mgmt_person</t>
        </is>
      </c>
      <c r="D1270" s="3" t="inlineStr">
        <is>
          <t>Executive: name, role, since, prior roles (register / report)</t>
        </is>
      </c>
      <c r="E1270" s="2" t="n"/>
      <c r="F1270" s="2" t="n"/>
      <c r="G1270" s="2" t="n"/>
      <c r="H1270" s="3" t="inlineStr">
        <is>
          <t>Christine Zingg-Graf, Country Director Switzerland (as of the 2025 annual report).</t>
        </is>
      </c>
      <c r="I1270" s="2" t="inlineStr">
        <is>
          <t>S3</t>
        </is>
      </c>
      <c r="J1270" s="2" t="n">
        <v>28</v>
      </c>
      <c r="K1270" s="3" t="inlineStr">
        <is>
          <t>Switzerland Country Director CHRISTINE ZINGG-GRAF</t>
        </is>
      </c>
      <c r="L1270" s="2" t="inlineStr">
        <is>
          <t>pend</t>
        </is>
      </c>
      <c r="M1270" s="2" t="n"/>
      <c r="N1270" s="2" t="n"/>
      <c r="O1270" s="3" t="inlineStr">
        <is>
          <t>https://vanillabonds.com/dossier-data/pdf/fastned/fastned-2025-annual-report.pdf#page=28</t>
        </is>
      </c>
    </row>
    <row r="1271">
      <c r="A1271" s="2" t="inlineStr">
        <is>
          <t>F1270</t>
        </is>
      </c>
      <c r="B1271" s="2" t="inlineStr">
        <is>
          <t>management</t>
        </is>
      </c>
      <c r="C1271" s="2" t="inlineStr">
        <is>
          <t>mgmt_person</t>
        </is>
      </c>
      <c r="D1271" s="3" t="inlineStr">
        <is>
          <t>Executive: name, role, since, prior roles (register / report)</t>
        </is>
      </c>
      <c r="E1271" s="2" t="n"/>
      <c r="F1271" s="2" t="n"/>
      <c r="G1271" s="2" t="n"/>
      <c r="H1271" s="3" t="inlineStr">
        <is>
          <t>Jesper Krüger Søndergaard, Country Head Denmark (as of the 2025 annual report).</t>
        </is>
      </c>
      <c r="I1271" s="2" t="inlineStr">
        <is>
          <t>S3</t>
        </is>
      </c>
      <c r="J1271" s="2" t="n">
        <v>29</v>
      </c>
      <c r="K1271" s="3" t="inlineStr">
        <is>
          <t>Denmark Country Head JESPER KRÜGER SØNDERGAARD</t>
        </is>
      </c>
      <c r="L1271" s="2" t="inlineStr">
        <is>
          <t>pend</t>
        </is>
      </c>
      <c r="M1271" s="2" t="n"/>
      <c r="N1271" s="2" t="n"/>
      <c r="O1271" s="3" t="inlineStr">
        <is>
          <t>https://vanillabonds.com/dossier-data/pdf/fastned/fastned-2025-annual-report.pdf#page=29</t>
        </is>
      </c>
    </row>
    <row r="1272">
      <c r="A1272" s="2" t="inlineStr">
        <is>
          <t>F1271</t>
        </is>
      </c>
      <c r="B1272" s="2" t="inlineStr">
        <is>
          <t>management</t>
        </is>
      </c>
      <c r="C1272" s="2" t="inlineStr">
        <is>
          <t>mgmt_person</t>
        </is>
      </c>
      <c r="D1272" s="3" t="inlineStr">
        <is>
          <t>Executive: name, role, since, prior roles (register / report)</t>
        </is>
      </c>
      <c r="E1272" s="2" t="n"/>
      <c r="F1272" s="2" t="n"/>
      <c r="G1272" s="2" t="n"/>
      <c r="H1272" s="3" t="inlineStr">
        <is>
          <t>Inma Cima, Country Head Spain (as of the 2025 annual report).</t>
        </is>
      </c>
      <c r="I1272" s="2" t="inlineStr">
        <is>
          <t>S3</t>
        </is>
      </c>
      <c r="J1272" s="2" t="n">
        <v>30</v>
      </c>
      <c r="K1272" s="2" t="inlineStr">
        <is>
          <t>Spain Country Head INMA CIMA</t>
        </is>
      </c>
      <c r="L1272" s="2" t="inlineStr">
        <is>
          <t>pend</t>
        </is>
      </c>
      <c r="M1272" s="2" t="n"/>
      <c r="N1272" s="2" t="n"/>
      <c r="O1272" s="3" t="inlineStr">
        <is>
          <t>https://vanillabonds.com/dossier-data/pdf/fastned/fastned-2025-annual-report.pdf#page=30</t>
        </is>
      </c>
    </row>
    <row r="1273">
      <c r="A1273" s="2" t="inlineStr">
        <is>
          <t>F1272</t>
        </is>
      </c>
      <c r="B1273" s="2" t="inlineStr">
        <is>
          <t>management</t>
        </is>
      </c>
      <c r="C1273" s="2" t="inlineStr">
        <is>
          <t>mgmt_person</t>
        </is>
      </c>
      <c r="D1273" s="3" t="inlineStr">
        <is>
          <t>Executive: name, role, since, prior roles (register / report)</t>
        </is>
      </c>
      <c r="E1273" s="2" t="n"/>
      <c r="F1273" s="2" t="n"/>
      <c r="G1273" s="2" t="n"/>
      <c r="H1273" s="3" t="inlineStr">
        <is>
          <t>Simone Saccani, Country Head Italy (as of the 2025 annual report).</t>
        </is>
      </c>
      <c r="I1273" s="2" t="inlineStr">
        <is>
          <t>S3</t>
        </is>
      </c>
      <c r="J1273" s="2" t="n">
        <v>31</v>
      </c>
      <c r="K1273" s="2" t="inlineStr">
        <is>
          <t>Italy Country Head SIMONE SACCANI</t>
        </is>
      </c>
      <c r="L1273" s="2" t="inlineStr">
        <is>
          <t>pend</t>
        </is>
      </c>
      <c r="M1273" s="2" t="n"/>
      <c r="N1273" s="2" t="n"/>
      <c r="O1273" s="3" t="inlineStr">
        <is>
          <t>https://vanillabonds.com/dossier-data/pdf/fastned/fastned-2025-annual-report.pdf#page=31</t>
        </is>
      </c>
    </row>
    <row r="1274">
      <c r="A1274" s="2" t="inlineStr">
        <is>
          <t>F1273</t>
        </is>
      </c>
      <c r="B1274" s="2" t="inlineStr">
        <is>
          <t>management</t>
        </is>
      </c>
      <c r="C1274" s="2" t="inlineStr">
        <is>
          <t>mgmt_person</t>
        </is>
      </c>
      <c r="D1274" s="3" t="inlineStr">
        <is>
          <t>Executive: name, role, since, prior roles (register / report)</t>
        </is>
      </c>
      <c r="E1274" s="2" t="n"/>
      <c r="F1274" s="2" t="n"/>
      <c r="G1274" s="2" t="n"/>
      <c r="H1274" s="3" t="inlineStr">
        <is>
          <t>Stefan Forsbach, Country Head Austria (as of the 2025 annual report).</t>
        </is>
      </c>
      <c r="I1274" s="2" t="inlineStr">
        <is>
          <t>S3</t>
        </is>
      </c>
      <c r="J1274" s="2" t="n">
        <v>32</v>
      </c>
      <c r="K1274" s="2" t="inlineStr">
        <is>
          <t>Austria Country Head STEFAN FORSBACH</t>
        </is>
      </c>
      <c r="L1274" s="2" t="inlineStr">
        <is>
          <t>pend</t>
        </is>
      </c>
      <c r="M1274" s="2" t="n"/>
      <c r="N1274" s="2" t="n"/>
      <c r="O1274" s="3" t="inlineStr">
        <is>
          <t>https://vanillabonds.com/dossier-data/pdf/fastned/fastned-2025-annual-report.pdf#page=32</t>
        </is>
      </c>
    </row>
    <row r="1275">
      <c r="A1275" s="2" t="inlineStr">
        <is>
          <t>F1274</t>
        </is>
      </c>
      <c r="B1275" s="2" t="inlineStr">
        <is>
          <t>management</t>
        </is>
      </c>
      <c r="C1275" s="2" t="inlineStr">
        <is>
          <t>mgmt_person</t>
        </is>
      </c>
      <c r="D1275" s="3" t="inlineStr">
        <is>
          <t>Executive: name, role, since, prior roles (register / report)</t>
        </is>
      </c>
      <c r="E1275" s="2" t="n"/>
      <c r="F1275" s="2" t="n"/>
      <c r="G1275" s="2" t="n"/>
      <c r="H1275" s="3" t="inlineStr">
        <is>
          <t>Francoise Poggi, Group Chief Operating Officer since 29 November 2024.</t>
        </is>
      </c>
      <c r="I1275" s="2" t="inlineStr">
        <is>
          <t>S3</t>
        </is>
      </c>
      <c r="J1275" s="2" t="n">
        <v>96</v>
      </c>
      <c r="K1275" s="3" t="inlineStr">
        <is>
          <t>Françoise Poggi was appointed as Group Chief Operating Officer on 29 November 2024.</t>
        </is>
      </c>
      <c r="L1275" s="2" t="inlineStr">
        <is>
          <t>pend</t>
        </is>
      </c>
      <c r="M1275" s="2" t="n"/>
      <c r="N1275" s="2" t="n"/>
      <c r="O1275" s="3" t="inlineStr">
        <is>
          <t>https://vanillabonds.com/dossier-data/pdf/fastned/fastned-2025-annual-report.pdf#page=96</t>
        </is>
      </c>
    </row>
    <row r="1276">
      <c r="A1276" s="2" t="inlineStr">
        <is>
          <t>F1275</t>
        </is>
      </c>
      <c r="B1276" s="2" t="inlineStr">
        <is>
          <t>management</t>
        </is>
      </c>
      <c r="C1276" s="2" t="inlineStr">
        <is>
          <t>mgmt_person</t>
        </is>
      </c>
      <c r="D1276" s="3" t="inlineStr">
        <is>
          <t>Executive: name, role, since, prior roles (register / report)</t>
        </is>
      </c>
      <c r="E1276" s="2" t="n"/>
      <c r="F1276" s="2" t="n"/>
      <c r="G1276" s="2" t="n"/>
      <c r="H1276" s="3" t="inlineStr">
        <is>
          <t>Michiel Langezaal, CEO, Chair of the Management Board and statutory director since 2012, co-founder; owner and Managing Director of Carraig Aonair Holding B.V.; prior New Business Developer at Epyon/ABB 2010-2012 and strategy consultant at A.T. Kearney 2007-2010.</t>
        </is>
      </c>
      <c r="I1276" s="2" t="inlineStr">
        <is>
          <t>S3</t>
        </is>
      </c>
      <c r="J1276" s="2" t="n">
        <v>109</v>
      </c>
      <c r="K1276" s="3" t="inlineStr">
        <is>
          <t>Michiel Langezaal is the Company’s chief executive officer (CEO), Chair of the Management Board and statutory director. He is one of the founders of Fastned.</t>
        </is>
      </c>
      <c r="L1276" s="2" t="inlineStr">
        <is>
          <t>pend</t>
        </is>
      </c>
      <c r="M1276" s="2" t="n"/>
      <c r="N1276" s="2" t="n"/>
      <c r="O1276" s="3" t="inlineStr">
        <is>
          <t>https://vanillabonds.com/dossier-data/pdf/fastned/fastned-2025-annual-report.pdf#page=109</t>
        </is>
      </c>
    </row>
    <row r="1277">
      <c r="A1277" s="2" t="inlineStr">
        <is>
          <t>F1276</t>
        </is>
      </c>
      <c r="B1277" s="2" t="inlineStr">
        <is>
          <t>management</t>
        </is>
      </c>
      <c r="C1277" s="2" t="inlineStr">
        <is>
          <t>mgmt_person</t>
        </is>
      </c>
      <c r="D1277" s="3" t="inlineStr">
        <is>
          <t>Executive: name, role, since, prior roles (register / report)</t>
        </is>
      </c>
      <c r="E1277" s="2" t="n"/>
      <c r="F1277" s="2" t="n"/>
      <c r="G1277" s="2" t="n"/>
      <c r="H1277" s="3" t="inlineStr">
        <is>
          <t>Victor van Dijk, CFO and statutory director since 2019; prior Managing Director Debt Capital Markets at ING, responsible for corporate DCM in Germany, Switzerland and Austria since 2012, more than 14 years at ING.</t>
        </is>
      </c>
      <c r="I1277" s="2" t="inlineStr">
        <is>
          <t>S3</t>
        </is>
      </c>
      <c r="J1277" s="2" t="n">
        <v>110</v>
      </c>
      <c r="K1277" s="3" t="inlineStr">
        <is>
          <t>Victor worked at ING as Managing Director Debt Capital Markets (DCM) where he had been responsible for corporate DCM in Germany, Switzerland and Austria since 2012.</t>
        </is>
      </c>
      <c r="L1277" s="2" t="inlineStr">
        <is>
          <t>pend</t>
        </is>
      </c>
      <c r="M1277" s="2" t="n"/>
      <c r="N1277" s="2" t="n"/>
      <c r="O1277" s="3" t="inlineStr">
        <is>
          <t>https://vanillabonds.com/dossier-data/pdf/fastned/fastned-2025-annual-report.pdf#page=110</t>
        </is>
      </c>
    </row>
    <row r="1278">
      <c r="A1278" s="2" t="inlineStr">
        <is>
          <t>F1277</t>
        </is>
      </c>
      <c r="B1278" s="2" t="inlineStr">
        <is>
          <t>management</t>
        </is>
      </c>
      <c r="C1278" s="2" t="inlineStr">
        <is>
          <t>mgmt_person</t>
        </is>
      </c>
      <c r="D1278" s="3" t="inlineStr">
        <is>
          <t>Executive: name, role, since, prior roles (register / report)</t>
        </is>
      </c>
      <c r="E1278" s="2" t="n"/>
      <c r="F1278" s="2" t="n"/>
      <c r="G1278" s="2" t="n"/>
      <c r="H1278" s="3" t="inlineStr">
        <is>
          <t>Françoise Poggi, COO and Management Board member since November 2024; prior seven years at Tesla from 2017 (EMEA supply chain for charging, energy infrastructure, aftersales), earlier Cisco Systems and Sonos.</t>
        </is>
      </c>
      <c r="I1278" s="2" t="inlineStr">
        <is>
          <t>S3</t>
        </is>
      </c>
      <c r="J1278" s="2" t="n">
        <v>110</v>
      </c>
      <c r="K1278" s="3" t="inlineStr">
        <is>
          <t>Françoise Poggi joined Fastned in November 2024 as Chief Operating Officer and member of the Management Board</t>
        </is>
      </c>
      <c r="L1278" s="2" t="inlineStr">
        <is>
          <t>pend</t>
        </is>
      </c>
      <c r="M1278" s="2" t="n"/>
      <c r="N1278" s="2" t="n"/>
      <c r="O1278" s="3" t="inlineStr">
        <is>
          <t>https://vanillabonds.com/dossier-data/pdf/fastned/fastned-2025-annual-report.pdf#page=110</t>
        </is>
      </c>
    </row>
    <row r="1279">
      <c r="A1279" s="2" t="inlineStr">
        <is>
          <t>F1278</t>
        </is>
      </c>
      <c r="B1279" s="2" t="inlineStr">
        <is>
          <t>management</t>
        </is>
      </c>
      <c r="C1279" s="2" t="inlineStr">
        <is>
          <t>mgmt_person</t>
        </is>
      </c>
      <c r="D1279" s="3" t="inlineStr">
        <is>
          <t>Executive: name, role, since, prior roles (register / report)</t>
        </is>
      </c>
      <c r="E1279" s="2" t="n"/>
      <c r="F1279" s="2" t="n"/>
      <c r="G1279" s="2" t="n"/>
      <c r="H1279" s="3" t="inlineStr">
        <is>
          <t>Michiel Langezaal, CEO, Management Board member who signed the 2025 financial statements on 18 March 2026.</t>
        </is>
      </c>
      <c r="I1279" s="2" t="inlineStr">
        <is>
          <t>S3</t>
        </is>
      </c>
      <c r="J1279" s="2" t="n">
        <v>215</v>
      </c>
      <c r="K1279" s="3" t="inlineStr">
        <is>
          <t>Management Board Michiel Langezaal Victor van Dijk Françoise Poggi CEO CFO COO</t>
        </is>
      </c>
      <c r="L1279" s="2" t="inlineStr">
        <is>
          <t>pend</t>
        </is>
      </c>
      <c r="M1279" s="2" t="n"/>
      <c r="N1279" s="2" t="n"/>
      <c r="O1279" s="3" t="inlineStr">
        <is>
          <t>https://vanillabonds.com/dossier-data/pdf/fastned/fastned-2025-annual-report.pdf#page=215</t>
        </is>
      </c>
    </row>
    <row r="1280">
      <c r="A1280" s="2" t="inlineStr">
        <is>
          <t>F1279</t>
        </is>
      </c>
      <c r="B1280" s="2" t="inlineStr">
        <is>
          <t>management</t>
        </is>
      </c>
      <c r="C1280" s="2" t="inlineStr">
        <is>
          <t>mgmt_person</t>
        </is>
      </c>
      <c r="D1280" s="3" t="inlineStr">
        <is>
          <t>Executive: name, role, since, prior roles (register / report)</t>
        </is>
      </c>
      <c r="E1280" s="2" t="n"/>
      <c r="F1280" s="2" t="n"/>
      <c r="G1280" s="2" t="n"/>
      <c r="H1280" s="3" t="inlineStr">
        <is>
          <t>Victor van Dijk, CFO, Management Board member who signed the 2025 financial statements on 18 March 2026.</t>
        </is>
      </c>
      <c r="I1280" s="2" t="inlineStr">
        <is>
          <t>S3</t>
        </is>
      </c>
      <c r="J1280" s="2" t="n">
        <v>215</v>
      </c>
      <c r="K1280" s="3" t="inlineStr">
        <is>
          <t>Management Board Michiel Langezaal Victor van Dijk Françoise Poggi CEO CFO COO</t>
        </is>
      </c>
      <c r="L1280" s="2" t="inlineStr">
        <is>
          <t>pend</t>
        </is>
      </c>
      <c r="M1280" s="2" t="n"/>
      <c r="N1280" s="2" t="n"/>
      <c r="O1280" s="3" t="inlineStr">
        <is>
          <t>https://vanillabonds.com/dossier-data/pdf/fastned/fastned-2025-annual-report.pdf#page=215</t>
        </is>
      </c>
    </row>
    <row r="1281">
      <c r="A1281" s="2" t="inlineStr">
        <is>
          <t>F1280</t>
        </is>
      </c>
      <c r="B1281" s="2" t="inlineStr">
        <is>
          <t>management</t>
        </is>
      </c>
      <c r="C1281" s="2" t="inlineStr">
        <is>
          <t>mgmt_person</t>
        </is>
      </c>
      <c r="D1281" s="3" t="inlineStr">
        <is>
          <t>Executive: name, role, since, prior roles (register / report)</t>
        </is>
      </c>
      <c r="E1281" s="2" t="n"/>
      <c r="F1281" s="2" t="n"/>
      <c r="G1281" s="2" t="n"/>
      <c r="H1281" s="3" t="inlineStr">
        <is>
          <t>Françoise Poggi, COO, Management Board member who signed the 2025 financial statements on 18 March 2026.</t>
        </is>
      </c>
      <c r="I1281" s="2" t="inlineStr">
        <is>
          <t>S3</t>
        </is>
      </c>
      <c r="J1281" s="2" t="n">
        <v>215</v>
      </c>
      <c r="K1281" s="3" t="inlineStr">
        <is>
          <t>Management Board Michiel Langezaal Victor van Dijk Françoise Poggi CEO CFO COO</t>
        </is>
      </c>
      <c r="L1281" s="2" t="inlineStr">
        <is>
          <t>pend</t>
        </is>
      </c>
      <c r="M1281" s="2" t="n"/>
      <c r="N1281" s="2" t="n"/>
      <c r="O1281" s="3" t="inlineStr">
        <is>
          <t>https://vanillabonds.com/dossier-data/pdf/fastned/fastned-2025-annual-report.pdf#page=215</t>
        </is>
      </c>
    </row>
    <row r="1282">
      <c r="A1282" s="2" t="inlineStr">
        <is>
          <t>F1281</t>
        </is>
      </c>
      <c r="B1282" s="2" t="inlineStr">
        <is>
          <t>management</t>
        </is>
      </c>
      <c r="C1282" s="2" t="inlineStr">
        <is>
          <t>covenant_test</t>
        </is>
      </c>
      <c r="D1282" s="3" t="inlineStr">
        <is>
          <t>Covenant test: date, ratio, threshold, outcome, waiver</t>
        </is>
      </c>
      <c r="E1282" s="2" t="n"/>
      <c r="F1282" s="2" t="n"/>
      <c r="G1282" s="2" t="n"/>
      <c r="H1282" s="3" t="inlineStr">
        <is>
          <t>31 December 2025: bank guarantee facility covenants (minimum tangible equity; tangible equity / total assets), thresholds not disclosed, outcome: complied with all covenants, no waiver.</t>
        </is>
      </c>
      <c r="I1282" s="2" t="inlineStr">
        <is>
          <t>S3</t>
        </is>
      </c>
      <c r="J1282" s="2" t="n">
        <v>184</v>
      </c>
      <c r="K1282" s="3" t="inlineStr">
        <is>
          <t>As at 31 December 2025, Fastned B.V. complied with all covenants related to this facility.</t>
        </is>
      </c>
      <c r="L1282" s="2" t="inlineStr">
        <is>
          <t>pend</t>
        </is>
      </c>
      <c r="M1282" s="2" t="n"/>
      <c r="N1282" s="2" t="n"/>
      <c r="O1282" s="3" t="inlineStr">
        <is>
          <t>https://vanillabonds.com/dossier-data/pdf/fastned/fastned-2025-annual-report.pdf#page=184</t>
        </is>
      </c>
    </row>
    <row r="1283">
      <c r="A1283" s="2" t="inlineStr">
        <is>
          <t>F1282</t>
        </is>
      </c>
      <c r="B1283" s="2" t="inlineStr">
        <is>
          <t>management</t>
        </is>
      </c>
      <c r="C1283" s="2" t="inlineStr">
        <is>
          <t>acquisition</t>
        </is>
      </c>
      <c r="D1283" s="3" t="inlineStr">
        <is>
          <t>Acquisition / disposal: target, year, price, funding, outcome vs case</t>
        </is>
      </c>
      <c r="E1283" s="2" t="n"/>
      <c r="F1283" s="2" t="n">
        <v>4.6</v>
      </c>
      <c r="G1283" s="2" t="n"/>
      <c r="H1283" s="3" t="inlineStr">
        <is>
          <t>target: Fast Places Limited, 51% joint venture with Places for London (Transport for London's property company) under JV agreement of 5 December 2024; year: 2025; price: €4.6m invested in 2025; funding: cash; outcome vs case: initial five London sites, first stations opening 2026, plan 25 sites by end of decade</t>
        </is>
      </c>
      <c r="I1283" s="2" t="inlineStr">
        <is>
          <t>S3</t>
        </is>
      </c>
      <c r="J1283" s="2" t="n">
        <v>148</v>
      </c>
      <c r="K1283" s="3" t="inlineStr">
        <is>
          <t>On 5 December 2024, Fastned UK Limited entered into a Joint Venture Agreement with Places for London, Transport for London's transport property company</t>
        </is>
      </c>
      <c r="L1283" s="2" t="inlineStr">
        <is>
          <t>pend</t>
        </is>
      </c>
      <c r="M1283" s="2" t="n"/>
      <c r="N1283" s="2" t="n"/>
      <c r="O1283" s="3" t="inlineStr">
        <is>
          <t>https://vanillabonds.com/dossier-data/pdf/fastned/fastned-2025-annual-report.pdf#page=148</t>
        </is>
      </c>
    </row>
    <row r="1284">
      <c r="A1284" s="2" t="inlineStr">
        <is>
          <t>F1283</t>
        </is>
      </c>
      <c r="B1284" s="2" t="inlineStr">
        <is>
          <t>management</t>
        </is>
      </c>
      <c r="C1284" s="2" t="inlineStr">
        <is>
          <t>acquisition</t>
        </is>
      </c>
      <c r="D1284" s="3" t="inlineStr">
        <is>
          <t>Acquisition / disposal: target, year, price, funding, outcome vs case</t>
        </is>
      </c>
      <c r="E1284" s="2" t="n"/>
      <c r="F1284" s="2" t="n">
        <v>4.6</v>
      </c>
      <c r="G1284" s="2" t="n"/>
      <c r="H1284" s="3" t="inlineStr">
        <is>
          <t>target: Fast Places Limited (51% joint venture); year: 2025; price: €4,579k cash plus €44k transaction costs; funding: cash; outcome vs case: carrying amount €4.4m at end 2025 after €0.2m share of loss, no revenue yet</t>
        </is>
      </c>
      <c r="I1284" s="2" t="inlineStr">
        <is>
          <t>S3</t>
        </is>
      </c>
      <c r="J1284" s="2" t="n">
        <v>169</v>
      </c>
      <c r="K1284" s="3" t="inlineStr">
        <is>
          <t>€4,579 thousand plus €44 thousand transaction costs</t>
        </is>
      </c>
      <c r="L1284" s="2" t="inlineStr">
        <is>
          <t>pend</t>
        </is>
      </c>
      <c r="M1284" s="2" t="n"/>
      <c r="N1284" s="2" t="n"/>
      <c r="O1284" s="3" t="inlineStr">
        <is>
          <t>https://vanillabonds.com/dossier-data/pdf/fastned/fastned-2025-annual-report.pdf#page=169</t>
        </is>
      </c>
    </row>
    <row r="1285">
      <c r="A1285" s="2" t="inlineStr">
        <is>
          <t>F1284</t>
        </is>
      </c>
      <c r="B1285" s="2" t="inlineStr">
        <is>
          <t>management</t>
        </is>
      </c>
      <c r="C1285" s="2" t="inlineStr">
        <is>
          <t>succession</t>
        </is>
      </c>
      <c r="D1285" s="3" t="inlineStr">
        <is>
          <t>Succession: plan, last change of CEO / CFO, who decides</t>
        </is>
      </c>
      <c r="E1285" s="2" t="n"/>
      <c r="F1285" s="2" t="n"/>
      <c r="G1285" s="2" t="n"/>
      <c r="H1285" s="3" t="inlineStr">
        <is>
          <t>Management Board members are appointed by the General Meeting for an indefinite period (who decides); last Management Board change: Group COO Francoise Poggi appointed 29 November 2024; no succession plan disclosed in these pages.</t>
        </is>
      </c>
      <c r="I1285" s="2" t="inlineStr">
        <is>
          <t>S3</t>
        </is>
      </c>
      <c r="J1285" s="2" t="n">
        <v>96</v>
      </c>
      <c r="K1285" s="3" t="inlineStr">
        <is>
          <t>Françoise Poggi was appointed as Group Chief Operating Officer on 29 November 2024.</t>
        </is>
      </c>
      <c r="L1285" s="2" t="inlineStr">
        <is>
          <t>pend</t>
        </is>
      </c>
      <c r="M1285" s="2" t="n"/>
      <c r="N1285" s="2" t="n"/>
      <c r="O1285" s="3" t="inlineStr">
        <is>
          <t>https://vanillabonds.com/dossier-data/pdf/fastned/fastned-2025-annual-report.pdf#page=96</t>
        </is>
      </c>
    </row>
    <row r="1286">
      <c r="A1286" s="2" t="inlineStr">
        <is>
          <t>F1285</t>
        </is>
      </c>
      <c r="B1286" s="2" t="inlineStr">
        <is>
          <t>management</t>
        </is>
      </c>
      <c r="C1286" s="2" t="inlineStr">
        <is>
          <t>governance</t>
        </is>
      </c>
      <c r="D1286" s="3" t="inlineStr">
        <is>
          <t>Board, independent members, group structure, related-party flows, dividends</t>
        </is>
      </c>
      <c r="E1286" s="2" t="n"/>
      <c r="F1286" s="2" t="n"/>
      <c r="G1286" s="2" t="n"/>
      <c r="H1286" s="3" t="inlineStr">
        <is>
          <t>Works Council renewed in 2025 by anonymous vote: seven men and four women appointed.</t>
        </is>
      </c>
      <c r="I1286" s="2" t="inlineStr">
        <is>
          <t>S3</t>
        </is>
      </c>
      <c r="J1286" s="2" t="n">
        <v>43</v>
      </c>
      <c r="K1286" s="3" t="inlineStr">
        <is>
          <t>resulted in the appointment of new Works Council members: seven men and four women.</t>
        </is>
      </c>
      <c r="L1286" s="2" t="inlineStr">
        <is>
          <t>pend</t>
        </is>
      </c>
      <c r="M1286" s="2" t="n"/>
      <c r="N1286" s="2" t="n"/>
      <c r="O1286" s="3" t="inlineStr">
        <is>
          <t>https://vanillabonds.com/dossier-data/pdf/fastned/fastned-2025-annual-report.pdf#page=43</t>
        </is>
      </c>
    </row>
    <row r="1287">
      <c r="A1287" s="2" t="inlineStr">
        <is>
          <t>F1286</t>
        </is>
      </c>
      <c r="B1287" s="2" t="inlineStr">
        <is>
          <t>management</t>
        </is>
      </c>
      <c r="C1287" s="2" t="inlineStr">
        <is>
          <t>governance</t>
        </is>
      </c>
      <c r="D1287" s="3" t="inlineStr">
        <is>
          <t>Board, independent members, group structure, related-party flows, dividends</t>
        </is>
      </c>
      <c r="E1287" s="2" t="n"/>
      <c r="F1287" s="2" t="n"/>
      <c r="G1287" s="2" t="n"/>
      <c r="H1287" s="3" t="inlineStr">
        <is>
          <t>Two-tier board: Management Board of three (CEO, CFO, COO) and Supervisory Board of four.</t>
        </is>
      </c>
      <c r="I1287" s="2" t="inlineStr">
        <is>
          <t>S3</t>
        </is>
      </c>
      <c r="J1287" s="2" t="n">
        <v>86</v>
      </c>
      <c r="K1287" s="3" t="inlineStr">
        <is>
          <t>Fastned has a two-tier board structure, consisting of a Management Board and a Supervisory Board.</t>
        </is>
      </c>
      <c r="L1287" s="2" t="inlineStr">
        <is>
          <t>pend</t>
        </is>
      </c>
      <c r="M1287" s="2" t="n"/>
      <c r="N1287" s="2" t="n"/>
      <c r="O1287" s="3" t="inlineStr">
        <is>
          <t>https://vanillabonds.com/dossier-data/pdf/fastned/fastned-2025-annual-report.pdf#page=86</t>
        </is>
      </c>
    </row>
    <row r="1288">
      <c r="A1288" s="2" t="inlineStr">
        <is>
          <t>F1287</t>
        </is>
      </c>
      <c r="B1288" s="2" t="inlineStr">
        <is>
          <t>management</t>
        </is>
      </c>
      <c r="C1288" s="2" t="inlineStr">
        <is>
          <t>governance</t>
        </is>
      </c>
      <c r="D1288" s="3" t="inlineStr">
        <is>
          <t>Board, independent members, group structure, related-party flows, dividends</t>
        </is>
      </c>
      <c r="E1288" s="2" t="n"/>
      <c r="F1288" s="2" t="n"/>
      <c r="G1288" s="2" t="n"/>
      <c r="H1288" s="3" t="inlineStr">
        <is>
          <t>Management Board consists of the CEO, the CFO and the COO.</t>
        </is>
      </c>
      <c r="I1288" s="2" t="inlineStr">
        <is>
          <t>S3</t>
        </is>
      </c>
      <c r="J1288" s="2" t="n">
        <v>86</v>
      </c>
      <c r="K1288" s="3" t="inlineStr">
        <is>
          <t>Fastned’s Management Board consists of the chief executive officer (CEO), the chief financial officer (CFO) and the chief operations officer (COO).</t>
        </is>
      </c>
      <c r="L1288" s="2" t="inlineStr">
        <is>
          <t>pend</t>
        </is>
      </c>
      <c r="M1288" s="2" t="n"/>
      <c r="N1288" s="2" t="n"/>
      <c r="O1288" s="3" t="inlineStr">
        <is>
          <t>https://vanillabonds.com/dossier-data/pdf/fastned/fastned-2025-annual-report.pdf#page=86</t>
        </is>
      </c>
    </row>
    <row r="1289">
      <c r="A1289" s="2" t="inlineStr">
        <is>
          <t>F1288</t>
        </is>
      </c>
      <c r="B1289" s="2" t="inlineStr">
        <is>
          <t>management</t>
        </is>
      </c>
      <c r="C1289" s="2" t="inlineStr">
        <is>
          <t>governance</t>
        </is>
      </c>
      <c r="D1289" s="3" t="inlineStr">
        <is>
          <t>Board, independent members, group structure, related-party flows, dividends</t>
        </is>
      </c>
      <c r="E1289" s="2" t="n"/>
      <c r="F1289" s="2" t="n"/>
      <c r="G1289" s="2" t="n"/>
      <c r="H1289" s="3" t="inlineStr">
        <is>
          <t>Management Board members are appointed by the General Meeting for an indefinite period (deviation from Code provision 2.2.1).</t>
        </is>
      </c>
      <c r="I1289" s="2" t="inlineStr">
        <is>
          <t>S3</t>
        </is>
      </c>
      <c r="J1289" s="2" t="n">
        <v>86</v>
      </c>
      <c r="K1289" s="3" t="inlineStr">
        <is>
          <t>The Management Board members are appointed by the General Meeting for an indefinite period of time</t>
        </is>
      </c>
      <c r="L1289" s="2" t="inlineStr">
        <is>
          <t>pend</t>
        </is>
      </c>
      <c r="M1289" s="2" t="n"/>
      <c r="N1289" s="2" t="n"/>
      <c r="O1289" s="3" t="inlineStr">
        <is>
          <t>https://vanillabonds.com/dossier-data/pdf/fastned/fastned-2025-annual-report.pdf#page=86</t>
        </is>
      </c>
    </row>
    <row r="1290">
      <c r="A1290" s="2" t="inlineStr">
        <is>
          <t>F1289</t>
        </is>
      </c>
      <c r="B1290" s="2" t="inlineStr">
        <is>
          <t>management</t>
        </is>
      </c>
      <c r="C1290" s="2" t="inlineStr">
        <is>
          <t>governance</t>
        </is>
      </c>
      <c r="D1290" s="3" t="inlineStr">
        <is>
          <t>Board, independent members, group structure, related-party flows, dividends</t>
        </is>
      </c>
      <c r="E1290" s="2" t="n"/>
      <c r="F1290" s="2" t="n"/>
      <c r="G1290" s="2" t="n"/>
      <c r="H1290" s="3" t="inlineStr">
        <is>
          <t>No formal executive committee; the 'Executive Team' is senior management, not a governance body.</t>
        </is>
      </c>
      <c r="I1290" s="2" t="inlineStr">
        <is>
          <t>S3</t>
        </is>
      </c>
      <c r="J1290" s="2" t="n">
        <v>86</v>
      </c>
      <c r="K1290" s="3" t="inlineStr">
        <is>
          <t>Fastned does not have a formal executive committee; references to the ‘Executive Team’ relate to senior management</t>
        </is>
      </c>
      <c r="L1290" s="2" t="inlineStr">
        <is>
          <t>pend</t>
        </is>
      </c>
      <c r="M1290" s="2" t="n"/>
      <c r="N1290" s="2" t="n"/>
      <c r="O1290" s="3" t="inlineStr">
        <is>
          <t>https://vanillabonds.com/dossier-data/pdf/fastned/fastned-2025-annual-report.pdf#page=86</t>
        </is>
      </c>
    </row>
    <row r="1291">
      <c r="A1291" s="2" t="inlineStr">
        <is>
          <t>F1290</t>
        </is>
      </c>
      <c r="B1291" s="2" t="inlineStr">
        <is>
          <t>management</t>
        </is>
      </c>
      <c r="C1291" s="2" t="inlineStr">
        <is>
          <t>governance</t>
        </is>
      </c>
      <c r="D1291" s="3" t="inlineStr">
        <is>
          <t>Board, independent members, group structure, related-party flows, dividends</t>
        </is>
      </c>
      <c r="E1291" s="2" t="n"/>
      <c r="F1291" s="2" t="n"/>
      <c r="G1291" s="2" t="n"/>
      <c r="H1291" s="3" t="inlineStr">
        <is>
          <t>Supervisory Board of four members: two independent and two not independent under the Dutch Corporate Governance Code (deviation from provision 2.1.7).</t>
        </is>
      </c>
      <c r="I1291" s="2" t="inlineStr">
        <is>
          <t>S3</t>
        </is>
      </c>
      <c r="J1291" s="2" t="n">
        <v>87</v>
      </c>
      <c r="K1291" s="3" t="inlineStr">
        <is>
          <t>Fastned's Supervisory Board currently consists of four members, of which two members qualify as independent and two members do not qualify as independent</t>
        </is>
      </c>
      <c r="L1291" s="2" t="inlineStr">
        <is>
          <t>pend</t>
        </is>
      </c>
      <c r="M1291" s="2" t="n"/>
      <c r="N1291" s="2" t="n"/>
      <c r="O1291" s="3" t="inlineStr">
        <is>
          <t>https://vanillabonds.com/dossier-data/pdf/fastned/fastned-2025-annual-report.pdf#page=87</t>
        </is>
      </c>
    </row>
    <row r="1292">
      <c r="A1292" s="2" t="inlineStr">
        <is>
          <t>F1291</t>
        </is>
      </c>
      <c r="B1292" s="2" t="inlineStr">
        <is>
          <t>management</t>
        </is>
      </c>
      <c r="C1292" s="2" t="inlineStr">
        <is>
          <t>governance</t>
        </is>
      </c>
      <c r="D1292" s="3" t="inlineStr">
        <is>
          <t>Board, independent members, group structure, related-party flows, dividends</t>
        </is>
      </c>
      <c r="E1292" s="2" t="n"/>
      <c r="F1292" s="2" t="n"/>
      <c r="G1292" s="2" t="n"/>
      <c r="H1292" s="3" t="inlineStr">
        <is>
          <t>Two Supervisory Board committees (Audit; Remuneration and Nomination), each composed of all four members (deviation from provision 2.3.4).</t>
        </is>
      </c>
      <c r="I1292" s="2" t="inlineStr">
        <is>
          <t>S3</t>
        </is>
      </c>
      <c r="J1292" s="2" t="n">
        <v>87</v>
      </c>
      <c r="K1292" s="3" t="inlineStr">
        <is>
          <t>The Supervisory Board has two committees: the Audit Committee and the Remuneration and Nomination Committee. Currently, each of these committees is composed of all members of the Supervisory Board.</t>
        </is>
      </c>
      <c r="L1292" s="2" t="inlineStr">
        <is>
          <t>pend</t>
        </is>
      </c>
      <c r="M1292" s="2" t="n"/>
      <c r="N1292" s="2" t="n"/>
      <c r="O1292" s="3" t="inlineStr">
        <is>
          <t>https://vanillabonds.com/dossier-data/pdf/fastned/fastned-2025-annual-report.pdf#page=87</t>
        </is>
      </c>
    </row>
    <row r="1293">
      <c r="A1293" s="2" t="inlineStr">
        <is>
          <t>F1292</t>
        </is>
      </c>
      <c r="B1293" s="2" t="inlineStr">
        <is>
          <t>management</t>
        </is>
      </c>
      <c r="C1293" s="2" t="inlineStr">
        <is>
          <t>governance</t>
        </is>
      </c>
      <c r="D1293" s="3" t="inlineStr">
        <is>
          <t>Board, independent members, group structure, related-party flows, dividends</t>
        </is>
      </c>
      <c r="E1293" s="2" t="n"/>
      <c r="F1293" s="2" t="n"/>
      <c r="G1293" s="2" t="n"/>
      <c r="H1293" s="3" t="inlineStr">
        <is>
          <t>Supervisory Board members are appointed for four years with one possible four-year extension; rotation schedule published on the website.</t>
        </is>
      </c>
      <c r="I1293" s="2" t="inlineStr">
        <is>
          <t>S3</t>
        </is>
      </c>
      <c r="J1293" s="2" t="n">
        <v>87</v>
      </c>
      <c r="K1293" s="3" t="inlineStr">
        <is>
          <t>The Supervisory Board Members are appointed by the General Meeting for a period of four years, after which a four-year extension is possible.</t>
        </is>
      </c>
      <c r="L1293" s="2" t="inlineStr">
        <is>
          <t>pend</t>
        </is>
      </c>
      <c r="M1293" s="2" t="n"/>
      <c r="N1293" s="2" t="n"/>
      <c r="O1293" s="3" t="inlineStr">
        <is>
          <t>https://vanillabonds.com/dossier-data/pdf/fastned/fastned-2025-annual-report.pdf#page=87</t>
        </is>
      </c>
    </row>
    <row r="1294">
      <c r="A1294" s="2" t="inlineStr">
        <is>
          <t>F1293</t>
        </is>
      </c>
      <c r="B1294" s="2" t="inlineStr">
        <is>
          <t>management</t>
        </is>
      </c>
      <c r="C1294" s="2" t="inlineStr">
        <is>
          <t>governance</t>
        </is>
      </c>
      <c r="D1294" s="3" t="inlineStr">
        <is>
          <t>Board, independent members, group structure, related-party flows, dividends</t>
        </is>
      </c>
      <c r="E1294" s="2" t="n"/>
      <c r="F1294" s="2" t="n"/>
      <c r="G1294" s="2" t="n"/>
      <c r="H1294" s="3" t="inlineStr">
        <is>
          <t>No conflicts of interest reported for Management Board or Supervisory Board members in 2025.</t>
        </is>
      </c>
      <c r="I1294" s="2" t="inlineStr">
        <is>
          <t>S3</t>
        </is>
      </c>
      <c r="J1294" s="2" t="n">
        <v>87</v>
      </c>
      <c r="K1294" s="3" t="inlineStr">
        <is>
          <t>In 2025, no conflicts of interest were reported.</t>
        </is>
      </c>
      <c r="L1294" s="2" t="inlineStr">
        <is>
          <t>pend</t>
        </is>
      </c>
      <c r="M1294" s="2" t="n"/>
      <c r="N1294" s="2" t="n"/>
      <c r="O1294" s="3" t="inlineStr">
        <is>
          <t>https://vanillabonds.com/dossier-data/pdf/fastned/fastned-2025-annual-report.pdf#page=87</t>
        </is>
      </c>
    </row>
    <row r="1295">
      <c r="A1295" s="2" t="inlineStr">
        <is>
          <t>F1294</t>
        </is>
      </c>
      <c r="B1295" s="2" t="inlineStr">
        <is>
          <t>management</t>
        </is>
      </c>
      <c r="C1295" s="2" t="inlineStr">
        <is>
          <t>governance</t>
        </is>
      </c>
      <c r="D1295" s="3" t="inlineStr">
        <is>
          <t>Board, independent members, group structure, related-party flows, dividends</t>
        </is>
      </c>
      <c r="E1295" s="2" t="n"/>
      <c r="F1295" s="2" t="n"/>
      <c r="G1295" s="2" t="n"/>
      <c r="H1295" s="3" t="inlineStr">
        <is>
          <t>The Supervisory Board evaluates the Management Board annually (provisions 2.2.6-2.2.8); conclusions in the Report of the Supervisory Board.</t>
        </is>
      </c>
      <c r="I1295" s="2" t="inlineStr">
        <is>
          <t>S3</t>
        </is>
      </c>
      <c r="J1295" s="2" t="n">
        <v>87</v>
      </c>
      <c r="K1295" s="3" t="inlineStr">
        <is>
          <t>the Supervisory Board annually evaluates the functioning of the Management Board as a whole and of the individual Managing Directors.</t>
        </is>
      </c>
      <c r="L1295" s="2" t="inlineStr">
        <is>
          <t>pend</t>
        </is>
      </c>
      <c r="M1295" s="2" t="n"/>
      <c r="N1295" s="2" t="n"/>
      <c r="O1295" s="3" t="inlineStr">
        <is>
          <t>https://vanillabonds.com/dossier-data/pdf/fastned/fastned-2025-annual-report.pdf#page=87</t>
        </is>
      </c>
    </row>
    <row r="1296">
      <c r="A1296" s="2" t="inlineStr">
        <is>
          <t>F1295</t>
        </is>
      </c>
      <c r="B1296" s="2" t="inlineStr">
        <is>
          <t>management</t>
        </is>
      </c>
      <c r="C1296" s="2" t="inlineStr">
        <is>
          <t>governance</t>
        </is>
      </c>
      <c r="D1296" s="3" t="inlineStr">
        <is>
          <t>Board, independent members, group structure, related-party flows, dividends</t>
        </is>
      </c>
      <c r="E1296" s="2" t="n"/>
      <c r="F1296" s="2" t="n"/>
      <c r="G1296" s="2" t="n"/>
      <c r="H1296" s="3" t="inlineStr">
        <is>
          <t>No transactions in 2025 with holders of at least 10% of the shares that were of material significance.</t>
        </is>
      </c>
      <c r="I1296" s="2" t="inlineStr">
        <is>
          <t>S3</t>
        </is>
      </c>
      <c r="J1296" s="2" t="n">
        <v>88</v>
      </c>
      <c r="K1296" s="3" t="inlineStr">
        <is>
          <t>In 2025, there were no transactions between Fastned and natural persons or legal entities holding at least ten per cent of the shares in Fastned that were of material significance</t>
        </is>
      </c>
      <c r="L1296" s="2" t="inlineStr">
        <is>
          <t>pend</t>
        </is>
      </c>
      <c r="M1296" s="2" t="n"/>
      <c r="N1296" s="2" t="n"/>
      <c r="O1296" s="3" t="inlineStr">
        <is>
          <t>https://vanillabonds.com/dossier-data/pdf/fastned/fastned-2025-annual-report.pdf#page=88</t>
        </is>
      </c>
    </row>
    <row r="1297">
      <c r="A1297" s="2" t="inlineStr">
        <is>
          <t>F1296</t>
        </is>
      </c>
      <c r="B1297" s="2" t="inlineStr">
        <is>
          <t>management</t>
        </is>
      </c>
      <c r="C1297" s="2" t="inlineStr">
        <is>
          <t>governance</t>
        </is>
      </c>
      <c r="D1297" s="3" t="inlineStr">
        <is>
          <t>Board, independent members, group structure, related-party flows, dividends</t>
        </is>
      </c>
      <c r="E1297" s="2" t="n"/>
      <c r="F1297" s="2" t="n"/>
      <c r="G1297" s="2" t="n"/>
      <c r="H1297" s="3" t="inlineStr">
        <is>
          <t>Gender composition at 31 Dec 2025: Management Board 33.33% women, Supervisory Board 50%, FAST Board 33.33%, senior management 41%; workforce 43% women.</t>
        </is>
      </c>
      <c r="I1297" s="2" t="inlineStr">
        <is>
          <t>S3</t>
        </is>
      </c>
      <c r="J1297" s="2" t="n">
        <v>88</v>
      </c>
      <c r="K1297" s="3" t="inlineStr">
        <is>
          <t>the proportion of women on the Management Board (33.33%), Supervisory Board (50%), FAST Board (33.33%) and in senior management (41%)</t>
        </is>
      </c>
      <c r="L1297" s="2" t="inlineStr">
        <is>
          <t>pend</t>
        </is>
      </c>
      <c r="M1297" s="2" t="n"/>
      <c r="N1297" s="2" t="n"/>
      <c r="O1297" s="3" t="inlineStr">
        <is>
          <t>https://vanillabonds.com/dossier-data/pdf/fastned/fastned-2025-annual-report.pdf#page=88</t>
        </is>
      </c>
    </row>
    <row r="1298">
      <c r="A1298" s="2" t="inlineStr">
        <is>
          <t>F1297</t>
        </is>
      </c>
      <c r="B1298" s="2" t="inlineStr">
        <is>
          <t>management</t>
        </is>
      </c>
      <c r="C1298" s="2" t="inlineStr">
        <is>
          <t>governance</t>
        </is>
      </c>
      <c r="D1298" s="3" t="inlineStr">
        <is>
          <t>Board, independent members, group structure, related-party flows, dividends</t>
        </is>
      </c>
      <c r="E1298" s="2" t="n"/>
      <c r="F1298" s="2" t="n"/>
      <c r="G1298" s="2" t="n"/>
      <c r="H1298" s="3" t="inlineStr">
        <is>
          <t>Updated DEI policy entered into force on 5 December 2025 after Supervisory Board approval; target of about 50% women in senior and management roles by end-2026.</t>
        </is>
      </c>
      <c r="I1298" s="2" t="inlineStr">
        <is>
          <t>S3</t>
        </is>
      </c>
      <c r="J1298" s="2" t="n">
        <v>88</v>
      </c>
      <c r="K1298" s="3" t="inlineStr">
        <is>
          <t>Fastned’s updated DEI policy entered into force on 5 December 2025 following approval by the Supervisory Board.</t>
        </is>
      </c>
      <c r="L1298" s="2" t="inlineStr">
        <is>
          <t>pend</t>
        </is>
      </c>
      <c r="M1298" s="2" t="n"/>
      <c r="N1298" s="2" t="n"/>
      <c r="O1298" s="3" t="inlineStr">
        <is>
          <t>https://vanillabonds.com/dossier-data/pdf/fastned/fastned-2025-annual-report.pdf#page=88</t>
        </is>
      </c>
    </row>
    <row r="1299">
      <c r="A1299" s="2" t="inlineStr">
        <is>
          <t>F1298</t>
        </is>
      </c>
      <c r="B1299" s="2" t="inlineStr">
        <is>
          <t>management</t>
        </is>
      </c>
      <c r="C1299" s="2" t="inlineStr">
        <is>
          <t>governance</t>
        </is>
      </c>
      <c r="D1299" s="3" t="inlineStr">
        <is>
          <t>Board, independent members, group structure, related-party flows, dividends</t>
        </is>
      </c>
      <c r="E1299" s="2" t="n"/>
      <c r="F1299" s="2" t="n"/>
      <c r="G1299" s="2" t="n"/>
      <c r="H1299" s="3" t="inlineStr">
        <is>
          <t>19,552,877 shares issued and outstanding at 31 December 2025; Fastned qualifies as a structured company (structuurregime) since end-2023.</t>
        </is>
      </c>
      <c r="I1299" s="2" t="inlineStr">
        <is>
          <t>S3</t>
        </is>
      </c>
      <c r="J1299" s="2" t="n">
        <v>89</v>
      </c>
      <c r="K1299" s="3" t="inlineStr">
        <is>
          <t>On 31 December 2025, a total of 19,552,877 shares were issued and outstanding. As of the end of 2023, Fastned qualifies as a structured company.</t>
        </is>
      </c>
      <c r="L1299" s="2" t="inlineStr">
        <is>
          <t>pend</t>
        </is>
      </c>
      <c r="M1299" s="2" t="n"/>
      <c r="N1299" s="2" t="n"/>
      <c r="O1299" s="3" t="inlineStr">
        <is>
          <t>https://vanillabonds.com/dossier-data/pdf/fastned/fastned-2025-annual-report.pdf#page=89</t>
        </is>
      </c>
    </row>
    <row r="1300">
      <c r="A1300" s="2" t="inlineStr">
        <is>
          <t>F1299</t>
        </is>
      </c>
      <c r="B1300" s="2" t="inlineStr">
        <is>
          <t>management</t>
        </is>
      </c>
      <c r="C1300" s="2" t="inlineStr">
        <is>
          <t>governance</t>
        </is>
      </c>
      <c r="D1300" s="3" t="inlineStr">
        <is>
          <t>Board, independent members, group structure, related-party flows, dividends</t>
        </is>
      </c>
      <c r="E1300" s="2" t="n"/>
      <c r="F1300" s="2" t="n"/>
      <c r="G1300" s="2" t="n"/>
      <c r="H1300" s="3" t="inlineStr">
        <is>
          <t>DR holders have the economic rights; FAST holds and exercises the voting rights independently and does not issue voting proxies (deviation from provision 4.5.8).</t>
        </is>
      </c>
      <c r="I1300" s="2" t="inlineStr">
        <is>
          <t>S3</t>
        </is>
      </c>
      <c r="J1300" s="2" t="n">
        <v>89</v>
      </c>
      <c r="K1300" s="3" t="inlineStr">
        <is>
          <t>DR holders have economic rights of the shares in Fastned, while FAST holds the voting rights associated with them and exercises these rights independently of Fastned.</t>
        </is>
      </c>
      <c r="L1300" s="2" t="inlineStr">
        <is>
          <t>pend</t>
        </is>
      </c>
      <c r="M1300" s="2" t="n"/>
      <c r="N1300" s="2" t="n"/>
      <c r="O1300" s="3" t="inlineStr">
        <is>
          <t>https://vanillabonds.com/dossier-data/pdf/fastned/fastned-2025-annual-report.pdf#page=89</t>
        </is>
      </c>
    </row>
    <row r="1301">
      <c r="A1301" s="2" t="inlineStr">
        <is>
          <t>F1300</t>
        </is>
      </c>
      <c r="B1301" s="2" t="inlineStr">
        <is>
          <t>management</t>
        </is>
      </c>
      <c r="C1301" s="2" t="inlineStr">
        <is>
          <t>governance</t>
        </is>
      </c>
      <c r="D1301" s="3" t="inlineStr">
        <is>
          <t>Board, independent members, group structure, related-party flows, dividends</t>
        </is>
      </c>
      <c r="E1301" s="2" t="n"/>
      <c r="F1301" s="2" t="n"/>
      <c r="G1301" s="2" t="n"/>
      <c r="H1301" s="3" t="inlineStr">
        <is>
          <t>No irregularities reported under the whistleblower channels in 2025.</t>
        </is>
      </c>
      <c r="I1301" s="2" t="inlineStr">
        <is>
          <t>S3</t>
        </is>
      </c>
      <c r="J1301" s="2" t="n">
        <v>89</v>
      </c>
      <c r="K1301" s="3" t="inlineStr">
        <is>
          <t>No irregularities were reported in the financial year 2025.</t>
        </is>
      </c>
      <c r="L1301" s="2" t="inlineStr">
        <is>
          <t>pend</t>
        </is>
      </c>
      <c r="M1301" s="2" t="n"/>
      <c r="N1301" s="2" t="n"/>
      <c r="O1301" s="3" t="inlineStr">
        <is>
          <t>https://vanillabonds.com/dossier-data/pdf/fastned/fastned-2025-annual-report.pdf#page=89</t>
        </is>
      </c>
    </row>
    <row r="1302">
      <c r="A1302" s="2" t="inlineStr">
        <is>
          <t>F1301</t>
        </is>
      </c>
      <c r="B1302" s="2" t="inlineStr">
        <is>
          <t>management</t>
        </is>
      </c>
      <c r="C1302" s="2" t="inlineStr">
        <is>
          <t>governance</t>
        </is>
      </c>
      <c r="D1302" s="3" t="inlineStr">
        <is>
          <t>Board, independent members, group structure, related-party flows, dividends</t>
        </is>
      </c>
      <c r="E1302" s="2" t="n"/>
      <c r="F1302" s="2" t="n"/>
      <c r="G1302" s="2" t="n"/>
      <c r="H1302" s="3" t="inlineStr">
        <is>
          <t>No special controlling rights, no DR transfer restrictions and no change-of-control agreements (art. 5:70 Financial Supervision Act).</t>
        </is>
      </c>
      <c r="I1302" s="2" t="inlineStr">
        <is>
          <t>S3</t>
        </is>
      </c>
      <c r="J1302" s="2" t="n">
        <v>90</v>
      </c>
      <c r="K1302" s="3" t="inlineStr">
        <is>
          <t>There are no i) special controlling rights, ii) agreements that limit the transfer of DRs, or iii) significant agreements and changes in control of Fastned</t>
        </is>
      </c>
      <c r="L1302" s="2" t="inlineStr">
        <is>
          <t>pend</t>
        </is>
      </c>
      <c r="M1302" s="2" t="n"/>
      <c r="N1302" s="2" t="n"/>
      <c r="O1302" s="3" t="inlineStr">
        <is>
          <t>https://vanillabonds.com/dossier-data/pdf/fastned/fastned-2025-annual-report.pdf#page=90</t>
        </is>
      </c>
    </row>
    <row r="1303">
      <c r="A1303" s="2" t="inlineStr">
        <is>
          <t>F1302</t>
        </is>
      </c>
      <c r="B1303" s="2" t="inlineStr">
        <is>
          <t>management</t>
        </is>
      </c>
      <c r="C1303" s="2" t="inlineStr">
        <is>
          <t>governance</t>
        </is>
      </c>
      <c r="D1303" s="3" t="inlineStr">
        <is>
          <t>Board, independent members, group structure, related-party flows, dividends</t>
        </is>
      </c>
      <c r="E1303" s="2" t="n"/>
      <c r="F1303" s="2" t="n"/>
      <c r="G1303" s="2" t="n"/>
      <c r="H1303" s="3" t="inlineStr">
        <is>
          <t>Management Board authorised on 5 June 2025 to issue up to 20% of shares for general purposes plus a further 20% for the Option Plan, subject to Supervisory Board approval, valid 18 months.</t>
        </is>
      </c>
      <c r="I1303" s="2" t="inlineStr">
        <is>
          <t>S3</t>
        </is>
      </c>
      <c r="J1303" s="2" t="n">
        <v>90</v>
      </c>
      <c r="K1303" s="3" t="inlineStr">
        <is>
          <t>up to a maximum of a further 20% of the shares issued and outstanding on 5 June 2025 solely for purposes of Fastned’s Option Plan, and is valid for a period of 18 months after 5 June 2025.</t>
        </is>
      </c>
      <c r="L1303" s="2" t="inlineStr">
        <is>
          <t>pend</t>
        </is>
      </c>
      <c r="M1303" s="2" t="n"/>
      <c r="N1303" s="2" t="n"/>
      <c r="O1303" s="3" t="inlineStr">
        <is>
          <t>https://vanillabonds.com/dossier-data/pdf/fastned/fastned-2025-annual-report.pdf#page=90</t>
        </is>
      </c>
    </row>
    <row r="1304">
      <c r="A1304" s="2" t="inlineStr">
        <is>
          <t>F1303</t>
        </is>
      </c>
      <c r="B1304" s="2" t="inlineStr">
        <is>
          <t>management</t>
        </is>
      </c>
      <c r="C1304" s="2" t="inlineStr">
        <is>
          <t>governance</t>
        </is>
      </c>
      <c r="D1304" s="3" t="inlineStr">
        <is>
          <t>Board, independent members, group structure, related-party flows, dividends</t>
        </is>
      </c>
      <c r="E1304" s="2" t="n"/>
      <c r="F1304" s="2" t="n"/>
      <c r="G1304" s="2" t="n"/>
      <c r="H1304" s="3" t="inlineStr">
        <is>
          <t>Response period of up to 180 days available to the Management Board; not invoked in 2025; no private offers for business units received in 2025.</t>
        </is>
      </c>
      <c r="I1304" s="2" t="inlineStr">
        <is>
          <t>S3</t>
        </is>
      </c>
      <c r="J1304" s="2" t="n">
        <v>90</v>
      </c>
      <c r="K1304" s="3" t="inlineStr">
        <is>
          <t>In the financial year 2025, the Management Board did not invoke a response period.</t>
        </is>
      </c>
      <c r="L1304" s="2" t="inlineStr">
        <is>
          <t>pend</t>
        </is>
      </c>
      <c r="M1304" s="2" t="n"/>
      <c r="N1304" s="2" t="n"/>
      <c r="O1304" s="3" t="inlineStr">
        <is>
          <t>https://vanillabonds.com/dossier-data/pdf/fastned/fastned-2025-annual-report.pdf#page=90</t>
        </is>
      </c>
    </row>
    <row r="1305">
      <c r="A1305" s="2" t="inlineStr">
        <is>
          <t>F1304</t>
        </is>
      </c>
      <c r="B1305" s="2" t="inlineStr">
        <is>
          <t>management</t>
        </is>
      </c>
      <c r="C1305" s="2" t="inlineStr">
        <is>
          <t>governance</t>
        </is>
      </c>
      <c r="D1305" s="3" t="inlineStr">
        <is>
          <t>Board, independent members, group structure, related-party flows, dividends</t>
        </is>
      </c>
      <c r="E1305" s="2" t="n"/>
      <c r="F1305" s="2" t="n"/>
      <c r="G1305" s="2" t="n"/>
      <c r="H1305" s="3" t="inlineStr">
        <is>
          <t>Bart Lubbers and, for as long as Schroders holds 10% or more of the DRs, Jerome Janssen are not independent Supervisory Board members.</t>
        </is>
      </c>
      <c r="I1305" s="2" t="inlineStr">
        <is>
          <t>S3</t>
        </is>
      </c>
      <c r="J1305" s="2" t="n">
        <v>91</v>
      </c>
      <c r="K1305" s="3" t="inlineStr">
        <is>
          <t>both Bart Lubbers (as further described below) and, for as long as Schroders holds 10% or more of the DRs, Jérôme Janssen are not “independent”</t>
        </is>
      </c>
      <c r="L1305" s="2" t="inlineStr">
        <is>
          <t>pend</t>
        </is>
      </c>
      <c r="M1305" s="2" t="n"/>
      <c r="N1305" s="2" t="n"/>
      <c r="O1305" s="3" t="inlineStr">
        <is>
          <t>https://vanillabonds.com/dossier-data/pdf/fastned/fastned-2025-annual-report.pdf#page=91</t>
        </is>
      </c>
    </row>
    <row r="1306">
      <c r="A1306" s="2" t="inlineStr">
        <is>
          <t>F1305</t>
        </is>
      </c>
      <c r="B1306" s="2" t="inlineStr">
        <is>
          <t>management</t>
        </is>
      </c>
      <c r="C1306" s="2" t="inlineStr">
        <is>
          <t>governance</t>
        </is>
      </c>
      <c r="D1306" s="3" t="inlineStr">
        <is>
          <t>Board, independent members, group structure, related-party flows, dividends</t>
        </is>
      </c>
      <c r="E1306" s="2" t="n"/>
      <c r="F1306" s="2" t="n"/>
      <c r="G1306" s="2" t="n"/>
      <c r="H1306" s="3" t="inlineStr">
        <is>
          <t>FAST was set up by the founders as a trust office to protect the statutory mission; the FAST structure is the main protective measure and the only structural one.</t>
        </is>
      </c>
      <c r="I1306" s="2" t="inlineStr">
        <is>
          <t>S3</t>
        </is>
      </c>
      <c r="J1306" s="2" t="n">
        <v>91</v>
      </c>
      <c r="K1306" s="3" t="inlineStr">
        <is>
          <t>Fastned does not have any other structural protective measures in place.</t>
        </is>
      </c>
      <c r="L1306" s="2" t="inlineStr">
        <is>
          <t>pend</t>
        </is>
      </c>
      <c r="M1306" s="2" t="n"/>
      <c r="N1306" s="2" t="n"/>
      <c r="O1306" s="3" t="inlineStr">
        <is>
          <t>https://vanillabonds.com/dossier-data/pdf/fastned/fastned-2025-annual-report.pdf#page=91</t>
        </is>
      </c>
    </row>
    <row r="1307">
      <c r="A1307" s="2" t="inlineStr">
        <is>
          <t>F1306</t>
        </is>
      </c>
      <c r="B1307" s="2" t="inlineStr">
        <is>
          <t>management</t>
        </is>
      </c>
      <c r="C1307" s="2" t="inlineStr">
        <is>
          <t>governance</t>
        </is>
      </c>
      <c r="D1307" s="3" t="inlineStr">
        <is>
          <t>Board, independent members, group structure, related-party flows, dividends</t>
        </is>
      </c>
      <c r="E1307" s="2" t="n"/>
      <c r="F1307" s="2" t="n"/>
      <c r="G1307" s="2" t="n"/>
      <c r="H1307" s="3" t="inlineStr">
        <is>
          <t>No standalone stakeholder dialogue policy (Code provision 1.1.5); internal audit function created in 2023 within Risk &amp; Audit (principle 1.3) still being built out.</t>
        </is>
      </c>
      <c r="I1307" s="2" t="inlineStr">
        <is>
          <t>S3</t>
        </is>
      </c>
      <c r="J1307" s="2" t="n">
        <v>91</v>
      </c>
      <c r="K1307" s="3" t="inlineStr">
        <is>
          <t>Fastned created an internal audit function in 2023 and integrated it with the Risk &amp; Audit department.</t>
        </is>
      </c>
      <c r="L1307" s="2" t="inlineStr">
        <is>
          <t>pend</t>
        </is>
      </c>
      <c r="M1307" s="2" t="n"/>
      <c r="N1307" s="2" t="n"/>
      <c r="O1307" s="3" t="inlineStr">
        <is>
          <t>https://vanillabonds.com/dossier-data/pdf/fastned/fastned-2025-annual-report.pdf#page=91</t>
        </is>
      </c>
    </row>
    <row r="1308">
      <c r="A1308" s="2" t="inlineStr">
        <is>
          <t>F1307</t>
        </is>
      </c>
      <c r="B1308" s="2" t="inlineStr">
        <is>
          <t>management</t>
        </is>
      </c>
      <c r="C1308" s="2" t="inlineStr">
        <is>
          <t>governance</t>
        </is>
      </c>
      <c r="D1308" s="3" t="inlineStr">
        <is>
          <t>Board, independent members, group structure, related-party flows, dividends</t>
        </is>
      </c>
      <c r="E1308" s="2" t="n"/>
      <c r="F1308" s="2" t="n"/>
      <c r="G1308" s="2" t="n"/>
      <c r="H1308" s="3" t="inlineStr">
        <is>
          <t>FAST board members are appointed by the DR holders' meeting on a binding nomination by the FAST Board (deviation from provision 4.5.2).</t>
        </is>
      </c>
      <c r="I1308" s="2" t="inlineStr">
        <is>
          <t>S3</t>
        </is>
      </c>
      <c r="J1308" s="2" t="n">
        <v>92</v>
      </c>
      <c r="K1308" s="3" t="inlineStr">
        <is>
          <t>The members of the board of FAST are appointed by the DR Holders’ meeting on the basis of a binding nomination by the FAST Board</t>
        </is>
      </c>
      <c r="L1308" s="2" t="inlineStr">
        <is>
          <t>pend</t>
        </is>
      </c>
      <c r="M1308" s="2" t="n"/>
      <c r="N1308" s="2" t="n"/>
      <c r="O1308" s="3" t="inlineStr">
        <is>
          <t>https://vanillabonds.com/dossier-data/pdf/fastned/fastned-2025-annual-report.pdf#page=92</t>
        </is>
      </c>
    </row>
    <row r="1309">
      <c r="A1309" s="2" t="inlineStr">
        <is>
          <t>F1308</t>
        </is>
      </c>
      <c r="B1309" s="2" t="inlineStr">
        <is>
          <t>management</t>
        </is>
      </c>
      <c r="C1309" s="2" t="inlineStr">
        <is>
          <t>governance</t>
        </is>
      </c>
      <c r="D1309" s="3" t="inlineStr">
        <is>
          <t>Board, independent members, group structure, related-party flows, dividends</t>
        </is>
      </c>
      <c r="E1309" s="2" t="n"/>
      <c r="F1309" s="2" t="n"/>
      <c r="G1309" s="2" t="n"/>
      <c r="H1309" s="3" t="inlineStr">
        <is>
          <t>Remuneration policy for both boards approved at the AGM of 5 June 2025 without material changes; Supervisory Board sets Management Board pay on the committee's proposal.</t>
        </is>
      </c>
      <c r="I1309" s="2" t="inlineStr">
        <is>
          <t>S3</t>
        </is>
      </c>
      <c r="J1309" s="2" t="n">
        <v>93</v>
      </c>
      <c r="K1309" s="3" t="inlineStr">
        <is>
          <t>most recently approved at the Annual General Meeting on 5 June 2025 without any material changes</t>
        </is>
      </c>
      <c r="L1309" s="2" t="inlineStr">
        <is>
          <t>pend</t>
        </is>
      </c>
      <c r="M1309" s="2" t="n"/>
      <c r="N1309" s="2" t="n"/>
      <c r="O1309" s="3" t="inlineStr">
        <is>
          <t>https://vanillabonds.com/dossier-data/pdf/fastned/fastned-2025-annual-report.pdf#page=93</t>
        </is>
      </c>
    </row>
    <row r="1310">
      <c r="A1310" s="2" t="inlineStr">
        <is>
          <t>F1309</t>
        </is>
      </c>
      <c r="B1310" s="2" t="inlineStr">
        <is>
          <t>management</t>
        </is>
      </c>
      <c r="C1310" s="2" t="inlineStr">
        <is>
          <t>governance</t>
        </is>
      </c>
      <c r="D1310" s="3" t="inlineStr">
        <is>
          <t>Board, independent members, group structure, related-party flows, dividends</t>
        </is>
      </c>
      <c r="E1310" s="2" t="n"/>
      <c r="F1310" s="2" t="n"/>
      <c r="G1310" s="2" t="n"/>
      <c r="H1310" s="3" t="inlineStr">
        <is>
          <t>No personal loans, advances or guarantees to Management Board members; no severance arrangements; employment agreements indefinite with one-month notice.</t>
        </is>
      </c>
      <c r="I1310" s="2" t="inlineStr">
        <is>
          <t>S3</t>
        </is>
      </c>
      <c r="J1310" s="2" t="n">
        <v>93</v>
      </c>
      <c r="K1310" s="3" t="inlineStr">
        <is>
          <t>Fastned does not provide any personal loans, advances or guarantees to Management Board members. There are no contractual severance arrangements in place</t>
        </is>
      </c>
      <c r="L1310" s="2" t="inlineStr">
        <is>
          <t>pend</t>
        </is>
      </c>
      <c r="M1310" s="2" t="n"/>
      <c r="N1310" s="2" t="n"/>
      <c r="O1310" s="3" t="inlineStr">
        <is>
          <t>https://vanillabonds.com/dossier-data/pdf/fastned/fastned-2025-annual-report.pdf#page=93</t>
        </is>
      </c>
    </row>
    <row r="1311">
      <c r="A1311" s="2" t="inlineStr">
        <is>
          <t>F1310</t>
        </is>
      </c>
      <c r="B1311" s="2" t="inlineStr">
        <is>
          <t>management</t>
        </is>
      </c>
      <c r="C1311" s="2" t="inlineStr">
        <is>
          <t>governance</t>
        </is>
      </c>
      <c r="D1311" s="3" t="inlineStr">
        <is>
          <t>Board, independent members, group structure, related-party flows, dividends</t>
        </is>
      </c>
      <c r="E1311" s="2" t="n"/>
      <c r="F1311" s="2" t="n"/>
      <c r="G1311" s="2" t="n"/>
      <c r="H1311" s="3" t="inlineStr">
        <is>
          <t>Option Plan: ten milestones pairing market capitalisation (EUR 150m to EUR 1bn, held over 30 consecutive days) with operational goals; each met milestone allocates options for 1% of outstanding DRs; milestones 1-4 realised; none met in 2025.</t>
        </is>
      </c>
      <c r="I1311" s="2" t="inlineStr">
        <is>
          <t>S3</t>
        </is>
      </c>
      <c r="J1311" s="2" t="n">
        <v>94</v>
      </c>
      <c r="K1311" s="3" t="inlineStr">
        <is>
          <t>No milestones were met in 2025, therefore no options under the Option Plan were granted.</t>
        </is>
      </c>
      <c r="L1311" s="2" t="inlineStr">
        <is>
          <t>pend</t>
        </is>
      </c>
      <c r="M1311" s="2" t="n"/>
      <c r="N1311" s="2" t="n"/>
      <c r="O1311" s="3" t="inlineStr">
        <is>
          <t>https://vanillabonds.com/dossier-data/pdf/fastned/fastned-2025-annual-report.pdf#page=94</t>
        </is>
      </c>
    </row>
    <row r="1312">
      <c r="A1312" s="2" t="inlineStr">
        <is>
          <t>F1311</t>
        </is>
      </c>
      <c r="B1312" s="2" t="inlineStr">
        <is>
          <t>management</t>
        </is>
      </c>
      <c r="C1312" s="2" t="inlineStr">
        <is>
          <t>governance</t>
        </is>
      </c>
      <c r="D1312" s="3" t="inlineStr">
        <is>
          <t>Board, independent members, group structure, related-party flows, dividends</t>
        </is>
      </c>
      <c r="E1312" s="2" t="n"/>
      <c r="F1312" s="2" t="n"/>
      <c r="G1312" s="2" t="n"/>
      <c r="H1312" s="3" t="inlineStr">
        <is>
          <t>Mr Langezaal is excluded from the Option Plan and, as a major DR holder (more than 10% under the Dutch Pensions Act definition), not eligible for the pension scheme.</t>
        </is>
      </c>
      <c r="I1312" s="2" t="inlineStr">
        <is>
          <t>S3</t>
        </is>
      </c>
      <c r="J1312" s="2" t="n">
        <v>95</v>
      </c>
      <c r="K1312" s="3" t="inlineStr">
        <is>
          <t>Mr. Langezaal is therefore not eligible to participate in the pension scheme.</t>
        </is>
      </c>
      <c r="L1312" s="2" t="inlineStr">
        <is>
          <t>pend</t>
        </is>
      </c>
      <c r="M1312" s="2" t="n"/>
      <c r="N1312" s="2" t="n"/>
      <c r="O1312" s="3" t="inlineStr">
        <is>
          <t>https://vanillabonds.com/dossier-data/pdf/fastned/fastned-2025-annual-report.pdf#page=95</t>
        </is>
      </c>
    </row>
    <row r="1313">
      <c r="A1313" s="2" t="inlineStr">
        <is>
          <t>F1312</t>
        </is>
      </c>
      <c r="B1313" s="2" t="inlineStr">
        <is>
          <t>management</t>
        </is>
      </c>
      <c r="C1313" s="2" t="inlineStr">
        <is>
          <t>governance</t>
        </is>
      </c>
      <c r="D1313" s="3" t="inlineStr">
        <is>
          <t>Board, independent members, group structure, related-party flows, dividends</t>
        </is>
      </c>
      <c r="E1313" s="2" t="n"/>
      <c r="F1313" s="2" t="n"/>
      <c r="G1313" s="2" t="n"/>
      <c r="H1313" s="3" t="inlineStr">
        <is>
          <t>Maaike Veen was reappointed as member of the FAST Board at the General Meeting of 5 June 2025 on a binding nomination by FAST approved by the Supervisory Board.</t>
        </is>
      </c>
      <c r="I1313" s="2" t="inlineStr">
        <is>
          <t>S3</t>
        </is>
      </c>
      <c r="J1313" s="2" t="n">
        <v>100</v>
      </c>
      <c r="K1313" s="3" t="inlineStr">
        <is>
          <t>During the General Meeting held on 5 June 2025 Maaike Veen was reappointed as member of the FAST Board.</t>
        </is>
      </c>
      <c r="L1313" s="2" t="inlineStr">
        <is>
          <t>pend</t>
        </is>
      </c>
      <c r="M1313" s="2" t="n"/>
      <c r="N1313" s="2" t="n"/>
      <c r="O1313" s="3" t="inlineStr">
        <is>
          <t>https://vanillabonds.com/dossier-data/pdf/fastned/fastned-2025-annual-report.pdf#page=100</t>
        </is>
      </c>
    </row>
    <row r="1314">
      <c r="A1314" s="2" t="inlineStr">
        <is>
          <t>F1313</t>
        </is>
      </c>
      <c r="B1314" s="2" t="inlineStr">
        <is>
          <t>management</t>
        </is>
      </c>
      <c r="C1314" s="2" t="inlineStr">
        <is>
          <t>governance</t>
        </is>
      </c>
      <c r="D1314" s="3" t="inlineStr">
        <is>
          <t>Board, independent members, group structure, related-party flows, dividends</t>
        </is>
      </c>
      <c r="E1314" s="2" t="n"/>
      <c r="F1314" s="2" t="n"/>
      <c r="G1314" s="2" t="n"/>
      <c r="H1314" s="3" t="inlineStr">
        <is>
          <t>Niels Korthals Altes, former COO and Management Board member, was appointed FAST Board member on 5 June 2025; the Supervisory Board approved a deviation from FAST's articles as he is not considered independent.</t>
        </is>
      </c>
      <c r="I1314" s="2" t="inlineStr">
        <is>
          <t>S3</t>
        </is>
      </c>
      <c r="J1314" s="2" t="n">
        <v>100</v>
      </c>
      <c r="K1314" s="3" t="inlineStr">
        <is>
          <t>approved the deviation from FAST’s articles of association since he is not considered independent given his previous role</t>
        </is>
      </c>
      <c r="L1314" s="2" t="inlineStr">
        <is>
          <t>pend</t>
        </is>
      </c>
      <c r="M1314" s="2" t="n"/>
      <c r="N1314" s="2" t="n"/>
      <c r="O1314" s="3" t="inlineStr">
        <is>
          <t>https://vanillabonds.com/dossier-data/pdf/fastned/fastned-2025-annual-report.pdf#page=100</t>
        </is>
      </c>
    </row>
    <row r="1315">
      <c r="A1315" s="2" t="inlineStr">
        <is>
          <t>F1314</t>
        </is>
      </c>
      <c r="B1315" s="2" t="inlineStr">
        <is>
          <t>management</t>
        </is>
      </c>
      <c r="C1315" s="2" t="inlineStr">
        <is>
          <t>governance</t>
        </is>
      </c>
      <c r="D1315" s="3" t="inlineStr">
        <is>
          <t>Board, independent members, group structure, related-party flows, dividends</t>
        </is>
      </c>
      <c r="E1315" s="2" t="n"/>
      <c r="F1315" s="2" t="n"/>
      <c r="G1315" s="2" t="n"/>
      <c r="H1315" s="3" t="inlineStr">
        <is>
          <t>Nancy Kabalt was reappointed as Supervisory Director for a second term at an extraordinary general meeting on 11 November 2025.</t>
        </is>
      </c>
      <c r="I1315" s="2" t="inlineStr">
        <is>
          <t>S3</t>
        </is>
      </c>
      <c r="J1315" s="2" t="n">
        <v>100</v>
      </c>
      <c r="K1315" s="3" t="inlineStr">
        <is>
          <t>Nancy was reappointed during an extraordinary general meeting of Fastned on 11 November 2025.</t>
        </is>
      </c>
      <c r="L1315" s="2" t="inlineStr">
        <is>
          <t>pend</t>
        </is>
      </c>
      <c r="M1315" s="2" t="n"/>
      <c r="N1315" s="2" t="n"/>
      <c r="O1315" s="3" t="inlineStr">
        <is>
          <t>https://vanillabonds.com/dossier-data/pdf/fastned/fastned-2025-annual-report.pdf#page=100</t>
        </is>
      </c>
    </row>
    <row r="1316">
      <c r="A1316" s="2" t="inlineStr">
        <is>
          <t>F1315</t>
        </is>
      </c>
      <c r="B1316" s="2" t="inlineStr">
        <is>
          <t>management</t>
        </is>
      </c>
      <c r="C1316" s="2" t="inlineStr">
        <is>
          <t>governance</t>
        </is>
      </c>
      <c r="D1316" s="3" t="inlineStr">
        <is>
          <t>Board, independent members, group structure, related-party flows, dividends</t>
        </is>
      </c>
      <c r="E1316" s="2" t="n"/>
      <c r="F1316" s="2" t="n"/>
      <c r="G1316" s="2" t="n"/>
      <c r="H1316" s="3" t="inlineStr">
        <is>
          <t>Two-tier governance: the Management Board and the Supervisory Board share overall responsibility for the Company's strategy and risk profile.</t>
        </is>
      </c>
      <c r="I1316" s="2" t="inlineStr">
        <is>
          <t>S3</t>
        </is>
      </c>
      <c r="J1316" s="2" t="n">
        <v>101</v>
      </c>
      <c r="K1316" s="3" t="inlineStr">
        <is>
          <t>Fastned has a two-tier governance structure, which requires a structured relationship between the Management Board and the Supervisory Board.</t>
        </is>
      </c>
      <c r="L1316" s="2" t="inlineStr">
        <is>
          <t>pend</t>
        </is>
      </c>
      <c r="M1316" s="2" t="n"/>
      <c r="N1316" s="2" t="n"/>
      <c r="O1316" s="3" t="inlineStr">
        <is>
          <t>https://vanillabonds.com/dossier-data/pdf/fastned/fastned-2025-annual-report.pdf#page=101</t>
        </is>
      </c>
    </row>
    <row r="1317">
      <c r="A1317" s="2" t="inlineStr">
        <is>
          <t>F1316</t>
        </is>
      </c>
      <c r="B1317" s="2" t="inlineStr">
        <is>
          <t>management</t>
        </is>
      </c>
      <c r="C1317" s="2" t="inlineStr">
        <is>
          <t>governance</t>
        </is>
      </c>
      <c r="D1317" s="3" t="inlineStr">
        <is>
          <t>Board, independent members, group structure, related-party flows, dividends</t>
        </is>
      </c>
      <c r="E1317" s="2" t="n"/>
      <c r="F1317" s="2" t="n"/>
      <c r="G1317" s="2" t="n"/>
      <c r="H1317" s="3" t="inlineStr">
        <is>
          <t>Liselotte Kooi (Chair) and Nancy Kabalt are independent Supervisory Board members; Bart Lubbers and Jerome Janssen, as major shareholders, are not considered independent.</t>
        </is>
      </c>
      <c r="I1317" s="2" t="inlineStr">
        <is>
          <t>S3</t>
        </is>
      </c>
      <c r="J1317" s="2" t="n">
        <v>101</v>
      </c>
      <c r="K1317" s="3" t="inlineStr">
        <is>
          <t>Supervisory Board members Liselotte Kooi (Chair) and Nancy Kabalt are both independent members.</t>
        </is>
      </c>
      <c r="L1317" s="2" t="inlineStr">
        <is>
          <t>pend</t>
        </is>
      </c>
      <c r="M1317" s="2" t="n"/>
      <c r="N1317" s="2" t="n"/>
      <c r="O1317" s="3" t="inlineStr">
        <is>
          <t>https://vanillabonds.com/dossier-data/pdf/fastned/fastned-2025-annual-report.pdf#page=101</t>
        </is>
      </c>
    </row>
    <row r="1318">
      <c r="A1318" s="2" t="inlineStr">
        <is>
          <t>F1317</t>
        </is>
      </c>
      <c r="B1318" s="2" t="inlineStr">
        <is>
          <t>management</t>
        </is>
      </c>
      <c r="C1318" s="2" t="inlineStr">
        <is>
          <t>governance</t>
        </is>
      </c>
      <c r="D1318" s="3" t="inlineStr">
        <is>
          <t>Board, independent members, group structure, related-party flows, dividends</t>
        </is>
      </c>
      <c r="E1318" s="2" t="n"/>
      <c r="F1318" s="2" t="n"/>
      <c r="G1318" s="2" t="n"/>
      <c r="H1318" s="3" t="inlineStr">
        <is>
          <t>The Supervisory Board evaluates its own functioning, its committees and individual members every year (best practice 2.2.6 Dutch Corporate Governance Code), via a survey of members, Management Board and employees.</t>
        </is>
      </c>
      <c r="I1318" s="2" t="inlineStr">
        <is>
          <t>S3</t>
        </is>
      </c>
      <c r="J1318" s="2" t="n">
        <v>101</v>
      </c>
      <c r="K1318" s="3" t="inlineStr">
        <is>
          <t>Every year, the Supervisory Board evaluates its own functioning and that of its separate committees and individual members</t>
        </is>
      </c>
      <c r="L1318" s="2" t="inlineStr">
        <is>
          <t>pend</t>
        </is>
      </c>
      <c r="M1318" s="2" t="n"/>
      <c r="N1318" s="2" t="n"/>
      <c r="O1318" s="3" t="inlineStr">
        <is>
          <t>https://vanillabonds.com/dossier-data/pdf/fastned/fastned-2025-annual-report.pdf#page=101</t>
        </is>
      </c>
    </row>
    <row r="1319">
      <c r="A1319" s="2" t="inlineStr">
        <is>
          <t>F1318</t>
        </is>
      </c>
      <c r="B1319" s="2" t="inlineStr">
        <is>
          <t>management</t>
        </is>
      </c>
      <c r="C1319" s="2" t="inlineStr">
        <is>
          <t>governance</t>
        </is>
      </c>
      <c r="D1319" s="3" t="inlineStr">
        <is>
          <t>Board, independent members, group structure, related-party flows, dividends</t>
        </is>
      </c>
      <c r="E1319" s="2" t="n"/>
      <c r="F1319" s="2" t="n"/>
      <c r="G1319" s="2" t="n"/>
      <c r="H1319" s="3" t="inlineStr">
        <is>
          <t>The Supervisory Board has two committees, the Audit Committee and the Remuneration and Nomination Committee; all four supervisory directors sit on both.</t>
        </is>
      </c>
      <c r="I1319" s="2" t="inlineStr">
        <is>
          <t>S3</t>
        </is>
      </c>
      <c r="J1319" s="2" t="n">
        <v>102</v>
      </c>
      <c r="K1319" s="3" t="inlineStr">
        <is>
          <t>The Supervisory Board organises its tasks across two committees: the Audit Committee and the Remuneration and Nomination Committee.</t>
        </is>
      </c>
      <c r="L1319" s="2" t="inlineStr">
        <is>
          <t>pend</t>
        </is>
      </c>
      <c r="M1319" s="2" t="n"/>
      <c r="N1319" s="2" t="n"/>
      <c r="O1319" s="3" t="inlineStr">
        <is>
          <t>https://vanillabonds.com/dossier-data/pdf/fastned/fastned-2025-annual-report.pdf#page=102</t>
        </is>
      </c>
    </row>
    <row r="1320">
      <c r="A1320" s="2" t="inlineStr">
        <is>
          <t>F1319</t>
        </is>
      </c>
      <c r="B1320" s="2" t="inlineStr">
        <is>
          <t>management</t>
        </is>
      </c>
      <c r="C1320" s="2" t="inlineStr">
        <is>
          <t>governance</t>
        </is>
      </c>
      <c r="D1320" s="3" t="inlineStr">
        <is>
          <t>Board, independent members, group structure, related-party flows, dividends</t>
        </is>
      </c>
      <c r="E1320" s="2" t="n"/>
      <c r="F1320" s="2" t="n"/>
      <c r="G1320" s="2" t="n"/>
      <c r="H1320" s="3" t="inlineStr">
        <is>
          <t>The Audit Committee held 6 formal meetings in 2025 in the presence of the external auditor, the CFO and the Group Controller, including on arranging financing.</t>
        </is>
      </c>
      <c r="I1320" s="2" t="inlineStr">
        <is>
          <t>S3</t>
        </is>
      </c>
      <c r="J1320" s="2" t="n">
        <v>102</v>
      </c>
      <c r="K1320" s="3" t="inlineStr">
        <is>
          <t>In total in 2025, the Audit Committee held 6 formal meetings in the presence of the external auditor, the CFO and the Group Controller</t>
        </is>
      </c>
      <c r="L1320" s="2" t="inlineStr">
        <is>
          <t>pend</t>
        </is>
      </c>
      <c r="M1320" s="2" t="n"/>
      <c r="N1320" s="2" t="n"/>
      <c r="O1320" s="3" t="inlineStr">
        <is>
          <t>https://vanillabonds.com/dossier-data/pdf/fastned/fastned-2025-annual-report.pdf#page=102</t>
        </is>
      </c>
    </row>
    <row r="1321">
      <c r="A1321" s="2" t="inlineStr">
        <is>
          <t>F1320</t>
        </is>
      </c>
      <c r="B1321" s="2" t="inlineStr">
        <is>
          <t>management</t>
        </is>
      </c>
      <c r="C1321" s="2" t="inlineStr">
        <is>
          <t>governance</t>
        </is>
      </c>
      <c r="D1321" s="3" t="inlineStr">
        <is>
          <t>Board, independent members, group structure, related-party flows, dividends</t>
        </is>
      </c>
      <c r="E1321" s="2" t="n"/>
      <c r="F1321" s="2" t="n"/>
      <c r="G1321" s="2" t="n"/>
      <c r="H1321" s="3" t="inlineStr">
        <is>
          <t>The Supervisory Board held six ordinary meetings in 2025 plus extraordinary meetings; attendance rate of all members 91%.</t>
        </is>
      </c>
      <c r="I1321" s="2" t="inlineStr">
        <is>
          <t>S3</t>
        </is>
      </c>
      <c r="J1321" s="2" t="n">
        <v>102</v>
      </c>
      <c r="K1321" s="3" t="inlineStr">
        <is>
          <t>The attendance rate of all Supervisory Board members in 2025 was 91%.</t>
        </is>
      </c>
      <c r="L1321" s="2" t="inlineStr">
        <is>
          <t>pend</t>
        </is>
      </c>
      <c r="M1321" s="2" t="n"/>
      <c r="N1321" s="2" t="n"/>
      <c r="O1321" s="3" t="inlineStr">
        <is>
          <t>https://vanillabonds.com/dossier-data/pdf/fastned/fastned-2025-annual-report.pdf#page=102</t>
        </is>
      </c>
    </row>
    <row r="1322">
      <c r="A1322" s="2" t="inlineStr">
        <is>
          <t>F1321</t>
        </is>
      </c>
      <c r="B1322" s="2" t="inlineStr">
        <is>
          <t>management</t>
        </is>
      </c>
      <c r="C1322" s="2" t="inlineStr">
        <is>
          <t>governance</t>
        </is>
      </c>
      <c r="D1322" s="3" t="inlineStr">
        <is>
          <t>Board, independent members, group structure, related-party flows, dividends</t>
        </is>
      </c>
      <c r="E1322" s="2" t="n"/>
      <c r="F1322" s="2" t="n"/>
      <c r="G1322" s="2" t="n"/>
      <c r="H1322" s="3" t="inlineStr">
        <is>
          <t>The 2025 board evaluation identified as improvement points more time for long-term strategic discussions, financial planning and funding.</t>
        </is>
      </c>
      <c r="I1322" s="2" t="inlineStr">
        <is>
          <t>S3</t>
        </is>
      </c>
      <c r="J1322" s="2" t="n">
        <v>102</v>
      </c>
      <c r="K1322" s="3" t="inlineStr">
        <is>
          <t>The main points for improvement identified related in particular to devoting more time to long-term strategic discussions, financial planning and funding</t>
        </is>
      </c>
      <c r="L1322" s="2" t="inlineStr">
        <is>
          <t>pend</t>
        </is>
      </c>
      <c r="M1322" s="2" t="n"/>
      <c r="N1322" s="2" t="n"/>
      <c r="O1322" s="3" t="inlineStr">
        <is>
          <t>https://vanillabonds.com/dossier-data/pdf/fastned/fastned-2025-annual-report.pdf#page=102</t>
        </is>
      </c>
    </row>
    <row r="1323">
      <c r="A1323" s="2" t="inlineStr">
        <is>
          <t>F1322</t>
        </is>
      </c>
      <c r="B1323" s="2" t="inlineStr">
        <is>
          <t>management</t>
        </is>
      </c>
      <c r="C1323" s="2" t="inlineStr">
        <is>
          <t>governance</t>
        </is>
      </c>
      <c r="D1323" s="3" t="inlineStr">
        <is>
          <t>Board, independent members, group structure, related-party flows, dividends</t>
        </is>
      </c>
      <c r="E1323" s="2" t="n"/>
      <c r="F1323" s="2" t="n"/>
      <c r="G1323" s="2" t="n"/>
      <c r="H1323" s="3" t="inlineStr">
        <is>
          <t>The Supervisory Board recommends that the AGM adopts the 2025 financial statements and discharges the Management Board and Supervisory Board members.</t>
        </is>
      </c>
      <c r="I1323" s="2" t="inlineStr">
        <is>
          <t>S3</t>
        </is>
      </c>
      <c r="J1323" s="2" t="n">
        <v>103</v>
      </c>
      <c r="K1323" s="3" t="inlineStr">
        <is>
          <t>The Supervisory Board recommends that the Annual General Meeting adopts the 2025 financial statements.</t>
        </is>
      </c>
      <c r="L1323" s="2" t="inlineStr">
        <is>
          <t>pend</t>
        </is>
      </c>
      <c r="M1323" s="2" t="n"/>
      <c r="N1323" s="2" t="n"/>
      <c r="O1323" s="3" t="inlineStr">
        <is>
          <t>https://vanillabonds.com/dossier-data/pdf/fastned/fastned-2025-annual-report.pdf#page=103</t>
        </is>
      </c>
    </row>
    <row r="1324">
      <c r="A1324" s="2" t="inlineStr">
        <is>
          <t>F1323</t>
        </is>
      </c>
      <c r="B1324" s="2" t="inlineStr">
        <is>
          <t>management</t>
        </is>
      </c>
      <c r="C1324" s="2" t="inlineStr">
        <is>
          <t>governance</t>
        </is>
      </c>
      <c r="D1324" s="3" t="inlineStr">
        <is>
          <t>Board, independent members, group structure, related-party flows, dividends</t>
        </is>
      </c>
      <c r="E1324" s="2" t="n"/>
      <c r="F1324" s="2" t="n"/>
      <c r="G1324" s="2" t="n"/>
      <c r="H1324" s="3" t="inlineStr">
        <is>
          <t>Chair Liselotte Kooi has been Director Group Legal and Company Secretary at Royal FrieslandCampina N.V. since 2013; former corporate lawyer at De Brauw Blackstone Westbroek N.V.</t>
        </is>
      </c>
      <c r="I1324" s="2" t="inlineStr">
        <is>
          <t>S3</t>
        </is>
      </c>
      <c r="J1324" s="2" t="n">
        <v>105</v>
      </c>
      <c r="K1324" s="3" t="inlineStr">
        <is>
          <t>Since 2013, Liselotte has worked at Royal FrieslandCampina N.V., a large Dutch dairy cooperative and multinational.</t>
        </is>
      </c>
      <c r="L1324" s="2" t="inlineStr">
        <is>
          <t>pend</t>
        </is>
      </c>
      <c r="M1324" s="2" t="n"/>
      <c r="N1324" s="2" t="n"/>
      <c r="O1324" s="3" t="inlineStr">
        <is>
          <t>https://vanillabonds.com/dossier-data/pdf/fastned/fastned-2025-annual-report.pdf#page=105</t>
        </is>
      </c>
    </row>
    <row r="1325">
      <c r="A1325" s="2" t="inlineStr">
        <is>
          <t>F1324</t>
        </is>
      </c>
      <c r="B1325" s="2" t="inlineStr">
        <is>
          <t>management</t>
        </is>
      </c>
      <c r="C1325" s="2" t="inlineStr">
        <is>
          <t>governance</t>
        </is>
      </c>
      <c r="D1325" s="3" t="inlineStr">
        <is>
          <t>Board, independent members, group structure, related-party flows, dividends</t>
        </is>
      </c>
      <c r="E1325" s="2" t="n"/>
      <c r="F1325" s="2" t="n"/>
      <c r="G1325" s="2" t="n"/>
      <c r="H1325" s="3" t="inlineStr">
        <is>
          <t>Bart Lubbers, non-independent Supervisory Board member and Fastned founder, is Managing Director of Breesaap B.V. (since 1995) and Wilhelmina-Dok B.V. (since 1999).</t>
        </is>
      </c>
      <c r="I1325" s="2" t="inlineStr">
        <is>
          <t>S3</t>
        </is>
      </c>
      <c r="J1325" s="2" t="n">
        <v>106</v>
      </c>
      <c r="K1325" s="3" t="inlineStr">
        <is>
          <t>Bart Lubbers is a non-independent member of the Supervisory Board. He is one of the founders of Fastned.</t>
        </is>
      </c>
      <c r="L1325" s="2" t="inlineStr">
        <is>
          <t>pend</t>
        </is>
      </c>
      <c r="M1325" s="2" t="n"/>
      <c r="N1325" s="2" t="n"/>
      <c r="O1325" s="3" t="inlineStr">
        <is>
          <t>https://vanillabonds.com/dossier-data/pdf/fastned/fastned-2025-annual-report.pdf#page=106</t>
        </is>
      </c>
    </row>
    <row r="1326">
      <c r="A1326" s="2" t="inlineStr">
        <is>
          <t>F1325</t>
        </is>
      </c>
      <c r="B1326" s="2" t="inlineStr">
        <is>
          <t>management</t>
        </is>
      </c>
      <c r="C1326" s="2" t="inlineStr">
        <is>
          <t>governance</t>
        </is>
      </c>
      <c r="D1326" s="3" t="inlineStr">
        <is>
          <t>Board, independent members, group structure, related-party flows, dividends</t>
        </is>
      </c>
      <c r="E1326" s="2" t="n"/>
      <c r="F1326" s="2" t="n"/>
      <c r="G1326" s="2" t="n"/>
      <c r="H1326" s="3" t="inlineStr">
        <is>
          <t>Jérôme Janssen is co-head of infrastructure equity investments at Schroders Capital since January 2019, previously in charge of infrastructure investments at Crédit Agricole Assurances.</t>
        </is>
      </c>
      <c r="I1326" s="2" t="inlineStr">
        <is>
          <t>S3</t>
        </is>
      </c>
      <c r="J1326" s="2" t="n">
        <v>106</v>
      </c>
      <c r="K1326" s="3" t="inlineStr">
        <is>
          <t>Jérôme Janssen joined Schroders Capital in January 2019 as co-head of infrastructure equity investments.</t>
        </is>
      </c>
      <c r="L1326" s="2" t="inlineStr">
        <is>
          <t>pend</t>
        </is>
      </c>
      <c r="M1326" s="2" t="n"/>
      <c r="N1326" s="2" t="n"/>
      <c r="O1326" s="3" t="inlineStr">
        <is>
          <t>https://vanillabonds.com/dossier-data/pdf/fastned/fastned-2025-annual-report.pdf#page=106</t>
        </is>
      </c>
    </row>
    <row r="1327">
      <c r="A1327" s="2" t="inlineStr">
        <is>
          <t>F1326</t>
        </is>
      </c>
      <c r="B1327" s="2" t="inlineStr">
        <is>
          <t>management</t>
        </is>
      </c>
      <c r="C1327" s="2" t="inlineStr">
        <is>
          <t>governance</t>
        </is>
      </c>
      <c r="D1327" s="3" t="inlineStr">
        <is>
          <t>Board, independent members, group structure, related-party flows, dividends</t>
        </is>
      </c>
      <c r="E1327" s="2" t="n"/>
      <c r="F1327" s="2" t="n"/>
      <c r="G1327" s="2" t="n"/>
      <c r="H1327" s="3" t="inlineStr">
        <is>
          <t>Nancy Kabalt is an independent Supervisory Board member, partner at energy consultancy Windkracht 5! and chair of the Dutch Formula E team public-private partnership.</t>
        </is>
      </c>
      <c r="I1327" s="2" t="inlineStr">
        <is>
          <t>S3</t>
        </is>
      </c>
      <c r="J1327" s="2" t="n">
        <v>106</v>
      </c>
      <c r="K1327" s="3" t="inlineStr">
        <is>
          <t>Nancy Kabalt is an independent member of the Supervisory Board.</t>
        </is>
      </c>
      <c r="L1327" s="2" t="inlineStr">
        <is>
          <t>pend</t>
        </is>
      </c>
      <c r="M1327" s="2" t="n"/>
      <c r="N1327" s="2" t="n"/>
      <c r="O1327" s="3" t="inlineStr">
        <is>
          <t>https://vanillabonds.com/dossier-data/pdf/fastned/fastned-2025-annual-report.pdf#page=106</t>
        </is>
      </c>
    </row>
    <row r="1328">
      <c r="A1328" s="2" t="inlineStr">
        <is>
          <t>F1327</t>
        </is>
      </c>
      <c r="B1328" s="2" t="inlineStr">
        <is>
          <t>management</t>
        </is>
      </c>
      <c r="C1328" s="2" t="inlineStr">
        <is>
          <t>governance</t>
        </is>
      </c>
      <c r="D1328" s="3" t="inlineStr">
        <is>
          <t>Board, independent members, group structure, related-party flows, dividends</t>
        </is>
      </c>
      <c r="E1328" s="2" t="n"/>
      <c r="F1328" s="2" t="n"/>
      <c r="G1328" s="2" t="n"/>
      <c r="H1328" s="3" t="inlineStr">
        <is>
          <t>FAST Board (Fastned Administratie Stichting): Maaike Veen Chair since 2021 (term 2025), Henk Pals since 2019 (term 2027), Niels Korthals Altes since 2025 (term 2029); Michiel Weghs member 2023 until October 2025.</t>
        </is>
      </c>
      <c r="I1328" s="2" t="inlineStr">
        <is>
          <t>S3</t>
        </is>
      </c>
      <c r="J1328" s="2" t="n">
        <v>107</v>
      </c>
      <c r="K1328" s="3" t="inlineStr">
        <is>
          <t>Michiel Weghs was member of the FAST Board from 2023 until October 2025.</t>
        </is>
      </c>
      <c r="L1328" s="2" t="inlineStr">
        <is>
          <t>pend</t>
        </is>
      </c>
      <c r="M1328" s="2" t="n"/>
      <c r="N1328" s="2" t="n"/>
      <c r="O1328" s="3" t="inlineStr">
        <is>
          <t>https://vanillabonds.com/dossier-data/pdf/fastned/fastned-2025-annual-report.pdf#page=107</t>
        </is>
      </c>
    </row>
    <row r="1329">
      <c r="A1329" s="2" t="inlineStr">
        <is>
          <t>F1328</t>
        </is>
      </c>
      <c r="B1329" s="2" t="inlineStr">
        <is>
          <t>management</t>
        </is>
      </c>
      <c r="C1329" s="2" t="inlineStr">
        <is>
          <t>governance</t>
        </is>
      </c>
      <c r="D1329" s="3" t="inlineStr">
        <is>
          <t>Board, independent members, group structure, related-party flows, dividends</t>
        </is>
      </c>
      <c r="E1329" s="2" t="n"/>
      <c r="F1329" s="2" t="n"/>
      <c r="G1329" s="2" t="n"/>
      <c r="H1329" s="3" t="inlineStr">
        <is>
          <t>Maaike Veen, FAST Board Chair, was appointed to the Foundation Board on 3 June 2021; she works as impact and communications manager for XSML Capital.</t>
        </is>
      </c>
      <c r="I1329" s="2" t="inlineStr">
        <is>
          <t>S3</t>
        </is>
      </c>
      <c r="J1329" s="2" t="n">
        <v>107</v>
      </c>
      <c r="K1329" s="3" t="inlineStr">
        <is>
          <t>She was appointed as a member of the Foundation Board on 3 June, 2021.</t>
        </is>
      </c>
      <c r="L1329" s="2" t="inlineStr">
        <is>
          <t>pend</t>
        </is>
      </c>
      <c r="M1329" s="2" t="n"/>
      <c r="N1329" s="2" t="n"/>
      <c r="O1329" s="3" t="inlineStr">
        <is>
          <t>https://vanillabonds.com/dossier-data/pdf/fastned/fastned-2025-annual-report.pdf#page=107</t>
        </is>
      </c>
    </row>
    <row r="1330">
      <c r="A1330" s="2" t="inlineStr">
        <is>
          <t>F1329</t>
        </is>
      </c>
      <c r="B1330" s="2" t="inlineStr">
        <is>
          <t>management</t>
        </is>
      </c>
      <c r="C1330" s="2" t="inlineStr">
        <is>
          <t>governance</t>
        </is>
      </c>
      <c r="D1330" s="3" t="inlineStr">
        <is>
          <t>Board, independent members, group structure, related-party flows, dividends</t>
        </is>
      </c>
      <c r="E1330" s="2" t="n"/>
      <c r="F1330" s="2" t="n"/>
      <c r="G1330" s="2" t="n"/>
      <c r="H1330" s="3" t="inlineStr">
        <is>
          <t>Henk Pals was appointed secretary of the Foundation Board on 24 May 2019; former CPA, partner at Dutch Dream Group (M&amp;A and corporate finance advisory).</t>
        </is>
      </c>
      <c r="I1330" s="2" t="inlineStr">
        <is>
          <t>S3</t>
        </is>
      </c>
      <c r="J1330" s="2" t="n">
        <v>108</v>
      </c>
      <c r="K1330" s="3" t="inlineStr">
        <is>
          <t>Henk Pals was appointed as secretary of the Foundation Board on 24 May, 2019.</t>
        </is>
      </c>
      <c r="L1330" s="2" t="inlineStr">
        <is>
          <t>pend</t>
        </is>
      </c>
      <c r="M1330" s="2" t="n"/>
      <c r="N1330" s="2" t="n"/>
      <c r="O1330" s="3" t="inlineStr">
        <is>
          <t>https://vanillabonds.com/dossier-data/pdf/fastned/fastned-2025-annual-report.pdf#page=108</t>
        </is>
      </c>
    </row>
    <row r="1331">
      <c r="A1331" s="2" t="inlineStr">
        <is>
          <t>F1330</t>
        </is>
      </c>
      <c r="B1331" s="2" t="inlineStr">
        <is>
          <t>management</t>
        </is>
      </c>
      <c r="C1331" s="2" t="inlineStr">
        <is>
          <t>governance</t>
        </is>
      </c>
      <c r="D1331" s="3" t="inlineStr">
        <is>
          <t>Board, independent members, group structure, related-party flows, dividends</t>
        </is>
      </c>
      <c r="E1331" s="2" t="n"/>
      <c r="F1331" s="2" t="n"/>
      <c r="G1331" s="2" t="n"/>
      <c r="H1331" s="3" t="inlineStr">
        <is>
          <t>Niels Korthals Altes was Head of Funding and Chief Commercial Officer of Fastned 2013-2022 (IPO, public bonds programme); FAST Board member since 2025.</t>
        </is>
      </c>
      <c r="I1331" s="2" t="inlineStr">
        <is>
          <t>S3</t>
        </is>
      </c>
      <c r="J1331" s="2" t="n">
        <v>108</v>
      </c>
      <c r="K1331" s="3" t="inlineStr">
        <is>
          <t>Between 2013 and 2022 Niels was Head of Funding and Chief Commercial Officer (CCO) at the company</t>
        </is>
      </c>
      <c r="L1331" s="2" t="inlineStr">
        <is>
          <t>pend</t>
        </is>
      </c>
      <c r="M1331" s="2" t="n"/>
      <c r="N1331" s="2" t="n"/>
      <c r="O1331" s="3" t="inlineStr">
        <is>
          <t>https://vanillabonds.com/dossier-data/pdf/fastned/fastned-2025-annual-report.pdf#page=108</t>
        </is>
      </c>
    </row>
    <row r="1332">
      <c r="A1332" s="2" t="inlineStr">
        <is>
          <t>F1331</t>
        </is>
      </c>
      <c r="B1332" s="2" t="inlineStr">
        <is>
          <t>management</t>
        </is>
      </c>
      <c r="C1332" s="2" t="inlineStr">
        <is>
          <t>governance</t>
        </is>
      </c>
      <c r="D1332" s="3" t="inlineStr">
        <is>
          <t>Board, independent members, group structure, related-party flows, dividends</t>
        </is>
      </c>
      <c r="E1332" s="2" t="n"/>
      <c r="F1332" s="2" t="n"/>
      <c r="G1332" s="2" t="n"/>
      <c r="H1332" s="3" t="inlineStr">
        <is>
          <t>Fast Places Limited (51% equity) is not consolidated: equal board representation, unanimous shareholder approval for key decisions and a deadlock process make it a joint venture accounted for by the equity method.</t>
        </is>
      </c>
      <c r="I1332" s="2" t="inlineStr">
        <is>
          <t>S3</t>
        </is>
      </c>
      <c r="J1332" s="2" t="n">
        <v>148</v>
      </c>
      <c r="K1332" s="3" t="inlineStr">
        <is>
          <t>Although the % equity stake of Fastned UK is more than 50%, Fast Places is not consolidated.</t>
        </is>
      </c>
      <c r="L1332" s="2" t="inlineStr">
        <is>
          <t>pend</t>
        </is>
      </c>
      <c r="M1332" s="2" t="n"/>
      <c r="N1332" s="2" t="n"/>
      <c r="O1332" s="3" t="inlineStr">
        <is>
          <t>https://vanillabonds.com/dossier-data/pdf/fastned/fastned-2025-annual-report.pdf#page=148</t>
        </is>
      </c>
    </row>
    <row r="1333">
      <c r="A1333" s="2" t="inlineStr">
        <is>
          <t>F1332</t>
        </is>
      </c>
      <c r="B1333" s="2" t="inlineStr">
        <is>
          <t>management</t>
        </is>
      </c>
      <c r="C1333" s="2" t="inlineStr">
        <is>
          <t>governance</t>
        </is>
      </c>
      <c r="D1333" s="3" t="inlineStr">
        <is>
          <t>Board, independent members, group structure, related-party flows, dividends</t>
        </is>
      </c>
      <c r="E1333" s="2" t="n"/>
      <c r="F1333" s="2" t="n"/>
      <c r="G1333" s="2" t="n"/>
      <c r="H1333" s="3" t="inlineStr">
        <is>
          <t>Shares in Fastned B.V. are held by FAST (Fastned Administratie Stichting), Amsterdam; Management Board Michiel Langezaal, Victor van Dijk, Françoise Poggi; Supervisory Board Liselotte Kooi (chair), Bart Lubbers, Jérôme Janssen, Nancy Kabalt.</t>
        </is>
      </c>
      <c r="I1333" s="2" t="inlineStr">
        <is>
          <t>S3</t>
        </is>
      </c>
      <c r="J1333" s="2" t="n">
        <v>148</v>
      </c>
      <c r="K1333" s="3" t="inlineStr">
        <is>
          <t>Shares in Fastned B.V. are held by FAST (Fastned Administratie Stichting), Amsterdam.</t>
        </is>
      </c>
      <c r="L1333" s="2" t="inlineStr">
        <is>
          <t>pend</t>
        </is>
      </c>
      <c r="M1333" s="2" t="n"/>
      <c r="N1333" s="2" t="n"/>
      <c r="O1333" s="3" t="inlineStr">
        <is>
          <t>https://vanillabonds.com/dossier-data/pdf/fastned/fastned-2025-annual-report.pdf#page=148</t>
        </is>
      </c>
    </row>
    <row r="1334">
      <c r="A1334" s="2" t="inlineStr">
        <is>
          <t>F1333</t>
        </is>
      </c>
      <c r="B1334" s="2" t="inlineStr">
        <is>
          <t>management</t>
        </is>
      </c>
      <c r="C1334" s="2" t="inlineStr">
        <is>
          <t>governance</t>
        </is>
      </c>
      <c r="D1334" s="3" t="inlineStr">
        <is>
          <t>Board, independent members, group structure, related-party flows, dividends</t>
        </is>
      </c>
      <c r="E1334" s="2" t="n"/>
      <c r="F1334" s="2" t="n"/>
      <c r="G1334" s="2" t="n"/>
      <c r="H1334" s="3" t="inlineStr">
        <is>
          <t>JV agreement with Places for London provides for equalisation of guarantee liabilities between the parties, potential future capital commitments subject to conditions, and dividends only by board resolution of both parties.</t>
        </is>
      </c>
      <c r="I1334" s="2" t="inlineStr">
        <is>
          <t>S3</t>
        </is>
      </c>
      <c r="J1334" s="2" t="n">
        <v>149</v>
      </c>
      <c r="K1334" s="3" t="inlineStr">
        <is>
          <t>The joint venture agreement includes provisions for the equalisation of guarantee liabilities between the parties</t>
        </is>
      </c>
      <c r="L1334" s="2" t="inlineStr">
        <is>
          <t>pend</t>
        </is>
      </c>
      <c r="M1334" s="2" t="n"/>
      <c r="N1334" s="2" t="n"/>
      <c r="O1334" s="3" t="inlineStr">
        <is>
          <t>https://vanillabonds.com/dossier-data/pdf/fastned/fastned-2025-annual-report.pdf#page=149</t>
        </is>
      </c>
    </row>
    <row r="1335">
      <c r="A1335" s="2" t="inlineStr">
        <is>
          <t>F1334</t>
        </is>
      </c>
      <c r="B1335" s="2" t="inlineStr">
        <is>
          <t>management</t>
        </is>
      </c>
      <c r="C1335" s="2" t="inlineStr">
        <is>
          <t>governance</t>
        </is>
      </c>
      <c r="D1335" s="3" t="inlineStr">
        <is>
          <t>Board, independent members, group structure, related-party flows, dividends</t>
        </is>
      </c>
      <c r="E1335" s="2" t="n"/>
      <c r="F1335" s="2" t="n"/>
      <c r="G1335" s="2" t="n"/>
      <c r="H1335" s="3" t="inlineStr">
        <is>
          <t>Share capital 19,552,877 issued shares of €0.01; shares carry voting rights; DR holders have no voting rights but may attend and speak at General Meetings and appoint FAST board members on FAST's nomination.</t>
        </is>
      </c>
      <c r="I1335" s="2" t="inlineStr">
        <is>
          <t>S3</t>
        </is>
      </c>
      <c r="J1335" s="2" t="n">
        <v>184</v>
      </c>
      <c r="K1335" s="3" t="inlineStr">
        <is>
          <t>The shares do carry voting rights. Holders of the DR's do not have voting rights and have the right to attend the General Meetings to speak at such meetings.</t>
        </is>
      </c>
      <c r="L1335" s="2" t="inlineStr">
        <is>
          <t>pend</t>
        </is>
      </c>
      <c r="M1335" s="2" t="n"/>
      <c r="N1335" s="2" t="n"/>
      <c r="O1335" s="3" t="inlineStr">
        <is>
          <t>https://vanillabonds.com/dossier-data/pdf/fastned/fastned-2025-annual-report.pdf#page=184</t>
        </is>
      </c>
    </row>
    <row r="1336">
      <c r="A1336" s="2" t="inlineStr">
        <is>
          <t>F1335</t>
        </is>
      </c>
      <c r="B1336" s="2" t="inlineStr">
        <is>
          <t>management</t>
        </is>
      </c>
      <c r="C1336" s="2" t="inlineStr">
        <is>
          <t>governance</t>
        </is>
      </c>
      <c r="D1336" s="3" t="inlineStr">
        <is>
          <t>Board, independent members, group structure, related-party flows, dividends</t>
        </is>
      </c>
      <c r="E1336" s="2" t="n"/>
      <c r="F1336" s="2" t="n"/>
      <c r="G1336" s="2" t="n"/>
      <c r="H1336" s="3" t="inlineStr">
        <is>
          <t>Employee options: 202,991 outstanding at end 2025 (WAEP €16.86), 198,069 exercisable; 130,264 exercised in 2025 at WAEP €10.63; no grants in 2025 or 2024.</t>
        </is>
      </c>
      <c r="I1336" s="2" t="inlineStr">
        <is>
          <t>S3</t>
        </is>
      </c>
      <c r="J1336" s="2" t="n">
        <v>188</v>
      </c>
      <c r="K1336" s="3" t="inlineStr">
        <is>
          <t>Outstanding at 31 December 202,991 16.86 347,163 14.61</t>
        </is>
      </c>
      <c r="L1336" s="2" t="inlineStr">
        <is>
          <t>pend</t>
        </is>
      </c>
      <c r="M1336" s="2" t="n"/>
      <c r="N1336" s="2" t="n"/>
      <c r="O1336" s="3" t="inlineStr">
        <is>
          <t>https://vanillabonds.com/dossier-data/pdf/fastned/fastned-2025-annual-report.pdf#page=188</t>
        </is>
      </c>
    </row>
    <row r="1337">
      <c r="A1337" s="2" t="inlineStr">
        <is>
          <t>F1336</t>
        </is>
      </c>
      <c r="B1337" s="2" t="inlineStr">
        <is>
          <t>management</t>
        </is>
      </c>
      <c r="C1337" s="2" t="inlineStr">
        <is>
          <t>governance</t>
        </is>
      </c>
      <c r="D1337" s="3" t="inlineStr">
        <is>
          <t>Board, independent members, group structure, related-party flows, dividends</t>
        </is>
      </c>
      <c r="E1337" s="2" t="n"/>
      <c r="F1337" s="2" t="n"/>
      <c r="G1337" s="2" t="n"/>
      <c r="H1337" s="3" t="inlineStr">
        <is>
          <t>2018 Option Plan: ten milestones combining market capitalisation and an operational goal; each milestone met allocates options over 1% of outstanding DRs to employees; milestones 1-4 realised, 5-10 not yet.</t>
        </is>
      </c>
      <c r="I1337" s="2" t="inlineStr">
        <is>
          <t>S3</t>
        </is>
      </c>
      <c r="J1337" s="2" t="n">
        <v>188</v>
      </c>
      <c r="K1337" s="3" t="inlineStr">
        <is>
          <t>Each time a milestone is met, the Company will allocate options for newly to be issued Depositary Receipts</t>
        </is>
      </c>
      <c r="L1337" s="2" t="inlineStr">
        <is>
          <t>pend</t>
        </is>
      </c>
      <c r="M1337" s="2" t="n"/>
      <c r="N1337" s="2" t="n"/>
      <c r="O1337" s="3" t="inlineStr">
        <is>
          <t>https://vanillabonds.com/dossier-data/pdf/fastned/fastned-2025-annual-report.pdf#page=188</t>
        </is>
      </c>
    </row>
    <row r="1338">
      <c r="A1338" s="2" t="inlineStr">
        <is>
          <t>F1337</t>
        </is>
      </c>
      <c r="B1338" s="2" t="inlineStr">
        <is>
          <t>management</t>
        </is>
      </c>
      <c r="C1338" s="2" t="inlineStr">
        <is>
          <t>governance</t>
        </is>
      </c>
      <c r="D1338" s="3" t="inlineStr">
        <is>
          <t>Board, independent members, group structure, related-party flows, dividends</t>
        </is>
      </c>
      <c r="E1338" s="2" t="n"/>
      <c r="F1338" s="2" t="n"/>
      <c r="G1338" s="2" t="n"/>
      <c r="H1338" s="3" t="inlineStr">
        <is>
          <t>Option plan amended in 2025 (exercise price by year of joining, changed expiry) for the six unachieved milestones; management is still evaluating a retrospective exercise-price adjustment for options outstanding at 31 Dec 2025, no decision taken.</t>
        </is>
      </c>
      <c r="I1338" s="2" t="inlineStr">
        <is>
          <t>S3</t>
        </is>
      </c>
      <c r="J1338" s="2" t="n">
        <v>189</v>
      </c>
      <c r="K1338" s="3" t="inlineStr">
        <is>
          <t>Management is still evaluating a potential retrospective adjustment of the exercise price for outstanding options as at 31 December 2025.</t>
        </is>
      </c>
      <c r="L1338" s="2" t="inlineStr">
        <is>
          <t>pend</t>
        </is>
      </c>
      <c r="M1338" s="2" t="n"/>
      <c r="N1338" s="2" t="n"/>
      <c r="O1338" s="3" t="inlineStr">
        <is>
          <t>https://vanillabonds.com/dossier-data/pdf/fastned/fastned-2025-annual-report.pdf#page=189</t>
        </is>
      </c>
    </row>
    <row r="1339">
      <c r="A1339" s="2" t="inlineStr">
        <is>
          <t>F1338</t>
        </is>
      </c>
      <c r="B1339" s="2" t="inlineStr">
        <is>
          <t>management</t>
        </is>
      </c>
      <c r="C1339" s="2" t="inlineStr">
        <is>
          <t>governance</t>
        </is>
      </c>
      <c r="D1339" s="3" t="inlineStr">
        <is>
          <t>Board, independent members, group structure, related-party flows, dividends</t>
        </is>
      </c>
      <c r="E1339" s="2" t="n"/>
      <c r="F1339" s="2" t="n"/>
      <c r="G1339" s="2" t="n"/>
      <c r="H1339" s="3" t="inlineStr">
        <is>
          <t>Open option milestones: 5 market cap &gt;€500m and 12 months of profitability; 6 &gt;€600m and 500 stations; 7 &gt;€700m and €100m revenue in a year; 8 &gt;€800m and 30% EBITDA margin for 12 months; 9 &gt;€900m and 300 kW at &gt;50% of stations; 10 &gt;€1bn and 1,000 stations.</t>
        </is>
      </c>
      <c r="I1339" s="2" t="inlineStr">
        <is>
          <t>S3</t>
        </is>
      </c>
      <c r="J1339" s="2" t="n">
        <v>189</v>
      </c>
      <c r="K1339" s="3" t="inlineStr">
        <is>
          <t>&gt; 500 million euro &gt; Company profitable for 12 months in a row</t>
        </is>
      </c>
      <c r="L1339" s="2" t="inlineStr">
        <is>
          <t>pend</t>
        </is>
      </c>
      <c r="M1339" s="2" t="n"/>
      <c r="N1339" s="2" t="n"/>
      <c r="O1339" s="3" t="inlineStr">
        <is>
          <t>https://vanillabonds.com/dossier-data/pdf/fastned/fastned-2025-annual-report.pdf#page=189</t>
        </is>
      </c>
    </row>
    <row r="1340">
      <c r="A1340" s="2" t="inlineStr">
        <is>
          <t>F1339</t>
        </is>
      </c>
      <c r="B1340" s="2" t="inlineStr">
        <is>
          <t>management</t>
        </is>
      </c>
      <c r="C1340" s="2" t="inlineStr">
        <is>
          <t>governance</t>
        </is>
      </c>
      <c r="D1340" s="3" t="inlineStr">
        <is>
          <t>Board, independent members, group structure, related-party flows, dividends</t>
        </is>
      </c>
      <c r="E1340" s="2" t="n"/>
      <c r="F1340" s="2" t="n"/>
      <c r="G1340" s="2" t="n"/>
      <c r="H1340" s="3" t="inlineStr">
        <is>
          <t>Key management personnel comprise the Management Board, FAST Board and Supervisory Board; remuneration components: base salary and holiday allowance, share options, defined contribution pension, lease cars.</t>
        </is>
      </c>
      <c r="I1340" s="2" t="inlineStr">
        <is>
          <t>S3</t>
        </is>
      </c>
      <c r="J1340" s="2" t="n">
        <v>191</v>
      </c>
      <c r="K1340" s="3" t="inlineStr">
        <is>
          <t>The Group considers all members of the Management Board, FAST Board and the Supervisory Board to be key management personnel</t>
        </is>
      </c>
      <c r="L1340" s="2" t="inlineStr">
        <is>
          <t>pend</t>
        </is>
      </c>
      <c r="M1340" s="2" t="n"/>
      <c r="N1340" s="2" t="n"/>
      <c r="O1340" s="3" t="inlineStr">
        <is>
          <t>https://vanillabonds.com/dossier-data/pdf/fastned/fastned-2025-annual-report.pdf#page=191</t>
        </is>
      </c>
    </row>
    <row r="1341">
      <c r="A1341" s="2" t="inlineStr">
        <is>
          <t>F1340</t>
        </is>
      </c>
      <c r="B1341" s="2" t="inlineStr">
        <is>
          <t>management</t>
        </is>
      </c>
      <c r="C1341" s="2" t="inlineStr">
        <is>
          <t>governance</t>
        </is>
      </c>
      <c r="D1341" s="3" t="inlineStr">
        <is>
          <t>Board, independent members, group structure, related-party flows, dividends</t>
        </is>
      </c>
      <c r="E1341" s="2" t="n"/>
      <c r="F1341" s="2" t="n"/>
      <c r="G1341" s="2" t="n"/>
      <c r="H1341" s="3" t="inlineStr">
        <is>
          <t>Total 2025 remuneration: Management Board €542k (2024: €361k), FAST Board €45k (2024: €39k), Supervisory Board €136k per text (table €139k; 2024: €134k); €44k of board remuneration unpaid at year end; no other remuneration commitments.</t>
        </is>
      </c>
      <c r="I1341" s="2" t="inlineStr">
        <is>
          <t>S3</t>
        </is>
      </c>
      <c r="J1341" s="2" t="n">
        <v>194</v>
      </c>
      <c r="K1341" s="3" t="inlineStr">
        <is>
          <t>In 2025, the total remuneration for all management board amounts to €542 thousand (2024: €361 thousand)</t>
        </is>
      </c>
      <c r="L1341" s="2" t="inlineStr">
        <is>
          <t>pend</t>
        </is>
      </c>
      <c r="M1341" s="2" t="n"/>
      <c r="N1341" s="2" t="n"/>
      <c r="O1341" s="3" t="inlineStr">
        <is>
          <t>https://vanillabonds.com/dossier-data/pdf/fastned/fastned-2025-annual-report.pdf#page=194</t>
        </is>
      </c>
    </row>
    <row r="1342">
      <c r="A1342" s="2" t="inlineStr">
        <is>
          <t>F1341</t>
        </is>
      </c>
      <c r="B1342" s="2" t="inlineStr">
        <is>
          <t>management</t>
        </is>
      </c>
      <c r="C1342" s="2" t="inlineStr">
        <is>
          <t>governance</t>
        </is>
      </c>
      <c r="D1342" s="3" t="inlineStr">
        <is>
          <t>Board, independent members, group structure, related-party flows, dividends</t>
        </is>
      </c>
      <c r="E1342" s="2" t="n"/>
      <c r="F1342" s="2" t="n"/>
      <c r="G1342" s="2" t="n"/>
      <c r="H1342" s="3" t="inlineStr">
        <is>
          <t>Audit fees 2025 EUR 387k (2024: EUR 326k) for the audit of the consolidated and parent company accounts and subsidiaries; non-audit and other assurance services EUR 36k (2024: EUR 32k); auditor BDO in both years.</t>
        </is>
      </c>
      <c r="I1342" s="2" t="inlineStr">
        <is>
          <t>S3</t>
        </is>
      </c>
      <c r="J1342" s="2" t="n">
        <v>195</v>
      </c>
      <c r="K1342" s="3" t="inlineStr">
        <is>
          <t>Group auditor for 2025 is BDO Audit &amp; Assurance B.V. (2024: BDO Audit &amp; Assurance B.V. ).</t>
        </is>
      </c>
      <c r="L1342" s="2" t="inlineStr">
        <is>
          <t>pend</t>
        </is>
      </c>
      <c r="M1342" s="2" t="n"/>
      <c r="N1342" s="2" t="n"/>
      <c r="O1342" s="3" t="inlineStr">
        <is>
          <t>https://vanillabonds.com/dossier-data/pdf/fastned/fastned-2025-annual-report.pdf#page=195</t>
        </is>
      </c>
    </row>
    <row r="1343">
      <c r="A1343" s="2" t="inlineStr">
        <is>
          <t>F1342</t>
        </is>
      </c>
      <c r="B1343" s="2" t="inlineStr">
        <is>
          <t>management</t>
        </is>
      </c>
      <c r="C1343" s="2" t="inlineStr">
        <is>
          <t>governance</t>
        </is>
      </c>
      <c r="D1343" s="3" t="inlineStr">
        <is>
          <t>Board, independent members, group structure, related-party flows, dividends</t>
        </is>
      </c>
      <c r="E1343" s="2" t="n"/>
      <c r="F1343" s="2" t="n"/>
      <c r="G1343" s="2" t="n"/>
      <c r="H1343" s="3" t="inlineStr">
        <is>
          <t>Fastned B.V. holds 18 direct subsidiaries at 31 December 2025 with a total equity-method carrying value of EUR 70.1m (2024: EUR 5.4m) after a 2025 share of losses of EUR 24.1m.</t>
        </is>
      </c>
      <c r="I1343" s="2" t="inlineStr">
        <is>
          <t>S3</t>
        </is>
      </c>
      <c r="J1343" s="2" t="n">
        <v>208</v>
      </c>
      <c r="K1343" s="3" t="inlineStr">
        <is>
          <t>Total investment in subsidiaries 5,427 78,983 — 28 (24,063) (78) 9,674 154 70,126</t>
        </is>
      </c>
      <c r="L1343" s="2" t="inlineStr">
        <is>
          <t>pend</t>
        </is>
      </c>
      <c r="M1343" s="2" t="n"/>
      <c r="N1343" s="2" t="n"/>
      <c r="O1343" s="3" t="inlineStr">
        <is>
          <t>https://vanillabonds.com/dossier-data/pdf/fastned/fastned-2025-annual-report.pdf#page=208</t>
        </is>
      </c>
    </row>
    <row r="1344">
      <c r="A1344" s="2" t="inlineStr">
        <is>
          <t>F1343</t>
        </is>
      </c>
      <c r="B1344" s="2" t="inlineStr">
        <is>
          <t>management</t>
        </is>
      </c>
      <c r="C1344" s="2" t="inlineStr">
        <is>
          <t>governance</t>
        </is>
      </c>
      <c r="D1344" s="3" t="inlineStr">
        <is>
          <t>Board, independent members, group structure, related-party flows, dividends</t>
        </is>
      </c>
      <c r="E1344" s="2" t="n"/>
      <c r="F1344" s="2" t="n"/>
      <c r="G1344" s="2" t="n"/>
      <c r="H1344" s="3" t="inlineStr">
        <is>
          <t>All subsidiaries listed in the parent's investment note were 100% owned by Fastned B.V. at 31 December 2024.</t>
        </is>
      </c>
      <c r="I1344" s="2" t="inlineStr">
        <is>
          <t>S3</t>
        </is>
      </c>
      <c r="J1344" s="2" t="n">
        <v>209</v>
      </c>
      <c r="K1344" s="3" t="inlineStr">
        <is>
          <t>The above mentioned subsidiaries are 100% owned by Fastned B.V. as at 31 December 2024.</t>
        </is>
      </c>
      <c r="L1344" s="2" t="inlineStr">
        <is>
          <t>pend</t>
        </is>
      </c>
      <c r="M1344" s="2" t="n"/>
      <c r="N1344" s="2" t="n"/>
      <c r="O1344" s="3" t="inlineStr">
        <is>
          <t>https://vanillabonds.com/dossier-data/pdf/fastned/fastned-2025-annual-report.pdf#page=209</t>
        </is>
      </c>
    </row>
    <row r="1345">
      <c r="A1345" s="2" t="inlineStr">
        <is>
          <t>F1344</t>
        </is>
      </c>
      <c r="B1345" s="2" t="inlineStr">
        <is>
          <t>management</t>
        </is>
      </c>
      <c r="C1345" s="2" t="inlineStr">
        <is>
          <t>governance</t>
        </is>
      </c>
      <c r="D1345" s="3" t="inlineStr">
        <is>
          <t>Board, independent members, group structure, related-party flows, dividends</t>
        </is>
      </c>
      <c r="E1345" s="2" t="n"/>
      <c r="F1345" s="2" t="n"/>
      <c r="G1345" s="2" t="n"/>
      <c r="H1345" s="3" t="inlineStr">
        <is>
          <t>Intercompany loans from the parent carry 6.15% interest with maturities 2027-2030: Germany EUR 41.6m (due 31.12.2030), France EUR 26.4m (2027), France SPV EUR 3.6m (2027), Italy EUR 7.0m (2028), Denmark EUR 6.4m (2028), Spain EUR 4.9m (2028), Austria EUR 0.3m (2030).</t>
        </is>
      </c>
      <c r="I1345" s="2" t="inlineStr">
        <is>
          <t>S3</t>
        </is>
      </c>
      <c r="J1345" s="2" t="n">
        <v>210</v>
      </c>
      <c r="K1345" s="3" t="inlineStr">
        <is>
          <t>Loan account Fastned Deutschland GmbH &amp; Co KG 6.15 31.12.2030 41,560 — 41,560 21,773</t>
        </is>
      </c>
      <c r="L1345" s="2" t="inlineStr">
        <is>
          <t>pend</t>
        </is>
      </c>
      <c r="M1345" s="2" t="n"/>
      <c r="N1345" s="2" t="n"/>
      <c r="O1345" s="3" t="inlineStr">
        <is>
          <t>https://vanillabonds.com/dossier-data/pdf/fastned/fastned-2025-annual-report.pdf#page=210</t>
        </is>
      </c>
    </row>
    <row r="1346">
      <c r="A1346" s="2" t="inlineStr">
        <is>
          <t>F1345</t>
        </is>
      </c>
      <c r="B1346" s="2" t="inlineStr">
        <is>
          <t>management</t>
        </is>
      </c>
      <c r="C1346" s="2" t="inlineStr">
        <is>
          <t>governance</t>
        </is>
      </c>
      <c r="D1346" s="3" t="inlineStr">
        <is>
          <t>Board, independent members, group structure, related-party flows, dividends</t>
        </is>
      </c>
      <c r="E1346" s="2" t="n"/>
      <c r="F1346" s="2" t="n"/>
      <c r="G1346" s="2" t="n"/>
      <c r="H1346" s="3" t="inlineStr">
        <is>
          <t>Loans and current accounts to subsidiaries total EUR 176.7m nominal less EUR 25.3m provision = EUR 151.4m at 31 December 2025 (2024: EUR 130.7m), of which EUR 4.3m current; Switzerland loan EUR 11.1m (6.15%, due 31.12.2030).</t>
        </is>
      </c>
      <c r="I1346" s="2" t="inlineStr">
        <is>
          <t>S3</t>
        </is>
      </c>
      <c r="J1346" s="2" t="n">
        <v>211</v>
      </c>
      <c r="K1346" s="2" t="inlineStr">
        <is>
          <t>Total 176,690 (25,260) 151,429 130,652</t>
        </is>
      </c>
      <c r="L1346" s="2" t="inlineStr">
        <is>
          <t>pend</t>
        </is>
      </c>
      <c r="M1346" s="2" t="n"/>
      <c r="N1346" s="2" t="n"/>
      <c r="O1346" s="3" t="inlineStr">
        <is>
          <t>https://vanillabonds.com/dossier-data/pdf/fastned/fastned-2025-annual-report.pdf#page=211</t>
        </is>
      </c>
    </row>
    <row r="1347">
      <c r="A1347" s="2" t="inlineStr">
        <is>
          <t>F1346</t>
        </is>
      </c>
      <c r="B1347" s="2" t="inlineStr">
        <is>
          <t>management</t>
        </is>
      </c>
      <c r="C1347" s="2" t="inlineStr">
        <is>
          <t>governance</t>
        </is>
      </c>
      <c r="D1347" s="3" t="inlineStr">
        <is>
          <t>Board, independent members, group structure, related-party flows, dividends</t>
        </is>
      </c>
      <c r="E1347" s="2" t="n"/>
      <c r="F1347" s="2" t="n"/>
      <c r="G1347" s="2" t="n"/>
      <c r="H1347" s="3" t="inlineStr">
        <is>
          <t>The 2024 annual report was adopted by the General Meeting on 8 June 2025.</t>
        </is>
      </c>
      <c r="I1347" s="2" t="inlineStr">
        <is>
          <t>S3</t>
        </is>
      </c>
      <c r="J1347" s="2" t="n">
        <v>214</v>
      </c>
      <c r="K1347" s="3" t="inlineStr">
        <is>
          <t>The annual report for 31 December 2024 was adopted by the General Meeting on 8 June 2025 .</t>
        </is>
      </c>
      <c r="L1347" s="2" t="inlineStr">
        <is>
          <t>pend</t>
        </is>
      </c>
      <c r="M1347" s="2" t="n"/>
      <c r="N1347" s="2" t="n"/>
      <c r="O1347" s="3" t="inlineStr">
        <is>
          <t>https://vanillabonds.com/dossier-data/pdf/fastned/fastned-2025-annual-report.pdf#page=214</t>
        </is>
      </c>
    </row>
    <row r="1348">
      <c r="A1348" s="2" t="inlineStr">
        <is>
          <t>F1347</t>
        </is>
      </c>
      <c r="B1348" s="2" t="inlineStr">
        <is>
          <t>management</t>
        </is>
      </c>
      <c r="C1348" s="2" t="inlineStr">
        <is>
          <t>governance</t>
        </is>
      </c>
      <c r="D1348" s="3" t="inlineStr">
        <is>
          <t>Board, independent members, group structure, related-party flows, dividends</t>
        </is>
      </c>
      <c r="E1348" s="2" t="n"/>
      <c r="F1348" s="2" t="n"/>
      <c r="G1348" s="2" t="n"/>
      <c r="H1348" s="3" t="inlineStr">
        <is>
          <t>No dividend: the board proposes to deduct the 2025 loss of EUR 30,226,979 from the other reserves, already recognised in the financial statements pending General Meeting approval.</t>
        </is>
      </c>
      <c r="I1348" s="2" t="inlineStr">
        <is>
          <t>S3</t>
        </is>
      </c>
      <c r="J1348" s="2" t="n">
        <v>214</v>
      </c>
      <c r="K1348" s="3" t="inlineStr">
        <is>
          <t>The board of directors proposes to deduct the 2025 loss of €30,226,979 from the other reserves.</t>
        </is>
      </c>
      <c r="L1348" s="2" t="inlineStr">
        <is>
          <t>pend</t>
        </is>
      </c>
      <c r="M1348" s="2" t="n"/>
      <c r="N1348" s="2" t="n"/>
      <c r="O1348" s="3" t="inlineStr">
        <is>
          <t>https://vanillabonds.com/dossier-data/pdf/fastned/fastned-2025-annual-report.pdf#page=214</t>
        </is>
      </c>
    </row>
    <row r="1349">
      <c r="A1349" s="2" t="inlineStr">
        <is>
          <t>F1348</t>
        </is>
      </c>
      <c r="B1349" s="2" t="inlineStr">
        <is>
          <t>management</t>
        </is>
      </c>
      <c r="C1349" s="2" t="inlineStr">
        <is>
          <t>governance</t>
        </is>
      </c>
      <c r="D1349" s="3" t="inlineStr">
        <is>
          <t>Board, independent members, group structure, related-party flows, dividends</t>
        </is>
      </c>
      <c r="E1349" s="2" t="n"/>
      <c r="F1349" s="2" t="n"/>
      <c r="G1349" s="2" t="n"/>
      <c r="H1349" s="3" t="inlineStr">
        <is>
          <t>BDO set materiality at EUR 2.7m on a benchmark of charging revenues (about 2.25% of reported revenues) and agreed with the supervisory board to report misstatements above EUR 135k.</t>
        </is>
      </c>
      <c r="I1349" s="2" t="inlineStr">
        <is>
          <t>S3</t>
        </is>
      </c>
      <c r="J1349" s="2" t="n">
        <v>218</v>
      </c>
      <c r="K1349" s="3" t="inlineStr">
        <is>
          <t>we determined the materiality for the financial statements as a whole at € 2.7 million. The materiality is based on a benchmark of revenues related to charging</t>
        </is>
      </c>
      <c r="L1349" s="2" t="inlineStr">
        <is>
          <t>pend</t>
        </is>
      </c>
      <c r="M1349" s="2" t="n"/>
      <c r="N1349" s="2" t="n"/>
      <c r="O1349" s="3" t="inlineStr">
        <is>
          <t>https://vanillabonds.com/dossier-data/pdf/fastned/fastned-2025-annual-report.pdf#page=218</t>
        </is>
      </c>
    </row>
    <row r="1350">
      <c r="A1350" s="2" t="inlineStr">
        <is>
          <t>F1349</t>
        </is>
      </c>
      <c r="B1350" s="2" t="inlineStr">
        <is>
          <t>management</t>
        </is>
      </c>
      <c r="C1350" s="2" t="inlineStr">
        <is>
          <t>governance</t>
        </is>
      </c>
      <c r="D1350" s="3" t="inlineStr">
        <is>
          <t>Board, independent members, group structure, related-party flows, dividends</t>
        </is>
      </c>
      <c r="E1350" s="2" t="n"/>
      <c r="F1350" s="2" t="n"/>
      <c r="G1350" s="2" t="n"/>
      <c r="H1350" s="3" t="inlineStr">
        <is>
          <t>BDO inspected correspondence with regulators including the AFM and did not identify a potential material non-compliance risk; its procedures gave no indications of fraud.</t>
        </is>
      </c>
      <c r="I1350" s="2" t="inlineStr">
        <is>
          <t>S3</t>
        </is>
      </c>
      <c r="J1350" s="2" t="n">
        <v>219</v>
      </c>
      <c r="K1350" s="3" t="inlineStr">
        <is>
          <t>We inspected correspondence with the relevant regulators which include the AFM;</t>
        </is>
      </c>
      <c r="L1350" s="2" t="inlineStr">
        <is>
          <t>pend</t>
        </is>
      </c>
      <c r="M1350" s="2" t="n"/>
      <c r="N1350" s="2" t="n"/>
      <c r="O1350" s="3" t="inlineStr">
        <is>
          <t>https://vanillabonds.com/dossier-data/pdf/fastned/fastned-2025-annual-report.pdf#page=219</t>
        </is>
      </c>
    </row>
    <row r="1351">
      <c r="A1351" s="2" t="inlineStr">
        <is>
          <t>F1350</t>
        </is>
      </c>
      <c r="B1351" s="2" t="inlineStr">
        <is>
          <t>management</t>
        </is>
      </c>
      <c r="C1351" s="2" t="inlineStr">
        <is>
          <t>governance</t>
        </is>
      </c>
      <c r="D1351" s="3" t="inlineStr">
        <is>
          <t>Board, independent members, group structure, related-party flows, dividends</t>
        </is>
      </c>
      <c r="E1351" s="2" t="n"/>
      <c r="F1351" s="2" t="n"/>
      <c r="G1351" s="2" t="n"/>
      <c r="H1351" s="3" t="inlineStr">
        <is>
          <t>BDO communicated (significant) deficiencies in internal control in writing to the management board and the supervisory board; the number is not disclosed.</t>
        </is>
      </c>
      <c r="I1351" s="2" t="inlineStr">
        <is>
          <t>S3</t>
        </is>
      </c>
      <c r="J1351" s="2" t="n">
        <v>220</v>
      </c>
      <c r="K1351" s="3" t="inlineStr">
        <is>
          <t>We have communicated (significant) deficiencies in internal control in writing to management board and the supervisory board.</t>
        </is>
      </c>
      <c r="L1351" s="2" t="inlineStr">
        <is>
          <t>pend</t>
        </is>
      </c>
      <c r="M1351" s="2" t="n"/>
      <c r="N1351" s="2" t="n"/>
      <c r="O1351" s="3" t="inlineStr">
        <is>
          <t>https://vanillabonds.com/dossier-data/pdf/fastned/fastned-2025-annual-report.pdf#page=220</t>
        </is>
      </c>
    </row>
    <row r="1352">
      <c r="A1352" s="2" t="inlineStr">
        <is>
          <t>F1351</t>
        </is>
      </c>
      <c r="B1352" s="2" t="inlineStr">
        <is>
          <t>management</t>
        </is>
      </c>
      <c r="C1352" s="2" t="inlineStr">
        <is>
          <t>governance</t>
        </is>
      </c>
      <c r="D1352" s="3" t="inlineStr">
        <is>
          <t>Board, independent members, group structure, related-party flows, dividends</t>
        </is>
      </c>
      <c r="E1352" s="2" t="n"/>
      <c r="F1352" s="2" t="n"/>
      <c r="G1352" s="2" t="n"/>
      <c r="H1352" s="3" t="inlineStr">
        <is>
          <t>BDO was engaged by the General Meeting as auditor as of the audit for the year 2023 and has been statutory auditor since; it reports no prohibited non-audit services under Article 5(1) of the EU audit regulation.</t>
        </is>
      </c>
      <c r="I1352" s="2" t="inlineStr">
        <is>
          <t>S3</t>
        </is>
      </c>
      <c r="J1352" s="2" t="n">
        <v>226</v>
      </c>
      <c r="K1352" s="3" t="inlineStr">
        <is>
          <t>We were engaged by the General Meeting as auditor of Fastned B.V., as of the audit for the year 2023 and have operated as statutory auditor ever since that financial year.</t>
        </is>
      </c>
      <c r="L1352" s="2" t="inlineStr">
        <is>
          <t>pend</t>
        </is>
      </c>
      <c r="M1352" s="2" t="n"/>
      <c r="N1352" s="2" t="n"/>
      <c r="O1352" s="3" t="inlineStr">
        <is>
          <t>https://vanillabonds.com/dossier-data/pdf/fastned/fastned-2025-annual-report.pdf#page=226</t>
        </is>
      </c>
    </row>
    <row r="1353">
      <c r="A1353" s="2" t="inlineStr">
        <is>
          <t>F1352</t>
        </is>
      </c>
      <c r="B1353" s="2" t="inlineStr">
        <is>
          <t>management</t>
        </is>
      </c>
      <c r="C1353" s="2" t="inlineStr">
        <is>
          <t>governance</t>
        </is>
      </c>
      <c r="D1353" s="3" t="inlineStr">
        <is>
          <t>Board, independent members, group structure, related-party flows, dividends</t>
        </is>
      </c>
      <c r="E1353" s="2" t="n"/>
      <c r="F1353" s="2" t="n"/>
      <c r="G1353" s="2" t="n"/>
      <c r="H1353" s="3" t="inlineStr">
        <is>
          <t>Fastned is audited as a public-interest entity; BDO submits an additional report to the audit committee under Article 11 of the EU Regulation on statutory audit of public-interest entities.</t>
        </is>
      </c>
      <c r="I1353" s="2" t="inlineStr">
        <is>
          <t>S3</t>
        </is>
      </c>
      <c r="J1353" s="2" t="n">
        <v>228</v>
      </c>
      <c r="K1353" s="3" t="inlineStr">
        <is>
          <t>In this respect we also submit an additional report to the audit committee in accordance with Article 11 of the EU Regulation</t>
        </is>
      </c>
      <c r="L1353" s="2" t="inlineStr">
        <is>
          <t>pend</t>
        </is>
      </c>
      <c r="M1353" s="2" t="n"/>
      <c r="N1353" s="2" t="n"/>
      <c r="O1353" s="3" t="inlineStr">
        <is>
          <t>https://vanillabonds.com/dossier-data/pdf/fastned/fastned-2025-annual-report.pdf#page=228</t>
        </is>
      </c>
    </row>
    <row r="1354">
      <c r="A1354" s="2" t="inlineStr">
        <is>
          <t>F1353</t>
        </is>
      </c>
      <c r="B1354" s="2" t="inlineStr">
        <is>
          <t>management</t>
        </is>
      </c>
      <c r="C1354" s="2" t="inlineStr">
        <is>
          <t>governance</t>
        </is>
      </c>
      <c r="D1354" s="3" t="inlineStr">
        <is>
          <t>Board, independent members, group structure, related-party flows, dividends</t>
        </is>
      </c>
      <c r="E1354" s="2" t="n"/>
      <c r="F1354" s="2" t="n"/>
      <c r="G1354" s="2" t="n"/>
      <c r="H1354" s="3" t="inlineStr">
        <is>
          <t>A Works Council is in place (elections held; the GRI index refers collective-bargaining disclosure 2-30 to the Works Council).</t>
        </is>
      </c>
      <c r="I1354" s="2" t="inlineStr">
        <is>
          <t>S3</t>
        </is>
      </c>
      <c r="J1354" s="2" t="n">
        <v>234</v>
      </c>
      <c r="K1354" s="2" t="inlineStr">
        <is>
          <t>Works Council elections</t>
        </is>
      </c>
      <c r="L1354" s="2" t="inlineStr">
        <is>
          <t>pend</t>
        </is>
      </c>
      <c r="M1354" s="2" t="n"/>
      <c r="N1354" s="2" t="n"/>
      <c r="O1354" s="3" t="inlineStr">
        <is>
          <t>https://vanillabonds.com/dossier-data/pdf/fastned/fastned-2025-annual-report.pdf#page=234</t>
        </is>
      </c>
    </row>
    <row r="1355">
      <c r="A1355" s="2" t="inlineStr">
        <is>
          <t>F1354</t>
        </is>
      </c>
      <c r="B1355" s="2" t="inlineStr">
        <is>
          <t>management</t>
        </is>
      </c>
      <c r="C1355" s="2" t="inlineStr">
        <is>
          <t>governance</t>
        </is>
      </c>
      <c r="D1355" s="3" t="inlineStr">
        <is>
          <t>Board, independent members, group structure, related-party flows, dividends</t>
        </is>
      </c>
      <c r="E1355" s="2" t="n"/>
      <c r="F1355" s="2" t="n"/>
      <c r="G1355" s="2" t="n"/>
      <c r="H1355" s="3" t="inlineStr">
        <is>
          <t>FAST Foundation board: quarterly update meetings with the company; it ensures Fastned still works in line with its mission and discusses mid- and long-term strategy, financial continuity and shareholder interests.</t>
        </is>
      </c>
      <c r="I1355" s="2" t="inlineStr">
        <is>
          <t>S3</t>
        </is>
      </c>
      <c r="J1355" s="2" t="n">
        <v>236</v>
      </c>
      <c r="K1355" s="3" t="inlineStr">
        <is>
          <t>FAST Foundation • Ensuring Fastned is still working in line with its mission • Mid- and long-term strategy</t>
        </is>
      </c>
      <c r="L1355" s="2" t="inlineStr">
        <is>
          <t>pend</t>
        </is>
      </c>
      <c r="M1355" s="2" t="n"/>
      <c r="N1355" s="2" t="n"/>
      <c r="O1355" s="3" t="inlineStr">
        <is>
          <t>https://vanillabonds.com/dossier-data/pdf/fastned/fastned-2025-annual-report.pdf#page=236</t>
        </is>
      </c>
    </row>
    <row r="1356">
      <c r="A1356" s="2" t="inlineStr">
        <is>
          <t>F1355</t>
        </is>
      </c>
      <c r="B1356" s="2" t="inlineStr">
        <is>
          <t>management</t>
        </is>
      </c>
      <c r="C1356" s="2" t="inlineStr">
        <is>
          <t>reporting_practice</t>
        </is>
      </c>
      <c r="D1356" s="3" t="inlineStr">
        <is>
          <t>Monitoring: KPI reporting, frequency, budget process, controlling</t>
        </is>
      </c>
      <c r="E1356" s="2" t="n"/>
      <c r="F1356" s="2" t="n"/>
      <c r="G1356" s="2" t="n"/>
      <c r="H1356" s="3" t="inlineStr">
        <is>
          <t>This copy of the annual report is not in ESEF format; the ESEF package is available on the investor relations website.</t>
        </is>
      </c>
      <c r="I1356" s="2" t="inlineStr">
        <is>
          <t>S3</t>
        </is>
      </c>
      <c r="J1356" s="2" t="n">
        <v>2</v>
      </c>
      <c r="K1356" s="3" t="inlineStr">
        <is>
          <t>This copy of the annual report of Fastned B.V. for the year 2025 is not in the ESEF-format</t>
        </is>
      </c>
      <c r="L1356" s="2" t="inlineStr">
        <is>
          <t>pend</t>
        </is>
      </c>
      <c r="M1356" s="2" t="n"/>
      <c r="N1356" s="2" t="n"/>
      <c r="O1356" s="3" t="inlineStr">
        <is>
          <t>https://vanillabonds.com/dossier-data/pdf/fastned/fastned-2025-annual-report.pdf#page=2</t>
        </is>
      </c>
    </row>
    <row r="1357">
      <c r="A1357" s="2" t="inlineStr">
        <is>
          <t>F1356</t>
        </is>
      </c>
      <c r="B1357" s="2" t="inlineStr">
        <is>
          <t>management</t>
        </is>
      </c>
      <c r="C1357" s="2" t="inlineStr">
        <is>
          <t>reporting_practice</t>
        </is>
      </c>
      <c r="D1357" s="3" t="inlineStr">
        <is>
          <t>Monitoring: KPI reporting, frequency, budget process, controlling</t>
        </is>
      </c>
      <c r="E1357" s="2" t="n"/>
      <c r="F1357" s="2" t="n"/>
      <c r="G1357" s="2" t="n"/>
      <c r="H1357" s="3" t="inlineStr">
        <is>
          <t>Processes around investment appraisal, project delivery and reporting standardised to scale the funding platform.</t>
        </is>
      </c>
      <c r="I1357" s="2" t="inlineStr">
        <is>
          <t>S3</t>
        </is>
      </c>
      <c r="J1357" s="2" t="n">
        <v>17</v>
      </c>
      <c r="K1357" s="3" t="inlineStr">
        <is>
          <t>By standardising processes around investment appraisal, project delivery and reporting</t>
        </is>
      </c>
      <c r="L1357" s="2" t="inlineStr">
        <is>
          <t>pend</t>
        </is>
      </c>
      <c r="M1357" s="2" t="n"/>
      <c r="N1357" s="2" t="n"/>
      <c r="O1357" s="3" t="inlineStr">
        <is>
          <t>https://vanillabonds.com/dossier-data/pdf/fastned/fastned-2025-annual-report.pdf#page=17</t>
        </is>
      </c>
    </row>
    <row r="1358">
      <c r="A1358" s="2" t="inlineStr">
        <is>
          <t>F1357</t>
        </is>
      </c>
      <c r="B1358" s="2" t="inlineStr">
        <is>
          <t>management</t>
        </is>
      </c>
      <c r="C1358" s="2" t="inlineStr">
        <is>
          <t>reporting_practice</t>
        </is>
      </c>
      <c r="D1358" s="3" t="inlineStr">
        <is>
          <t>Monitoring: KPI reporting, frequency, budget process, controlling</t>
        </is>
      </c>
      <c r="E1358" s="2" t="n"/>
      <c r="F1358" s="2" t="n"/>
      <c r="G1358" s="2" t="n"/>
      <c r="H1358" s="3" t="inlineStr">
        <is>
          <t>The Financial Review uses non-IFRS measures (operational EBITDA, underlying company EBITDA, EBITDA) reconciled in the Non-IFRS measures section.</t>
        </is>
      </c>
      <c r="I1358" s="2" t="inlineStr">
        <is>
          <t>S3</t>
        </is>
      </c>
      <c r="J1358" s="2" t="n">
        <v>45</v>
      </c>
      <c r="K1358" s="3" t="inlineStr">
        <is>
          <t>This section refers to non-IFRS measures.</t>
        </is>
      </c>
      <c r="L1358" s="2" t="inlineStr">
        <is>
          <t>pend</t>
        </is>
      </c>
      <c r="M1358" s="2" t="n"/>
      <c r="N1358" s="2" t="n"/>
      <c r="O1358" s="3" t="inlineStr">
        <is>
          <t>https://vanillabonds.com/dossier-data/pdf/fastned/fastned-2025-annual-report.pdf#page=45</t>
        </is>
      </c>
    </row>
    <row r="1359">
      <c r="A1359" s="2" t="inlineStr">
        <is>
          <t>F1358</t>
        </is>
      </c>
      <c r="B1359" s="2" t="inlineStr">
        <is>
          <t>management</t>
        </is>
      </c>
      <c r="C1359" s="2" t="inlineStr">
        <is>
          <t>reporting_practice</t>
        </is>
      </c>
      <c r="D1359" s="3" t="inlineStr">
        <is>
          <t>Monitoring: KPI reporting, frequency, budget process, controlling</t>
        </is>
      </c>
      <c r="E1359" s="2" t="n"/>
      <c r="F1359" s="2" t="n"/>
      <c r="G1359" s="2" t="n"/>
      <c r="H1359" s="3" t="inlineStr">
        <is>
          <t>The CFO oversees the Reporting and Sustainability teams, meets the Sustainability team monthly and reports to the Management, Supervisory and FAST boards.</t>
        </is>
      </c>
      <c r="I1359" s="2" t="inlineStr">
        <is>
          <t>S3</t>
        </is>
      </c>
      <c r="J1359" s="2" t="n">
        <v>50</v>
      </c>
      <c r="K1359" s="3" t="inlineStr">
        <is>
          <t>The CFO meets with the Sustainability team on a monthly basis</t>
        </is>
      </c>
      <c r="L1359" s="2" t="inlineStr">
        <is>
          <t>pend</t>
        </is>
      </c>
      <c r="M1359" s="2" t="n"/>
      <c r="N1359" s="2" t="n"/>
      <c r="O1359" s="3" t="inlineStr">
        <is>
          <t>https://vanillabonds.com/dossier-data/pdf/fastned/fastned-2025-annual-report.pdf#page=50</t>
        </is>
      </c>
    </row>
    <row r="1360">
      <c r="A1360" s="2" t="inlineStr">
        <is>
          <t>F1359</t>
        </is>
      </c>
      <c r="B1360" s="2" t="inlineStr">
        <is>
          <t>management</t>
        </is>
      </c>
      <c r="C1360" s="2" t="inlineStr">
        <is>
          <t>reporting_practice</t>
        </is>
      </c>
      <c r="D1360" s="3" t="inlineStr">
        <is>
          <t>Monitoring: KPI reporting, frequency, budget process, controlling</t>
        </is>
      </c>
      <c r="E1360" s="2" t="n"/>
      <c r="F1360" s="2" t="n"/>
      <c r="G1360" s="2" t="n"/>
      <c r="H1360" s="3" t="inlineStr">
        <is>
          <t>Risk management aligned with ISO 31000:2018: annual top-down Strategic Risk Assessment plus bottom-up Process Risk Assessments, consolidated into a group risk profile reviewed by the Leadership team and discussed with the Audit Committee.</t>
        </is>
      </c>
      <c r="I1360" s="2" t="inlineStr">
        <is>
          <t>S3</t>
        </is>
      </c>
      <c r="J1360" s="2" t="n">
        <v>76</v>
      </c>
      <c r="K1360" s="3" t="inlineStr">
        <is>
          <t>Outcomes are consolidated into a group risk profile that is reviewed by the Leadership team and discussed with the Audit Committee.</t>
        </is>
      </c>
      <c r="L1360" s="2" t="inlineStr">
        <is>
          <t>pend</t>
        </is>
      </c>
      <c r="M1360" s="2" t="n"/>
      <c r="N1360" s="2" t="n"/>
      <c r="O1360" s="3" t="inlineStr">
        <is>
          <t>https://vanillabonds.com/dossier-data/pdf/fastned/fastned-2025-annual-report.pdf#page=76</t>
        </is>
      </c>
    </row>
    <row r="1361">
      <c r="A1361" s="2" t="inlineStr">
        <is>
          <t>F1360</t>
        </is>
      </c>
      <c r="B1361" s="2" t="inlineStr">
        <is>
          <t>management</t>
        </is>
      </c>
      <c r="C1361" s="2" t="inlineStr">
        <is>
          <t>reporting_practice</t>
        </is>
      </c>
      <c r="D1361" s="3" t="inlineStr">
        <is>
          <t>Monitoring: KPI reporting, frequency, budget process, controlling</t>
        </is>
      </c>
      <c r="E1361" s="2" t="n"/>
      <c r="F1361" s="2" t="n"/>
      <c r="G1361" s="2" t="n"/>
      <c r="H1361" s="3" t="inlineStr">
        <is>
          <t>GRC tooling migrated to Scrut at end-2025 as central repository for the risk register, control library and NIS2/GDPR/ISO 27001 frameworks.</t>
        </is>
      </c>
      <c r="I1361" s="2" t="inlineStr">
        <is>
          <t>S3</t>
        </is>
      </c>
      <c r="J1361" s="2" t="n">
        <v>76</v>
      </c>
      <c r="K1361" s="3" t="inlineStr">
        <is>
          <t>We migrated our governance, risk and compliance (GRC) tooling to a new platform, Scrut, at the end of 2025.</t>
        </is>
      </c>
      <c r="L1361" s="2" t="inlineStr">
        <is>
          <t>pend</t>
        </is>
      </c>
      <c r="M1361" s="2" t="n"/>
      <c r="N1361" s="2" t="n"/>
      <c r="O1361" s="3" t="inlineStr">
        <is>
          <t>https://vanillabonds.com/dossier-data/pdf/fastned/fastned-2025-annual-report.pdf#page=76</t>
        </is>
      </c>
    </row>
    <row r="1362">
      <c r="A1362" s="2" t="inlineStr">
        <is>
          <t>F1361</t>
        </is>
      </c>
      <c r="B1362" s="2" t="inlineStr">
        <is>
          <t>management</t>
        </is>
      </c>
      <c r="C1362" s="2" t="inlineStr">
        <is>
          <t>reporting_practice</t>
        </is>
      </c>
      <c r="D1362" s="3" t="inlineStr">
        <is>
          <t>Monitoring: KPI reporting, frequency, budget process, controlling</t>
        </is>
      </c>
      <c r="E1362" s="2" t="n"/>
      <c r="F1362" s="2" t="n"/>
      <c r="G1362" s="2" t="n"/>
      <c r="H1362" s="3" t="inlineStr">
        <is>
          <t>Periodic risk and audit reporting to the Management Board and Audit Committee strengthened in 2025 (risk themes, control effectiveness, follow-up status).</t>
        </is>
      </c>
      <c r="I1362" s="2" t="inlineStr">
        <is>
          <t>S3</t>
        </is>
      </c>
      <c r="J1362" s="2" t="n">
        <v>76</v>
      </c>
      <c r="K1362" s="3" t="inlineStr">
        <is>
          <t>We strengthened the periodic risk and audit reporting to the Management Board and Audit Committee</t>
        </is>
      </c>
      <c r="L1362" s="2" t="inlineStr">
        <is>
          <t>pend</t>
        </is>
      </c>
      <c r="M1362" s="2" t="n"/>
      <c r="N1362" s="2" t="n"/>
      <c r="O1362" s="3" t="inlineStr">
        <is>
          <t>https://vanillabonds.com/dossier-data/pdf/fastned/fastned-2025-annual-report.pdf#page=76</t>
        </is>
      </c>
    </row>
    <row r="1363">
      <c r="A1363" s="2" t="inlineStr">
        <is>
          <t>F1362</t>
        </is>
      </c>
      <c r="B1363" s="2" t="inlineStr">
        <is>
          <t>management</t>
        </is>
      </c>
      <c r="C1363" s="2" t="inlineStr">
        <is>
          <t>reporting_practice</t>
        </is>
      </c>
      <c r="D1363" s="3" t="inlineStr">
        <is>
          <t>Monitoring: KPI reporting, frequency, budget process, controlling</t>
        </is>
      </c>
      <c r="E1363" s="2" t="n"/>
      <c r="F1363" s="2" t="n"/>
      <c r="G1363" s="2" t="n"/>
      <c r="H1363" s="3" t="inlineStr">
        <is>
          <t>Three-lines model; the Internal Audit Function sits in Risk &amp; Audit and reports functionally to the Audit Committee and administratively to the Management Board.</t>
        </is>
      </c>
      <c r="I1363" s="2" t="inlineStr">
        <is>
          <t>S3</t>
        </is>
      </c>
      <c r="J1363" s="2" t="n">
        <v>78</v>
      </c>
      <c r="K1363" s="3" t="inlineStr">
        <is>
          <t>The third line is provided by the independent Internal Audit Function (IAF), which is part of the Risk &amp; Audit team and reports functionally to the Audit Committee</t>
        </is>
      </c>
      <c r="L1363" s="2" t="inlineStr">
        <is>
          <t>pend</t>
        </is>
      </c>
      <c r="M1363" s="2" t="n"/>
      <c r="N1363" s="2" t="n"/>
      <c r="O1363" s="3" t="inlineStr">
        <is>
          <t>https://vanillabonds.com/dossier-data/pdf/fastned/fastned-2025-annual-report.pdf#page=78</t>
        </is>
      </c>
    </row>
    <row r="1364">
      <c r="A1364" s="2" t="inlineStr">
        <is>
          <t>F1363</t>
        </is>
      </c>
      <c r="B1364" s="2" t="inlineStr">
        <is>
          <t>management</t>
        </is>
      </c>
      <c r="C1364" s="2" t="inlineStr">
        <is>
          <t>reporting_practice</t>
        </is>
      </c>
      <c r="D1364" s="3" t="inlineStr">
        <is>
          <t>Monitoring: KPI reporting, frequency, budget process, controlling</t>
        </is>
      </c>
      <c r="E1364" s="2" t="n"/>
      <c r="F1364" s="2" t="n"/>
      <c r="G1364" s="2" t="n"/>
      <c r="H1364" s="3" t="inlineStr">
        <is>
          <t>Health &amp; Safety function moves from Risk &amp; Audit to a dedicated team within Operations from 2026.</t>
        </is>
      </c>
      <c r="I1364" s="2" t="inlineStr">
        <is>
          <t>S3</t>
        </is>
      </c>
      <c r="J1364" s="2" t="n">
        <v>78</v>
      </c>
      <c r="K1364" s="3" t="inlineStr">
        <is>
          <t>From 2026 onwards, the Health &amp; Safety function will be transferred from Risk &amp; Audit to a dedicated team within Operations.</t>
        </is>
      </c>
      <c r="L1364" s="2" t="inlineStr">
        <is>
          <t>pend</t>
        </is>
      </c>
      <c r="M1364" s="2" t="n"/>
      <c r="N1364" s="2" t="n"/>
      <c r="O1364" s="3" t="inlineStr">
        <is>
          <t>https://vanillabonds.com/dossier-data/pdf/fastned/fastned-2025-annual-report.pdf#page=78</t>
        </is>
      </c>
    </row>
    <row r="1365">
      <c r="A1365" s="2" t="inlineStr">
        <is>
          <t>F1364</t>
        </is>
      </c>
      <c r="B1365" s="2" t="inlineStr">
        <is>
          <t>management</t>
        </is>
      </c>
      <c r="C1365" s="2" t="inlineStr">
        <is>
          <t>reporting_practice</t>
        </is>
      </c>
      <c r="D1365" s="3" t="inlineStr">
        <is>
          <t>Monitoring: KPI reporting, frequency, budget process, controlling</t>
        </is>
      </c>
      <c r="E1365" s="2" t="n"/>
      <c r="F1365" s="2" t="n"/>
      <c r="G1365" s="2" t="n"/>
      <c r="H1365" s="3" t="inlineStr">
        <is>
          <t>Internal audits in 2025: Asset Management, Quality Management, Pricing Management, Payroll, Bond Management and GDPR at IT-system level.</t>
        </is>
      </c>
      <c r="I1365" s="2" t="inlineStr">
        <is>
          <t>S3</t>
        </is>
      </c>
      <c r="J1365" s="2" t="n">
        <v>79</v>
      </c>
      <c r="K1365" s="3" t="inlineStr">
        <is>
          <t>Internal Audit performed a number of risk-based audits and reviews in 2025, including: Asset Management, Quality Management, Pricing Management, Payroll, Bond Management and GDPR at IT-system level.</t>
        </is>
      </c>
      <c r="L1365" s="2" t="inlineStr">
        <is>
          <t>pend</t>
        </is>
      </c>
      <c r="M1365" s="2" t="n"/>
      <c r="N1365" s="2" t="n"/>
      <c r="O1365" s="3" t="inlineStr">
        <is>
          <t>https://vanillabonds.com/dossier-data/pdf/fastned/fastned-2025-annual-report.pdf#page=79</t>
        </is>
      </c>
    </row>
    <row r="1366">
      <c r="A1366" s="2" t="inlineStr">
        <is>
          <t>F1365</t>
        </is>
      </c>
      <c r="B1366" s="2" t="inlineStr">
        <is>
          <t>management</t>
        </is>
      </c>
      <c r="C1366" s="2" t="inlineStr">
        <is>
          <t>reporting_practice</t>
        </is>
      </c>
      <c r="D1366" s="3" t="inlineStr">
        <is>
          <t>Monitoring: KPI reporting, frequency, budget process, controlling</t>
        </is>
      </c>
      <c r="E1366" s="2" t="n"/>
      <c r="F1366" s="2" t="n"/>
      <c r="G1366" s="2" t="n"/>
      <c r="H1366" s="3" t="inlineStr">
        <is>
          <t>External reviews commissioned in 2025 on NIS2 readiness, Health &amp; Safety practices and renewed penetration tests of key systems.</t>
        </is>
      </c>
      <c r="I1366" s="2" t="inlineStr">
        <is>
          <t>S3</t>
        </is>
      </c>
      <c r="J1366" s="2" t="n">
        <v>79</v>
      </c>
      <c r="K1366" s="3" t="inlineStr">
        <is>
          <t>Fastned commissioned several external reviews to complement internal assurance, including assessments on NIS2 readiness, Health &amp; Safety practices, and renewed penetration tests</t>
        </is>
      </c>
      <c r="L1366" s="2" t="inlineStr">
        <is>
          <t>pend</t>
        </is>
      </c>
      <c r="M1366" s="2" t="n"/>
      <c r="N1366" s="2" t="n"/>
      <c r="O1366" s="3" t="inlineStr">
        <is>
          <t>https://vanillabonds.com/dossier-data/pdf/fastned/fastned-2025-annual-report.pdf#page=79</t>
        </is>
      </c>
    </row>
    <row r="1367">
      <c r="A1367" s="2" t="inlineStr">
        <is>
          <t>F1366</t>
        </is>
      </c>
      <c r="B1367" s="2" t="inlineStr">
        <is>
          <t>management</t>
        </is>
      </c>
      <c r="C1367" s="2" t="inlineStr">
        <is>
          <t>reporting_practice</t>
        </is>
      </c>
      <c r="D1367" s="3" t="inlineStr">
        <is>
          <t>Monitoring: KPI reporting, frequency, budget process, controlling</t>
        </is>
      </c>
      <c r="E1367" s="2" t="n"/>
      <c r="F1367" s="2" t="n"/>
      <c r="G1367" s="2" t="n"/>
      <c r="H1367" s="3" t="inlineStr">
        <is>
          <t>Annual fraud risk assessment and risk dialogues with management; Code of Conduct and Non-compliance Response Policy in place.</t>
        </is>
      </c>
      <c r="I1367" s="2" t="inlineStr">
        <is>
          <t>S3</t>
        </is>
      </c>
      <c r="J1367" s="2" t="n">
        <v>82</v>
      </c>
      <c r="K1367" s="3" t="inlineStr">
        <is>
          <t>assessed part of an annual fraud risk assessment</t>
        </is>
      </c>
      <c r="L1367" s="2" t="inlineStr">
        <is>
          <t>pend</t>
        </is>
      </c>
      <c r="M1367" s="2" t="n"/>
      <c r="N1367" s="2" t="n"/>
      <c r="O1367" s="3" t="inlineStr">
        <is>
          <t>https://vanillabonds.com/dossier-data/pdf/fastned/fastned-2025-annual-report.pdf#page=82</t>
        </is>
      </c>
    </row>
    <row r="1368">
      <c r="A1368" s="2" t="inlineStr">
        <is>
          <t>F1367</t>
        </is>
      </c>
      <c r="B1368" s="2" t="inlineStr">
        <is>
          <t>management</t>
        </is>
      </c>
      <c r="C1368" s="2" t="inlineStr">
        <is>
          <t>reporting_practice</t>
        </is>
      </c>
      <c r="D1368" s="3" t="inlineStr">
        <is>
          <t>Monitoring: KPI reporting, frequency, budget process, controlling</t>
        </is>
      </c>
      <c r="E1368" s="2" t="n"/>
      <c r="F1368" s="2" t="n"/>
      <c r="G1368" s="2" t="n"/>
      <c r="H1368" s="3" t="inlineStr">
        <is>
          <t>The Supervisory Board regularly discusses strategy, principal risks and risk appetite, budget, liquidity and funding.</t>
        </is>
      </c>
      <c r="I1368" s="2" t="inlineStr">
        <is>
          <t>S3</t>
        </is>
      </c>
      <c r="J1368" s="2" t="n">
        <v>87</v>
      </c>
      <c r="K1368" s="3" t="inlineStr">
        <is>
          <t>regularly discusses topics such as the strategy, principal risks and risk appetite, budget, liquidity, funding, HR organisation</t>
        </is>
      </c>
      <c r="L1368" s="2" t="inlineStr">
        <is>
          <t>pend</t>
        </is>
      </c>
      <c r="M1368" s="2" t="n"/>
      <c r="N1368" s="2" t="n"/>
      <c r="O1368" s="3" t="inlineStr">
        <is>
          <t>https://vanillabonds.com/dossier-data/pdf/fastned/fastned-2025-annual-report.pdf#page=87</t>
        </is>
      </c>
    </row>
    <row r="1369">
      <c r="A1369" s="2" t="inlineStr">
        <is>
          <t>F1368</t>
        </is>
      </c>
      <c r="B1369" s="2" t="inlineStr">
        <is>
          <t>management</t>
        </is>
      </c>
      <c r="C1369" s="2" t="inlineStr">
        <is>
          <t>reporting_practice</t>
        </is>
      </c>
      <c r="D1369" s="3" t="inlineStr">
        <is>
          <t>Monitoring: KPI reporting, frequency, budget process, controlling</t>
        </is>
      </c>
      <c r="E1369" s="2" t="n"/>
      <c r="F1369" s="2" t="n"/>
      <c r="G1369" s="2" t="n"/>
      <c r="H1369" s="3" t="inlineStr">
        <is>
          <t>The Audit Committee reviewed quarterly financial results in 2025 and discussed the Key Audit Matters and interim findings with the external auditor.</t>
        </is>
      </c>
      <c r="I1369" s="2" t="inlineStr">
        <is>
          <t>S3</t>
        </is>
      </c>
      <c r="J1369" s="2" t="n">
        <v>102</v>
      </c>
      <c r="K1369" s="3" t="inlineStr">
        <is>
          <t>In 2025, the Audit Committee reviewed quarterly financial results</t>
        </is>
      </c>
      <c r="L1369" s="2" t="inlineStr">
        <is>
          <t>pend</t>
        </is>
      </c>
      <c r="M1369" s="2" t="n"/>
      <c r="N1369" s="2" t="n"/>
      <c r="O1369" s="3" t="inlineStr">
        <is>
          <t>https://vanillabonds.com/dossier-data/pdf/fastned/fastned-2025-annual-report.pdf#page=102</t>
        </is>
      </c>
    </row>
    <row r="1370">
      <c r="A1370" s="2" t="inlineStr">
        <is>
          <t>F1369</t>
        </is>
      </c>
      <c r="B1370" s="2" t="inlineStr">
        <is>
          <t>management</t>
        </is>
      </c>
      <c r="C1370" s="2" t="inlineStr">
        <is>
          <t>reporting_practice</t>
        </is>
      </c>
      <c r="D1370" s="3" t="inlineStr">
        <is>
          <t>Monitoring: KPI reporting, frequency, budget process, controlling</t>
        </is>
      </c>
      <c r="E1370" s="2" t="n"/>
      <c r="F1370" s="2" t="n"/>
      <c r="G1370" s="2" t="n"/>
      <c r="H1370" s="3" t="inlineStr">
        <is>
          <t>No separate internal audit department; a combined Risk and Audit department with a risk and control framework and an internal audit charter and plan approved by the Audit Committee.</t>
        </is>
      </c>
      <c r="I1370" s="2" t="inlineStr">
        <is>
          <t>S3</t>
        </is>
      </c>
      <c r="J1370" s="2" t="n">
        <v>103</v>
      </c>
      <c r="K1370" s="3" t="inlineStr">
        <is>
          <t>Fastned does not provide for a separate internal audit department, but has a combined Risk and Audit department.</t>
        </is>
      </c>
      <c r="L1370" s="2" t="inlineStr">
        <is>
          <t>pend</t>
        </is>
      </c>
      <c r="M1370" s="2" t="n"/>
      <c r="N1370" s="2" t="n"/>
      <c r="O1370" s="3" t="inlineStr">
        <is>
          <t>https://vanillabonds.com/dossier-data/pdf/fastned/fastned-2025-annual-report.pdf#page=103</t>
        </is>
      </c>
    </row>
    <row r="1371">
      <c r="A1371" s="2" t="inlineStr">
        <is>
          <t>F1370</t>
        </is>
      </c>
      <c r="B1371" s="2" t="inlineStr">
        <is>
          <t>management</t>
        </is>
      </c>
      <c r="C1371" s="2" t="inlineStr">
        <is>
          <t>reporting_practice</t>
        </is>
      </c>
      <c r="D1371" s="3" t="inlineStr">
        <is>
          <t>Monitoring: KPI reporting, frequency, budget process, controlling</t>
        </is>
      </c>
      <c r="E1371" s="2" t="n"/>
      <c r="F1371" s="2" t="n"/>
      <c r="G1371" s="2" t="n"/>
      <c r="H1371" s="3" t="inlineStr">
        <is>
          <t>Management Board statement under Code 1.4.3: the risk management and control systems provide 'reasonable assurance' that the 2025 financial reporting contains no material inaccuracies; going concern basis stated as justified.</t>
        </is>
      </c>
      <c r="I1371" s="2" t="inlineStr">
        <is>
          <t>S3</t>
        </is>
      </c>
      <c r="J1371" s="2" t="n">
        <v>111</v>
      </c>
      <c r="K1371" s="3" t="inlineStr">
        <is>
          <t>the risk management and control systems provide reasonable assurance that the 2025 financial reporting does not contain any material inaccuracies</t>
        </is>
      </c>
      <c r="L1371" s="2" t="inlineStr">
        <is>
          <t>pend</t>
        </is>
      </c>
      <c r="M1371" s="2" t="n"/>
      <c r="N1371" s="2" t="n"/>
      <c r="O1371" s="3" t="inlineStr">
        <is>
          <t>https://vanillabonds.com/dossier-data/pdf/fastned/fastned-2025-annual-report.pdf#page=111</t>
        </is>
      </c>
    </row>
    <row r="1372">
      <c r="A1372" s="2" t="inlineStr">
        <is>
          <t>F1371</t>
        </is>
      </c>
      <c r="B1372" s="2" t="inlineStr">
        <is>
          <t>management</t>
        </is>
      </c>
      <c r="C1372" s="2" t="inlineStr">
        <is>
          <t>reporting_practice</t>
        </is>
      </c>
      <c r="D1372" s="3" t="inlineStr">
        <is>
          <t>Monitoring: KPI reporting, frequency, budget process, controlling</t>
        </is>
      </c>
      <c r="E1372" s="2" t="n"/>
      <c r="F1372" s="2" t="n"/>
      <c r="G1372" s="2" t="n"/>
      <c r="H1372" s="3" t="inlineStr">
        <is>
          <t>Non-IFRS measures (operational EBITDA, underlying EBITDA) are management monitoring measures and are not audited or reviewed.</t>
        </is>
      </c>
      <c r="I1372" s="2" t="inlineStr">
        <is>
          <t>S3</t>
        </is>
      </c>
      <c r="J1372" s="2" t="n">
        <v>112</v>
      </c>
      <c r="K1372" s="3" t="inlineStr">
        <is>
          <t>The non-IFRS financial measures presented are measures used by management to monitor the underlying performance of the business and operations and have therefore not been audited or reviewed.</t>
        </is>
      </c>
      <c r="L1372" s="2" t="inlineStr">
        <is>
          <t>pend</t>
        </is>
      </c>
      <c r="M1372" s="2" t="n"/>
      <c r="N1372" s="2" t="n"/>
      <c r="O1372" s="3" t="inlineStr">
        <is>
          <t>https://vanillabonds.com/dossier-data/pdf/fastned/fastned-2025-annual-report.pdf#page=112</t>
        </is>
      </c>
    </row>
    <row r="1373">
      <c r="A1373" s="2" t="inlineStr">
        <is>
          <t>F1372</t>
        </is>
      </c>
      <c r="B1373" s="2" t="inlineStr">
        <is>
          <t>management</t>
        </is>
      </c>
      <c r="C1373" s="2" t="inlineStr">
        <is>
          <t>reporting_practice</t>
        </is>
      </c>
      <c r="D1373" s="3" t="inlineStr">
        <is>
          <t>Monitoring: KPI reporting, frequency, budget process, controlling</t>
        </is>
      </c>
      <c r="E1373" s="2" t="n"/>
      <c r="F1373" s="2" t="n"/>
      <c r="G1373" s="2" t="n"/>
      <c r="H1373" s="3" t="inlineStr">
        <is>
          <t>The organisation is split into two streams, Delivery (operational network) and Pipeline (potential new sites); operating expenses are split into network operation costs and network expansion costs.</t>
        </is>
      </c>
      <c r="I1373" s="2" t="inlineStr">
        <is>
          <t>S3</t>
        </is>
      </c>
      <c r="J1373" s="2" t="n">
        <v>112</v>
      </c>
      <c r="K1373" s="3" t="inlineStr">
        <is>
          <t>Fastned’s organisation is divided into two streams</t>
        </is>
      </c>
      <c r="L1373" s="2" t="inlineStr">
        <is>
          <t>pend</t>
        </is>
      </c>
      <c r="M1373" s="2" t="n"/>
      <c r="N1373" s="2" t="n"/>
      <c r="O1373" s="3" t="inlineStr">
        <is>
          <t>https://vanillabonds.com/dossier-data/pdf/fastned/fastned-2025-annual-report.pdf#page=112</t>
        </is>
      </c>
    </row>
    <row r="1374">
      <c r="A1374" s="2" t="inlineStr">
        <is>
          <t>F1373</t>
        </is>
      </c>
      <c r="B1374" s="2" t="inlineStr">
        <is>
          <t>management</t>
        </is>
      </c>
      <c r="C1374" s="2" t="inlineStr">
        <is>
          <t>reporting_practice</t>
        </is>
      </c>
      <c r="D1374" s="3" t="inlineStr">
        <is>
          <t>Monitoring: KPI reporting, frequency, budget process, controlling</t>
        </is>
      </c>
      <c r="E1374" s="2" t="n"/>
      <c r="F1374" s="2" t="n"/>
      <c r="G1374" s="2" t="n"/>
      <c r="H1374" s="3" t="inlineStr">
        <is>
          <t>Operational EBITDA is defined as gross profit from charging revenues plus other operating income/(loss) less network operation costs before exceptional items; underlying company EBITDA also excludes gross profit on station construction for third parties.</t>
        </is>
      </c>
      <c r="I1374" s="2" t="inlineStr">
        <is>
          <t>S3</t>
        </is>
      </c>
      <c r="J1374" s="2" t="n">
        <v>113</v>
      </c>
      <c r="K1374" s="3" t="inlineStr">
        <is>
          <t>Gross profit from revenues related to charging plus other operating income/(loss) less network operation costs before exceptional items.</t>
        </is>
      </c>
      <c r="L1374" s="2" t="inlineStr">
        <is>
          <t>pend</t>
        </is>
      </c>
      <c r="M1374" s="2" t="n"/>
      <c r="N1374" s="2" t="n"/>
      <c r="O1374" s="3" t="inlineStr">
        <is>
          <t>https://vanillabonds.com/dossier-data/pdf/fastned/fastned-2025-annual-report.pdf#page=113</t>
        </is>
      </c>
    </row>
    <row r="1375">
      <c r="A1375" s="2" t="inlineStr">
        <is>
          <t>F1374</t>
        </is>
      </c>
      <c r="B1375" s="2" t="inlineStr">
        <is>
          <t>management</t>
        </is>
      </c>
      <c r="C1375" s="2" t="inlineStr">
        <is>
          <t>reporting_practice</t>
        </is>
      </c>
      <c r="D1375" s="3" t="inlineStr">
        <is>
          <t>Monitoring: KPI reporting, frequency, budget process, controlling</t>
        </is>
      </c>
      <c r="E1375" s="2" t="n"/>
      <c r="F1375" s="2" t="n"/>
      <c r="G1375" s="2" t="n"/>
      <c r="H1375" s="3" t="inlineStr">
        <is>
          <t>CapEx is defined as total payments for PP&amp;E and other intangible assets per the cash flow statement; ROIC as Operational EBITDA of a station divided by its initial investment.</t>
        </is>
      </c>
      <c r="I1375" s="2" t="inlineStr">
        <is>
          <t>S3</t>
        </is>
      </c>
      <c r="J1375" s="2" t="n">
        <v>113</v>
      </c>
      <c r="K1375" s="3" t="inlineStr">
        <is>
          <t>Total payments for property, plant and equipment and other intangible assets as stated in the Group's cash flow statement.</t>
        </is>
      </c>
      <c r="L1375" s="2" t="inlineStr">
        <is>
          <t>pend</t>
        </is>
      </c>
      <c r="M1375" s="2" t="n"/>
      <c r="N1375" s="2" t="n"/>
      <c r="O1375" s="3" t="inlineStr">
        <is>
          <t>https://vanillabonds.com/dossier-data/pdf/fastned/fastned-2025-annual-report.pdf#page=113</t>
        </is>
      </c>
    </row>
    <row r="1376">
      <c r="A1376" s="2" t="inlineStr">
        <is>
          <t>F1375</t>
        </is>
      </c>
      <c r="B1376" s="2" t="inlineStr">
        <is>
          <t>management</t>
        </is>
      </c>
      <c r="C1376" s="2" t="inlineStr">
        <is>
          <t>reporting_practice</t>
        </is>
      </c>
      <c r="D1376" s="3" t="inlineStr">
        <is>
          <t>Monitoring: KPI reporting, frequency, budget process, controlling</t>
        </is>
      </c>
      <c r="E1376" s="2" t="n"/>
      <c r="F1376" s="2" t="n"/>
      <c r="G1376" s="2" t="n"/>
      <c r="H1376" s="3" t="inlineStr">
        <is>
          <t>Management monitors cash and liquidity forecasts continuously against a minimum desired cash level; the forecast uses analyst BEV forecasts, sales per station and detailed capex and opex budgets, with scenarios shared with impairment testing.</t>
        </is>
      </c>
      <c r="I1376" s="2" t="inlineStr">
        <is>
          <t>S3</t>
        </is>
      </c>
      <c r="J1376" s="2" t="n">
        <v>122</v>
      </c>
      <c r="K1376" s="3" t="inlineStr">
        <is>
          <t>Management monitors cash and liquidity forecasts on a continuous basis, whereby a minimum desired cash level is to be maintained throughout the forecast period.</t>
        </is>
      </c>
      <c r="L1376" s="2" t="inlineStr">
        <is>
          <t>pend</t>
        </is>
      </c>
      <c r="M1376" s="2" t="n"/>
      <c r="N1376" s="2" t="n"/>
      <c r="O1376" s="3" t="inlineStr">
        <is>
          <t>https://vanillabonds.com/dossier-data/pdf/fastned/fastned-2025-annual-report.pdf#page=122</t>
        </is>
      </c>
    </row>
    <row r="1377">
      <c r="A1377" s="2" t="inlineStr">
        <is>
          <t>F1376</t>
        </is>
      </c>
      <c r="B1377" s="2" t="inlineStr">
        <is>
          <t>management</t>
        </is>
      </c>
      <c r="C1377" s="2" t="inlineStr">
        <is>
          <t>reporting_practice</t>
        </is>
      </c>
      <c r="D1377" s="3" t="inlineStr">
        <is>
          <t>Monitoring: KPI reporting, frequency, budget process, controlling</t>
        </is>
      </c>
      <c r="E1377" s="2" t="n"/>
      <c r="F1377" s="2" t="n"/>
      <c r="G1377" s="2" t="n"/>
      <c r="H1377" s="3" t="inlineStr">
        <is>
          <t>Impairment value-in-use cash flows are derived from the budget for the next five years (DCF model); capex budgets are allocated at country level.</t>
        </is>
      </c>
      <c r="I1377" s="2" t="inlineStr">
        <is>
          <t>S3</t>
        </is>
      </c>
      <c r="J1377" s="2" t="n">
        <v>143</v>
      </c>
      <c r="K1377" s="3" t="inlineStr">
        <is>
          <t>The cash flows are derived from the budget for the next five years</t>
        </is>
      </c>
      <c r="L1377" s="2" t="inlineStr">
        <is>
          <t>pend</t>
        </is>
      </c>
      <c r="M1377" s="2" t="n"/>
      <c r="N1377" s="2" t="n"/>
      <c r="O1377" s="3" t="inlineStr">
        <is>
          <t>https://vanillabonds.com/dossier-data/pdf/fastned/fastned-2025-annual-report.pdf#page=143</t>
        </is>
      </c>
    </row>
    <row r="1378">
      <c r="A1378" s="2" t="inlineStr">
        <is>
          <t>F1377</t>
        </is>
      </c>
      <c r="B1378" s="2" t="inlineStr">
        <is>
          <t>management</t>
        </is>
      </c>
      <c r="C1378" s="2" t="inlineStr">
        <is>
          <t>reporting_practice</t>
        </is>
      </c>
      <c r="D1378" s="3" t="inlineStr">
        <is>
          <t>Monitoring: KPI reporting, frequency, budget process, controlling</t>
        </is>
      </c>
      <c r="E1378" s="2" t="n"/>
      <c r="F1378" s="2" t="n"/>
      <c r="G1378" s="2" t="n"/>
      <c r="H1378" s="3" t="inlineStr">
        <is>
          <t>German Highway Tender construction revenue is recognised at a standalone selling price (expected cost plus margin); transaction price is the higher of the NPV of guaranteed government payments and the SSP, discounted at the 2.5% 10-year Bund yield.</t>
        </is>
      </c>
      <c r="I1378" s="2" t="inlineStr">
        <is>
          <t>S3</t>
        </is>
      </c>
      <c r="J1378" s="2" t="n">
        <v>146</v>
      </c>
      <c r="K1378" s="3" t="inlineStr">
        <is>
          <t>At inception date, the 10yr German Government bond yield rate of 2.5% is utilized as the discount rate.</t>
        </is>
      </c>
      <c r="L1378" s="2" t="inlineStr">
        <is>
          <t>pend</t>
        </is>
      </c>
      <c r="M1378" s="2" t="n"/>
      <c r="N1378" s="2" t="n"/>
      <c r="O1378" s="3" t="inlineStr">
        <is>
          <t>https://vanillabonds.com/dossier-data/pdf/fastned/fastned-2025-annual-report.pdf#page=146</t>
        </is>
      </c>
    </row>
    <row r="1379">
      <c r="A1379" s="2" t="inlineStr">
        <is>
          <t>F1378</t>
        </is>
      </c>
      <c r="B1379" s="2" t="inlineStr">
        <is>
          <t>management</t>
        </is>
      </c>
      <c r="C1379" s="2" t="inlineStr">
        <is>
          <t>reporting_practice</t>
        </is>
      </c>
      <c r="D1379" s="3" t="inlineStr">
        <is>
          <t>Monitoring: KPI reporting, frequency, budget process, controlling</t>
        </is>
      </c>
      <c r="E1379" s="2" t="n"/>
      <c r="F1379" s="2" t="n"/>
      <c r="G1379" s="2" t="n"/>
      <c r="H1379" s="3" t="inlineStr">
        <is>
          <t>CODM is the CEO, CFO and COO; performance examined geographically in six operating segments (Netherlands, Germany, UK, Belgium, France, Other Europe); EBITDA is the segment performance measure; finance items not allocated.</t>
        </is>
      </c>
      <c r="I1379" s="2" t="inlineStr">
        <is>
          <t>S3</t>
        </is>
      </c>
      <c r="J1379" s="2" t="n">
        <v>151</v>
      </c>
      <c r="K1379" s="3" t="inlineStr">
        <is>
          <t>The CODM examines the Group’s performance on a geographical basis with six operating segments identified</t>
        </is>
      </c>
      <c r="L1379" s="2" t="inlineStr">
        <is>
          <t>pend</t>
        </is>
      </c>
      <c r="M1379" s="2" t="n"/>
      <c r="N1379" s="2" t="n"/>
      <c r="O1379" s="3" t="inlineStr">
        <is>
          <t>https://vanillabonds.com/dossier-data/pdf/fastned/fastned-2025-annual-report.pdf#page=151</t>
        </is>
      </c>
    </row>
    <row r="1380">
      <c r="A1380" s="2" t="inlineStr">
        <is>
          <t>F1379</t>
        </is>
      </c>
      <c r="B1380" s="2" t="inlineStr">
        <is>
          <t>management</t>
        </is>
      </c>
      <c r="C1380" s="2" t="inlineStr">
        <is>
          <t>reporting_practice</t>
        </is>
      </c>
      <c r="D1380" s="3" t="inlineStr">
        <is>
          <t>Monitoring: KPI reporting, frequency, budget process, controlling</t>
        </is>
      </c>
      <c r="E1380" s="2" t="n"/>
      <c r="F1380" s="2" t="n"/>
      <c r="G1380" s="2" t="n"/>
      <c r="H1380" s="3" t="inlineStr">
        <is>
          <t>Audit scope: all procedures by the group engagement team without component auditors, covering 99% of revenues; the auditor inspected minutes and attended several meetings of the supervisory board, audit committee and management board.</t>
        </is>
      </c>
      <c r="I1380" s="2" t="inlineStr">
        <is>
          <t>S3</t>
        </is>
      </c>
      <c r="J1380" s="2" t="n">
        <v>218</v>
      </c>
      <c r="K1380" s="3" t="inlineStr">
        <is>
          <t>All audit procedures are performed by the group engagement team and no component auditors were involved.</t>
        </is>
      </c>
      <c r="L1380" s="2" t="inlineStr">
        <is>
          <t>pend</t>
        </is>
      </c>
      <c r="M1380" s="2" t="n"/>
      <c r="N1380" s="2" t="n"/>
      <c r="O1380" s="3" t="inlineStr">
        <is>
          <t>https://vanillabonds.com/dossier-data/pdf/fastned/fastned-2025-annual-report.pdf#page=218</t>
        </is>
      </c>
    </row>
    <row r="1381">
      <c r="A1381" s="2" t="inlineStr">
        <is>
          <t>F1380</t>
        </is>
      </c>
      <c r="B1381" s="2" t="inlineStr">
        <is>
          <t>management</t>
        </is>
      </c>
      <c r="C1381" s="2" t="inlineStr">
        <is>
          <t>reporting_practice</t>
        </is>
      </c>
      <c r="D1381" s="3" t="inlineStr">
        <is>
          <t>Monitoring: KPI reporting, frequency, budget process, controlling</t>
        </is>
      </c>
      <c r="E1381" s="2" t="n"/>
      <c r="F1381" s="2" t="n"/>
      <c r="G1381" s="2" t="n"/>
      <c r="H1381" s="3" t="inlineStr">
        <is>
          <t>Functions in place per the auditor's enquiries: internal audit, legal and compliance (head of legal and compliance), audit committee, supervisory board.</t>
        </is>
      </c>
      <c r="I1381" s="2" t="inlineStr">
        <is>
          <t>S3</t>
        </is>
      </c>
      <c r="J1381" s="2" t="n">
        <v>220</v>
      </c>
      <c r="K1381" s="3" t="inlineStr">
        <is>
          <t>We considered available information and made enquiries of relevant executives (including internal audit, legal and compliance), the management board, the supervisory board and the audit committee.</t>
        </is>
      </c>
      <c r="L1381" s="2" t="inlineStr">
        <is>
          <t>pend</t>
        </is>
      </c>
      <c r="M1381" s="2" t="n"/>
      <c r="N1381" s="2" t="n"/>
      <c r="O1381" s="3" t="inlineStr">
        <is>
          <t>https://vanillabonds.com/dossier-data/pdf/fastned/fastned-2025-annual-report.pdf#page=220</t>
        </is>
      </c>
    </row>
    <row r="1382">
      <c r="A1382" s="2" t="inlineStr">
        <is>
          <t>F1381</t>
        </is>
      </c>
      <c r="B1382" s="2" t="inlineStr">
        <is>
          <t>management</t>
        </is>
      </c>
      <c r="C1382" s="2" t="inlineStr">
        <is>
          <t>reporting_practice</t>
        </is>
      </c>
      <c r="D1382" s="3" t="inlineStr">
        <is>
          <t>Monitoring: KPI reporting, frequency, budget process, controlling</t>
        </is>
      </c>
      <c r="E1382" s="2" t="n"/>
      <c r="F1382" s="2" t="n"/>
      <c r="G1382" s="2" t="n"/>
      <c r="H1382" s="3" t="inlineStr">
        <is>
          <t>The auditor notes a management focus on revenue growth and (underlying) EBITDA; key estimates are PP&amp;E useful lives and impairment, the decommissioning provision and construction-revenue stand-alone selling price and percentage of completion.</t>
        </is>
      </c>
      <c r="I1382" s="2" t="inlineStr">
        <is>
          <t>S3</t>
        </is>
      </c>
      <c r="J1382" s="2" t="n">
        <v>222</v>
      </c>
      <c r="K1382" s="3" t="inlineStr">
        <is>
          <t>The possible tendency that we identified is to overstate revenues following the focus on revenue growth and (underlying) EBITDA.</t>
        </is>
      </c>
      <c r="L1382" s="2" t="inlineStr">
        <is>
          <t>pend</t>
        </is>
      </c>
      <c r="M1382" s="2" t="n"/>
      <c r="N1382" s="2" t="n"/>
      <c r="O1382" s="3" t="inlineStr">
        <is>
          <t>https://vanillabonds.com/dossier-data/pdf/fastned/fastned-2025-annual-report.pdf#page=222</t>
        </is>
      </c>
    </row>
    <row r="1383">
      <c r="A1383" s="2" t="inlineStr">
        <is>
          <t>F1382</t>
        </is>
      </c>
      <c r="B1383" s="2" t="inlineStr">
        <is>
          <t>management</t>
        </is>
      </c>
      <c r="C1383" s="2" t="inlineStr">
        <is>
          <t>reporting_practice</t>
        </is>
      </c>
      <c r="D1383" s="3" t="inlineStr">
        <is>
          <t>Monitoring: KPI reporting, frequency, budget process, controlling</t>
        </is>
      </c>
      <c r="E1383" s="2" t="n"/>
      <c r="F1383" s="2" t="n"/>
      <c r="G1383" s="2" t="n"/>
      <c r="H1383" s="3" t="inlineStr">
        <is>
          <t>Impairment testing uses cash generating units per country where stations are located, with a value-in-use DCF model; management judged current PP&amp;E useful lives appropriate at 31 December 2025 despite expiring concessions.</t>
        </is>
      </c>
      <c r="I1383" s="2" t="inlineStr">
        <is>
          <t>S3</t>
        </is>
      </c>
      <c r="J1383" s="2" t="n">
        <v>225</v>
      </c>
      <c r="K1383" s="3" t="inlineStr">
        <is>
          <t>Fastned has defined cash generating units (CGU) based on the geographical area (country) where charging stations are located.</t>
        </is>
      </c>
      <c r="L1383" s="2" t="inlineStr">
        <is>
          <t>pend</t>
        </is>
      </c>
      <c r="M1383" s="2" t="n"/>
      <c r="N1383" s="2" t="n"/>
      <c r="O1383" s="3" t="inlineStr">
        <is>
          <t>https://vanillabonds.com/dossier-data/pdf/fastned/fastned-2025-annual-report.pdf#page=225</t>
        </is>
      </c>
    </row>
    <row r="1384">
      <c r="A1384" s="2" t="inlineStr">
        <is>
          <t>F1383</t>
        </is>
      </c>
      <c r="B1384" s="2" t="inlineStr">
        <is>
          <t>management</t>
        </is>
      </c>
      <c r="C1384" s="2" t="inlineStr">
        <is>
          <t>reporting_practice</t>
        </is>
      </c>
      <c r="D1384" s="3" t="inlineStr">
        <is>
          <t>Monitoring: KPI reporting, frequency, budget process, controlling</t>
        </is>
      </c>
      <c r="E1384" s="2" t="n"/>
      <c r="F1384" s="2" t="n"/>
      <c r="G1384" s="2" t="n"/>
      <c r="H1384" s="3" t="inlineStr">
        <is>
          <t>The annual report is prepared in ESEF (XHTML with partly marked-up consolidated statements); BDO opined it complies in all material respects with the RTS on ESEF.</t>
        </is>
      </c>
      <c r="I1384" s="2" t="inlineStr">
        <is>
          <t>S3</t>
        </is>
      </c>
      <c r="J1384" s="2" t="n">
        <v>227</v>
      </c>
      <c r="K1384" s="3" t="inlineStr">
        <is>
          <t>In our opinion, the annual report prepared in XHTML-format, including the (partly) marked-up consolidated financial statements as included in the reporting package by Fastned B.V., complies</t>
        </is>
      </c>
      <c r="L1384" s="2" t="inlineStr">
        <is>
          <t>pend</t>
        </is>
      </c>
      <c r="M1384" s="2" t="n"/>
      <c r="N1384" s="2" t="n"/>
      <c r="O1384" s="3" t="inlineStr">
        <is>
          <t>https://vanillabonds.com/dossier-data/pdf/fastned/fastned-2025-annual-report.pdf#page=227</t>
        </is>
      </c>
    </row>
    <row r="1385">
      <c r="A1385" s="2" t="inlineStr">
        <is>
          <t>F1384</t>
        </is>
      </c>
      <c r="B1385" s="2" t="inlineStr">
        <is>
          <t>management</t>
        </is>
      </c>
      <c r="C1385" s="2" t="inlineStr">
        <is>
          <t>reporting_practice</t>
        </is>
      </c>
      <c r="D1385" s="3" t="inlineStr">
        <is>
          <t>Monitoring: KPI reporting, frequency, budget process, controlling</t>
        </is>
      </c>
      <c r="E1385" s="2" t="n"/>
      <c r="F1385" s="2" t="n"/>
      <c r="G1385" s="2" t="n"/>
      <c r="H1385" s="3" t="inlineStr">
        <is>
          <t>Investor reporting: publicly available quarterly performance updates, annual and interim reports, investor conferences and non-deal roadshows, AGM; topics include guidance and underlying EBITDA profitability.</t>
        </is>
      </c>
      <c r="I1385" s="2" t="inlineStr">
        <is>
          <t>S3</t>
        </is>
      </c>
      <c r="J1385" s="2" t="n">
        <v>235</v>
      </c>
      <c r="K1385" s="3" t="inlineStr">
        <is>
          <t>Publicly available quarterly performance updates</t>
        </is>
      </c>
      <c r="L1385" s="2" t="inlineStr">
        <is>
          <t>pend</t>
        </is>
      </c>
      <c r="M1385" s="2" t="n"/>
      <c r="N1385" s="2" t="n"/>
      <c r="O1385" s="3" t="inlineStr">
        <is>
          <t>https://vanillabonds.com/dossier-data/pdf/fastned/fastned-2025-annual-report.pdf#page=235</t>
        </is>
      </c>
    </row>
    <row r="1386">
      <c r="A1386" s="2" t="inlineStr">
        <is>
          <t>F1385</t>
        </is>
      </c>
      <c r="B1386" s="2" t="inlineStr">
        <is>
          <t>management</t>
        </is>
      </c>
      <c r="C1386" s="2" t="inlineStr">
        <is>
          <t>reporting_practice</t>
        </is>
      </c>
      <c r="D1386" s="3" t="inlineStr">
        <is>
          <t>Monitoring: KPI reporting, frequency, budget process, controlling</t>
        </is>
      </c>
      <c r="E1386" s="2" t="n"/>
      <c r="F1386" s="2" t="n"/>
      <c r="G1386" s="2" t="n"/>
      <c r="H1386" s="3" t="inlineStr">
        <is>
          <t>Supervisory Board cadence: quarterly update meetings and monthly Management Board calls; 2025 topics included the funding plan/budget including bank financing, quarterly/half-year/annual results, ESG, risk and the Employee Option Plan.</t>
        </is>
      </c>
      <c r="I1386" s="2" t="inlineStr">
        <is>
          <t>S3</t>
        </is>
      </c>
      <c r="J1386" s="2" t="n">
        <v>236</v>
      </c>
      <c r="K1386" s="3" t="inlineStr">
        <is>
          <t>Supervisory Board: • Quarterly update meetings • Monthly Management Board calls</t>
        </is>
      </c>
      <c r="L1386" s="2" t="inlineStr">
        <is>
          <t>pend</t>
        </is>
      </c>
      <c r="M1386" s="2" t="n"/>
      <c r="N1386" s="2" t="n"/>
      <c r="O1386" s="3" t="inlineStr">
        <is>
          <t>https://vanillabonds.com/dossier-data/pdf/fastned/fastned-2025-annual-report.pdf#page=236</t>
        </is>
      </c>
    </row>
    <row r="1387">
      <c r="A1387" s="2" t="inlineStr">
        <is>
          <t>F1386</t>
        </is>
      </c>
      <c r="B1387" s="2" t="inlineStr">
        <is>
          <t>market</t>
        </is>
      </c>
      <c r="C1387" s="2" t="inlineStr">
        <is>
          <t>market_fact</t>
        </is>
      </c>
      <c r="D1387" s="3" t="inlineStr">
        <is>
          <t>Market: size, growth, share, competitor capacity, regulation (source named)</t>
        </is>
      </c>
      <c r="E1387" s="2" t="n"/>
      <c r="F1387" s="2" t="n"/>
      <c r="G1387" s="2" t="n"/>
      <c r="H1387" s="3" t="inlineStr">
        <is>
          <t>company statement: more than eight million fully electric cars on European roads.</t>
        </is>
      </c>
      <c r="I1387" s="2" t="inlineStr">
        <is>
          <t>S3</t>
        </is>
      </c>
      <c r="J1387" s="2" t="n">
        <v>7</v>
      </c>
      <c r="K1387" s="3" t="inlineStr">
        <is>
          <t>Today, with more than eight million fully electric cars on European roads</t>
        </is>
      </c>
      <c r="L1387" s="2" t="inlineStr">
        <is>
          <t>pend</t>
        </is>
      </c>
      <c r="M1387" s="2" t="n"/>
      <c r="N1387" s="2" t="n"/>
      <c r="O1387" s="3" t="inlineStr">
        <is>
          <t>https://vanillabonds.com/dossier-data/pdf/fastned/fastned-2025-annual-report.pdf#page=7</t>
        </is>
      </c>
    </row>
    <row r="1388">
      <c r="A1388" s="2" t="inlineStr">
        <is>
          <t>F1387</t>
        </is>
      </c>
      <c r="B1388" s="2" t="inlineStr">
        <is>
          <t>market</t>
        </is>
      </c>
      <c r="C1388" s="2" t="inlineStr">
        <is>
          <t>market_fact</t>
        </is>
      </c>
      <c r="D1388" s="3" t="inlineStr">
        <is>
          <t>Market: size, growth, share, competitor capacity, regulation (source named)</t>
        </is>
      </c>
      <c r="E1388" s="2" t="n"/>
      <c r="F1388" s="2" t="n"/>
      <c r="G1388" s="2" t="n"/>
      <c r="H1388" s="3" t="inlineStr">
        <is>
          <t>company statement: fully electric cars on European roads multiplied more than fivefold since 2020 and are expected to triple again by 2030; BEV share grew 30% year-on-year across the continent in 2025.</t>
        </is>
      </c>
      <c r="I1388" s="2" t="inlineStr">
        <is>
          <t>S3</t>
        </is>
      </c>
      <c r="J1388" s="2" t="n">
        <v>13</v>
      </c>
      <c r="K1388" s="3" t="inlineStr">
        <is>
          <t>The number of fully electric cars on European roads has multiplied more than fivefold since 2020, and is expected to triple again by 2030.</t>
        </is>
      </c>
      <c r="L1388" s="2" t="inlineStr">
        <is>
          <t>pend</t>
        </is>
      </c>
      <c r="M1388" s="2" t="n"/>
      <c r="N1388" s="2" t="n"/>
      <c r="O1388" s="3" t="inlineStr">
        <is>
          <t>https://vanillabonds.com/dossier-data/pdf/fastned/fastned-2025-annual-report.pdf#page=13</t>
        </is>
      </c>
    </row>
    <row r="1389">
      <c r="A1389" s="2" t="inlineStr">
        <is>
          <t>F1388</t>
        </is>
      </c>
      <c r="B1389" s="2" t="inlineStr">
        <is>
          <t>market</t>
        </is>
      </c>
      <c r="C1389" s="2" t="inlineStr">
        <is>
          <t>market_fact</t>
        </is>
      </c>
      <c r="D1389" s="3" t="inlineStr">
        <is>
          <t>Market: size, growth, share, competitor capacity, regulation (source named)</t>
        </is>
      </c>
      <c r="E1389" s="2" t="n"/>
      <c r="F1389" s="2" t="n"/>
      <c r="G1389" s="2" t="n"/>
      <c r="H1389" s="3" t="inlineStr">
        <is>
          <t>company statement: competition intensifying, with multiple charging brands along highways and in cities.</t>
        </is>
      </c>
      <c r="I1389" s="2" t="inlineStr">
        <is>
          <t>S3</t>
        </is>
      </c>
      <c r="J1389" s="2" t="n">
        <v>13</v>
      </c>
      <c r="K1389" s="3" t="inlineStr">
        <is>
          <t>In many places competition is intensifying; drivers now see multiple charging brands along highways and in cities.</t>
        </is>
      </c>
      <c r="L1389" s="2" t="inlineStr">
        <is>
          <t>pend</t>
        </is>
      </c>
      <c r="M1389" s="2" t="n"/>
      <c r="N1389" s="2" t="n"/>
      <c r="O1389" s="3" t="inlineStr">
        <is>
          <t>https://vanillabonds.com/dossier-data/pdf/fastned/fastned-2025-annual-report.pdf#page=13</t>
        </is>
      </c>
    </row>
    <row r="1390">
      <c r="A1390" s="2" t="inlineStr">
        <is>
          <t>F1389</t>
        </is>
      </c>
      <c r="B1390" s="2" t="inlineStr">
        <is>
          <t>market</t>
        </is>
      </c>
      <c r="C1390" s="2" t="inlineStr">
        <is>
          <t>market_fact</t>
        </is>
      </c>
      <c r="D1390" s="3" t="inlineStr">
        <is>
          <t>Market: size, growth, share, competitor capacity, regulation (source named)</t>
        </is>
      </c>
      <c r="E1390" s="2" t="n"/>
      <c r="F1390" s="2" t="n"/>
      <c r="G1390" s="2" t="n"/>
      <c r="H1390" s="3" t="inlineStr">
        <is>
          <t>company statement: Spain's EV market share approaching 10%.</t>
        </is>
      </c>
      <c r="I1390" s="2" t="inlineStr">
        <is>
          <t>S3</t>
        </is>
      </c>
      <c r="J1390" s="2" t="n">
        <v>16</v>
      </c>
      <c r="K1390" s="3" t="inlineStr">
        <is>
          <t>at a time when Spain’s EV market share is approaching 10%</t>
        </is>
      </c>
      <c r="L1390" s="2" t="inlineStr">
        <is>
          <t>pend</t>
        </is>
      </c>
      <c r="M1390" s="2" t="n"/>
      <c r="N1390" s="2" t="n"/>
      <c r="O1390" s="3" t="inlineStr">
        <is>
          <t>https://vanillabonds.com/dossier-data/pdf/fastned/fastned-2025-annual-report.pdf#page=16</t>
        </is>
      </c>
    </row>
    <row r="1391">
      <c r="A1391" s="2" t="inlineStr">
        <is>
          <t>F1390</t>
        </is>
      </c>
      <c r="B1391" s="2" t="inlineStr">
        <is>
          <t>market</t>
        </is>
      </c>
      <c r="C1391" s="2" t="inlineStr">
        <is>
          <t>market_fact</t>
        </is>
      </c>
      <c r="D1391" s="3" t="inlineStr">
        <is>
          <t>Market: size, growth, share, competitor capacity, regulation (source named)</t>
        </is>
      </c>
      <c r="E1391" s="2" t="n"/>
      <c r="F1391" s="2" t="n"/>
      <c r="G1391" s="2" t="n"/>
      <c r="H1391" s="3" t="inlineStr">
        <is>
          <t>company statement: heavy-duty vehicles account for around 25% of Europe's road transport emissions.</t>
        </is>
      </c>
      <c r="I1391" s="2" t="inlineStr">
        <is>
          <t>S3</t>
        </is>
      </c>
      <c r="J1391" s="2" t="n">
        <v>20</v>
      </c>
      <c r="K1391" s="3" t="inlineStr">
        <is>
          <t>Heavy-duty vehicles still account for around 25% of Europe’s road transport emissions</t>
        </is>
      </c>
      <c r="L1391" s="2" t="inlineStr">
        <is>
          <t>pend</t>
        </is>
      </c>
      <c r="M1391" s="2" t="n"/>
      <c r="N1391" s="2" t="n"/>
      <c r="O1391" s="3" t="inlineStr">
        <is>
          <t>https://vanillabonds.com/dossier-data/pdf/fastned/fastned-2025-annual-report.pdf#page=20</t>
        </is>
      </c>
    </row>
    <row r="1392">
      <c r="A1392" s="2" t="inlineStr">
        <is>
          <t>F1391</t>
        </is>
      </c>
      <c r="B1392" s="2" t="inlineStr">
        <is>
          <t>market</t>
        </is>
      </c>
      <c r="C1392" s="2" t="inlineStr">
        <is>
          <t>market_fact</t>
        </is>
      </c>
      <c r="D1392" s="3" t="inlineStr">
        <is>
          <t>Market: size, growth, share, competitor capacity, regulation (source named)</t>
        </is>
      </c>
      <c r="E1392" s="2" t="n"/>
      <c r="F1392" s="2" t="n"/>
      <c r="G1392" s="2" t="n"/>
      <c r="H1392" s="3" t="inlineStr">
        <is>
          <t>cites ACEA: EU BEV registrations around 1.88 million units in 2025, a 17.4% share of new car sales, up from 13.6% in 2024.</t>
        </is>
      </c>
      <c r="I1392" s="2" t="inlineStr">
        <is>
          <t>S3</t>
        </is>
      </c>
      <c r="J1392" s="2" t="n">
        <v>34</v>
      </c>
      <c r="K1392" s="3" t="inlineStr">
        <is>
          <t>EU battery-electric vehicle (BEV) registrations reached around 1.88 million units in 2025, giving BEVs a 17.4% share of new car sales, up from 13.6% in 2024</t>
        </is>
      </c>
      <c r="L1392" s="2" t="inlineStr">
        <is>
          <t>pend</t>
        </is>
      </c>
      <c r="M1392" s="2" t="n"/>
      <c r="N1392" s="2" t="n"/>
      <c r="O1392" s="3" t="inlineStr">
        <is>
          <t>https://vanillabonds.com/dossier-data/pdf/fastned/fastned-2025-annual-report.pdf#page=34</t>
        </is>
      </c>
    </row>
    <row r="1393">
      <c r="A1393" s="2" t="inlineStr">
        <is>
          <t>F1392</t>
        </is>
      </c>
      <c r="B1393" s="2" t="inlineStr">
        <is>
          <t>market</t>
        </is>
      </c>
      <c r="C1393" s="2" t="inlineStr">
        <is>
          <t>market_fact</t>
        </is>
      </c>
      <c r="D1393" s="3" t="inlineStr">
        <is>
          <t>Market: size, growth, share, competitor capacity, regulation (source named)</t>
        </is>
      </c>
      <c r="E1393" s="2" t="n"/>
      <c r="F1393" s="2" t="n"/>
      <c r="G1393" s="2" t="n"/>
      <c r="H1393" s="3" t="inlineStr">
        <is>
          <t>cites Schmidt Automotive / CAM: BEVs around 18-19% of new registrations in EU+UK+EFTA by late 2025 after 25-26% year-on-year growth.</t>
        </is>
      </c>
      <c r="I1393" s="2" t="inlineStr">
        <is>
          <t>S3</t>
        </is>
      </c>
      <c r="J1393" s="2" t="n">
        <v>34</v>
      </c>
      <c r="K1393" s="3" t="inlineStr">
        <is>
          <t>Wider European data (EU + UK + EFTA) show similar momentum, with BEVs accounting for around 18–19% of new registrations by late 2025 after a year-on-year growth rate of roughly 25–26%</t>
        </is>
      </c>
      <c r="L1393" s="2" t="inlineStr">
        <is>
          <t>pend</t>
        </is>
      </c>
      <c r="M1393" s="2" t="n"/>
      <c r="N1393" s="2" t="n"/>
      <c r="O1393" s="3" t="inlineStr">
        <is>
          <t>https://vanillabonds.com/dossier-data/pdf/fastned/fastned-2025-annual-report.pdf#page=34</t>
        </is>
      </c>
    </row>
    <row r="1394">
      <c r="A1394" s="2" t="inlineStr">
        <is>
          <t>F1393</t>
        </is>
      </c>
      <c r="B1394" s="2" t="inlineStr">
        <is>
          <t>market</t>
        </is>
      </c>
      <c r="C1394" s="2" t="inlineStr">
        <is>
          <t>market_fact</t>
        </is>
      </c>
      <c r="D1394" s="3" t="inlineStr">
        <is>
          <t>Market: size, growth, share, competitor capacity, regulation (source named)</t>
        </is>
      </c>
      <c r="E1394" s="2" t="n"/>
      <c r="F1394" s="2" t="n"/>
      <c r="G1394" s="2" t="n"/>
      <c r="H1394" s="3" t="inlineStr">
        <is>
          <t>cites EAFO: BEV stock in the EU over six million at end-2024 and over 7.6 million in 2025.</t>
        </is>
      </c>
      <c r="I1394" s="2" t="inlineStr">
        <is>
          <t>S3</t>
        </is>
      </c>
      <c r="J1394" s="2" t="n">
        <v>34</v>
      </c>
      <c r="K1394" s="3" t="inlineStr">
        <is>
          <t>At the end of 2024 there were over six million BEVs in the EU; this stock rose to over 7.6 million in 2025</t>
        </is>
      </c>
      <c r="L1394" s="2" t="inlineStr">
        <is>
          <t>pend</t>
        </is>
      </c>
      <c r="M1394" s="2" t="n"/>
      <c r="N1394" s="2" t="n"/>
      <c r="O1394" s="3" t="inlineStr">
        <is>
          <t>https://vanillabonds.com/dossier-data/pdf/fastned/fastned-2025-annual-report.pdf#page=34</t>
        </is>
      </c>
    </row>
    <row r="1395">
      <c r="A1395" s="2" t="inlineStr">
        <is>
          <t>F1394</t>
        </is>
      </c>
      <c r="B1395" s="2" t="inlineStr">
        <is>
          <t>market</t>
        </is>
      </c>
      <c r="C1395" s="2" t="inlineStr">
        <is>
          <t>market_fact</t>
        </is>
      </c>
      <c r="D1395" s="3" t="inlineStr">
        <is>
          <t>Market: size, growth, share, competitor capacity, regulation (source named)</t>
        </is>
      </c>
      <c r="E1395" s="2" t="n"/>
      <c r="F1395" s="2" t="n"/>
      <c r="G1395" s="2" t="n"/>
      <c r="H1395" s="3" t="inlineStr">
        <is>
          <t>cites Schmidt Automotive Research: BEVs expected to move towards a 25-30% share of European car sales by end-2026.</t>
        </is>
      </c>
      <c r="I1395" s="2" t="inlineStr">
        <is>
          <t>S3</t>
        </is>
      </c>
      <c r="J1395" s="2" t="n">
        <v>35</v>
      </c>
      <c r="K1395" s="3" t="inlineStr">
        <is>
          <t>Schmidt Automotive Research, for example, anticipates BEVs moving towards a 25–30% share of European car sales by the end of 2026.</t>
        </is>
      </c>
      <c r="L1395" s="2" t="inlineStr">
        <is>
          <t>pend</t>
        </is>
      </c>
      <c r="M1395" s="2" t="n"/>
      <c r="N1395" s="2" t="n"/>
      <c r="O1395" s="3" t="inlineStr">
        <is>
          <t>https://vanillabonds.com/dossier-data/pdf/fastned/fastned-2025-annual-report.pdf#page=35</t>
        </is>
      </c>
    </row>
    <row r="1396">
      <c r="A1396" s="2" t="inlineStr">
        <is>
          <t>F1395</t>
        </is>
      </c>
      <c r="B1396" s="2" t="inlineStr">
        <is>
          <t>market</t>
        </is>
      </c>
      <c r="C1396" s="2" t="inlineStr">
        <is>
          <t>market_fact</t>
        </is>
      </c>
      <c r="D1396" s="3" t="inlineStr">
        <is>
          <t>Market: size, growth, share, competitor capacity, regulation (source named)</t>
        </is>
      </c>
      <c r="E1396" s="2" t="n"/>
      <c r="F1396" s="2" t="n"/>
      <c r="G1396" s="2" t="n"/>
      <c r="H1396" s="3" t="inlineStr">
        <is>
          <t>cites European Commission and industry studies: more than EUR 500 billion of electricity-grid investment needed this decade.</t>
        </is>
      </c>
      <c r="I1396" s="2" t="inlineStr">
        <is>
          <t>S3</t>
        </is>
      </c>
      <c r="J1396" s="2" t="n">
        <v>35</v>
      </c>
      <c r="K1396" s="3" t="inlineStr">
        <is>
          <t>The European Commission and industry studies estimate that more than €500 billion of investment in electricity grids will be needed this decade</t>
        </is>
      </c>
      <c r="L1396" s="2" t="inlineStr">
        <is>
          <t>pend</t>
        </is>
      </c>
      <c r="M1396" s="2" t="n"/>
      <c r="N1396" s="2" t="n"/>
      <c r="O1396" s="3" t="inlineStr">
        <is>
          <t>https://vanillabonds.com/dossier-data/pdf/fastned/fastned-2025-annual-report.pdf#page=35</t>
        </is>
      </c>
    </row>
    <row r="1397">
      <c r="A1397" s="2" t="inlineStr">
        <is>
          <t>F1396</t>
        </is>
      </c>
      <c r="B1397" s="2" t="inlineStr">
        <is>
          <t>market</t>
        </is>
      </c>
      <c r="C1397" s="2" t="inlineStr">
        <is>
          <t>market_fact</t>
        </is>
      </c>
      <c r="D1397" s="3" t="inlineStr">
        <is>
          <t>Market: size, growth, share, competitor capacity, regulation (source named)</t>
        </is>
      </c>
      <c r="E1397" s="2" t="n"/>
      <c r="F1397" s="2" t="n"/>
      <c r="G1397" s="2" t="n"/>
      <c r="H1397" s="3" t="inlineStr">
        <is>
          <t>company statement: 2026 expected to be another year of growth for the European BEV market.</t>
        </is>
      </c>
      <c r="I1397" s="2" t="inlineStr">
        <is>
          <t>S3</t>
        </is>
      </c>
      <c r="J1397" s="2" t="n">
        <v>35</v>
      </c>
      <c r="K1397" s="3" t="inlineStr">
        <is>
          <t>Overall, we expect 2026 to be another year of growth for the European BEV market.</t>
        </is>
      </c>
      <c r="L1397" s="2" t="inlineStr">
        <is>
          <t>pend</t>
        </is>
      </c>
      <c r="M1397" s="2" t="n"/>
      <c r="N1397" s="2" t="n"/>
      <c r="O1397" s="3" t="inlineStr">
        <is>
          <t>https://vanillabonds.com/dossier-data/pdf/fastned/fastned-2025-annual-report.pdf#page=35</t>
        </is>
      </c>
    </row>
    <row r="1398">
      <c r="A1398" s="2" t="inlineStr">
        <is>
          <t>F1397</t>
        </is>
      </c>
      <c r="B1398" s="2" t="inlineStr">
        <is>
          <t>market</t>
        </is>
      </c>
      <c r="C1398" s="2" t="inlineStr">
        <is>
          <t>market_fact</t>
        </is>
      </c>
      <c r="D1398" s="3" t="inlineStr">
        <is>
          <t>Market: size, growth, share, competitor capacity, regulation (source named)</t>
        </is>
      </c>
      <c r="E1398" s="2" t="n"/>
      <c r="F1398" s="2" t="n"/>
      <c r="G1398" s="2" t="n"/>
      <c r="H1398" s="3" t="inlineStr">
        <is>
          <t>company statement: EV fleet penetration weighted by Fastned's station count reached 5.7% in 2025, up 22%.</t>
        </is>
      </c>
      <c r="I1398" s="2" t="inlineStr">
        <is>
          <t>S3</t>
        </is>
      </c>
      <c r="J1398" s="2" t="n">
        <v>46</v>
      </c>
      <c r="K1398" s="3" t="inlineStr">
        <is>
          <t>which reached 5.7% when weighted by the number of Fastned stations in the respective countries, growing by 22% over the same period.</t>
        </is>
      </c>
      <c r="L1398" s="2" t="inlineStr">
        <is>
          <t>pend</t>
        </is>
      </c>
      <c r="M1398" s="2" t="n"/>
      <c r="N1398" s="2" t="n"/>
      <c r="O1398" s="3" t="inlineStr">
        <is>
          <t>https://vanillabonds.com/dossier-data/pdf/fastned/fastned-2025-annual-report.pdf#page=46</t>
        </is>
      </c>
    </row>
    <row r="1399">
      <c r="A1399" s="2" t="inlineStr">
        <is>
          <t>F1398</t>
        </is>
      </c>
      <c r="B1399" s="2" t="inlineStr">
        <is>
          <t>market</t>
        </is>
      </c>
      <c r="C1399" s="2" t="inlineStr">
        <is>
          <t>market_fact</t>
        </is>
      </c>
      <c r="D1399" s="3" t="inlineStr">
        <is>
          <t>Market: size, growth, share, competitor capacity, regulation (source named)</t>
        </is>
      </c>
      <c r="E1399" s="2" t="n"/>
      <c r="F1399" s="2" t="n"/>
      <c r="G1399" s="2" t="n"/>
      <c r="H1399" s="3" t="inlineStr">
        <is>
          <t>company statement: the EV charging market is not sufficiently developed for long-term margins per country to be known with certainty; management expects the same trends and growth patterns in each country at different stages of EV adoption.</t>
        </is>
      </c>
      <c r="I1399" s="2" t="inlineStr">
        <is>
          <t>S3</t>
        </is>
      </c>
      <c r="J1399" s="2" t="n">
        <v>151</v>
      </c>
      <c r="K1399" s="3" t="inlineStr">
        <is>
          <t>The EV charging market is not sufficiently developed for long term margins in each of the countries to be known with any certainty</t>
        </is>
      </c>
      <c r="L1399" s="2" t="inlineStr">
        <is>
          <t>pend</t>
        </is>
      </c>
      <c r="M1399" s="2" t="n"/>
      <c r="N1399" s="2" t="n"/>
      <c r="O1399" s="3" t="inlineStr">
        <is>
          <t>https://vanillabonds.com/dossier-data/pdf/fastned/fastned-2025-annual-report.pdf#page=151</t>
        </is>
      </c>
    </row>
    <row r="1400">
      <c r="A1400" s="2" t="inlineStr">
        <is>
          <t>F1399</t>
        </is>
      </c>
      <c r="B1400" s="2" t="inlineStr">
        <is>
          <t>market</t>
        </is>
      </c>
      <c r="C1400" s="2" t="inlineStr">
        <is>
          <t>market_fact</t>
        </is>
      </c>
      <c r="D1400" s="3" t="inlineStr">
        <is>
          <t>Market: size, growth, share, competitor capacity, regulation (source named)</t>
        </is>
      </c>
      <c r="E1400" s="2" t="n"/>
      <c r="F1400" s="2" t="n"/>
      <c r="G1400" s="2" t="n"/>
      <c r="H1400" s="3" t="inlineStr">
        <is>
          <t>company statement: updated BEV adoption forecasts were lower than previous forecasts, especially in the near term, due to growth in competitor infrastructure; the year-end 2025 impairment test on all country CGUs showed 'sufficient headroom', no impairment.</t>
        </is>
      </c>
      <c r="I1400" s="2" t="inlineStr">
        <is>
          <t>S3</t>
        </is>
      </c>
      <c r="J1400" s="2" t="n">
        <v>166</v>
      </c>
      <c r="K1400" s="3" t="inlineStr">
        <is>
          <t>as updated BEV adoption forecasts were lower versus previous forecasts, especially in the near term due to growth in competitor infrastructure</t>
        </is>
      </c>
      <c r="L1400" s="2" t="inlineStr">
        <is>
          <t>pend</t>
        </is>
      </c>
      <c r="M1400" s="2" t="n"/>
      <c r="N1400" s="2" t="n"/>
      <c r="O1400" s="3" t="inlineStr">
        <is>
          <t>https://vanillabonds.com/dossier-data/pdf/fastned/fastned-2025-annual-report.pdf#page=166</t>
        </is>
      </c>
    </row>
    <row r="1401">
      <c r="A1401" s="2" t="inlineStr">
        <is>
          <t>F1400</t>
        </is>
      </c>
      <c r="B1401" s="2" t="inlineStr">
        <is>
          <t>market</t>
        </is>
      </c>
      <c r="C1401" s="2" t="inlineStr">
        <is>
          <t>concentration</t>
        </is>
      </c>
      <c r="D1401" s="3" t="inlineStr">
        <is>
          <t>Concentration: top customers / suppliers share, key contracts, sites</t>
        </is>
      </c>
      <c r="E1401" s="2" t="n"/>
      <c r="F1401" s="2" t="n"/>
      <c r="G1401" s="2" t="n"/>
      <c r="H1401" s="3" t="inlineStr">
        <is>
          <t>Supplier: standard charger is the Alpitronic HYC 400; the HYC 1000 megawatt-class unit is under pilot.</t>
        </is>
      </c>
      <c r="I1401" s="2" t="inlineStr">
        <is>
          <t>S3</t>
        </is>
      </c>
      <c r="J1401" s="2" t="n">
        <v>19</v>
      </c>
      <c r="K1401" s="3" t="inlineStr">
        <is>
          <t>evaluate it against our standard HYC 400 charger</t>
        </is>
      </c>
      <c r="L1401" s="2" t="inlineStr">
        <is>
          <t>pend</t>
        </is>
      </c>
      <c r="M1401" s="2" t="n"/>
      <c r="N1401" s="2" t="n"/>
      <c r="O1401" s="3" t="inlineStr">
        <is>
          <t>https://vanillabonds.com/dossier-data/pdf/fastned/fastned-2025-annual-report.pdf#page=19</t>
        </is>
      </c>
    </row>
    <row r="1402">
      <c r="A1402" s="2" t="inlineStr">
        <is>
          <t>F1401</t>
        </is>
      </c>
      <c r="B1402" s="2" t="inlineStr">
        <is>
          <t>market</t>
        </is>
      </c>
      <c r="C1402" s="2" t="inlineStr">
        <is>
          <t>concentration</t>
        </is>
      </c>
      <c r="D1402" s="3" t="inlineStr">
        <is>
          <t>Concentration: top customers / suppliers share, key contracts, sites</t>
        </is>
      </c>
      <c r="E1402" s="2" t="n"/>
      <c r="F1402" s="2" t="n">
        <v>184</v>
      </c>
      <c r="G1402" s="2" t="n"/>
      <c r="H1402" s="3" t="inlineStr">
        <is>
          <t>Sites Netherlands: 184 active stations at end-2025, 3 new stations in 2025, 9 new locations secured in 2025.</t>
        </is>
      </c>
      <c r="I1402" s="2" t="inlineStr">
        <is>
          <t>S3</t>
        </is>
      </c>
      <c r="J1402" s="2" t="n">
        <v>23</v>
      </c>
      <c r="K1402" s="3" t="inlineStr">
        <is>
          <t>Total active stations: 184 New stations in 2025: 3 New locations secured in 2025: 9</t>
        </is>
      </c>
      <c r="L1402" s="2" t="inlineStr">
        <is>
          <t>pend</t>
        </is>
      </c>
      <c r="M1402" s="2" t="n"/>
      <c r="N1402" s="2" t="n"/>
      <c r="O1402" s="3" t="inlineStr">
        <is>
          <t>https://vanillabonds.com/dossier-data/pdf/fastned/fastned-2025-annual-report.pdf#page=23</t>
        </is>
      </c>
    </row>
    <row r="1403">
      <c r="A1403" s="2" t="inlineStr">
        <is>
          <t>F1402</t>
        </is>
      </c>
      <c r="B1403" s="2" t="inlineStr">
        <is>
          <t>market</t>
        </is>
      </c>
      <c r="C1403" s="2" t="inlineStr">
        <is>
          <t>concentration</t>
        </is>
      </c>
      <c r="D1403" s="3" t="inlineStr">
        <is>
          <t>Concentration: top customers / suppliers share, key contracts, sites</t>
        </is>
      </c>
      <c r="E1403" s="2" t="n"/>
      <c r="F1403" s="2" t="n">
        <v>59</v>
      </c>
      <c r="G1403" s="2" t="n"/>
      <c r="H1403" s="3" t="inlineStr">
        <is>
          <t>Sites France: 59 active stations at end-2025, 15 new stations in 2025, 14 new locations secured in 2025.</t>
        </is>
      </c>
      <c r="I1403" s="2" t="inlineStr">
        <is>
          <t>S3</t>
        </is>
      </c>
      <c r="J1403" s="2" t="n">
        <v>24</v>
      </c>
      <c r="K1403" s="3" t="inlineStr">
        <is>
          <t>Total active stations: 59 New stations in 2025: 15 New locations secured in 2025: 14</t>
        </is>
      </c>
      <c r="L1403" s="2" t="inlineStr">
        <is>
          <t>pend</t>
        </is>
      </c>
      <c r="M1403" s="2" t="n"/>
      <c r="N1403" s="2" t="n"/>
      <c r="O1403" s="3" t="inlineStr">
        <is>
          <t>https://vanillabonds.com/dossier-data/pdf/fastned/fastned-2025-annual-report.pdf#page=24</t>
        </is>
      </c>
    </row>
    <row r="1404">
      <c r="A1404" s="2" t="inlineStr">
        <is>
          <t>F1403</t>
        </is>
      </c>
      <c r="B1404" s="2" t="inlineStr">
        <is>
          <t>market</t>
        </is>
      </c>
      <c r="C1404" s="2" t="inlineStr">
        <is>
          <t>concentration</t>
        </is>
      </c>
      <c r="D1404" s="3" t="inlineStr">
        <is>
          <t>Concentration: top customers / suppliers share, key contracts, sites</t>
        </is>
      </c>
      <c r="E1404" s="2" t="n"/>
      <c r="F1404" s="2" t="n">
        <v>54</v>
      </c>
      <c r="G1404" s="2" t="n"/>
      <c r="H1404" s="3" t="inlineStr">
        <is>
          <t>Sites Germany: 54 active stations at end-2025, 12 new stations in 2025, 15 new locations secured in 2025.</t>
        </is>
      </c>
      <c r="I1404" s="2" t="inlineStr">
        <is>
          <t>S3</t>
        </is>
      </c>
      <c r="J1404" s="2" t="n">
        <v>25</v>
      </c>
      <c r="K1404" s="3" t="inlineStr">
        <is>
          <t>Total active stations: 54 New stations in 2025: 12 New locations secured in 2025: 15</t>
        </is>
      </c>
      <c r="L1404" s="2" t="inlineStr">
        <is>
          <t>pend</t>
        </is>
      </c>
      <c r="M1404" s="2" t="n"/>
      <c r="N1404" s="2" t="n"/>
      <c r="O1404" s="3" t="inlineStr">
        <is>
          <t>https://vanillabonds.com/dossier-data/pdf/fastned/fastned-2025-annual-report.pdf#page=25</t>
        </is>
      </c>
    </row>
    <row r="1405">
      <c r="A1405" s="2" t="inlineStr">
        <is>
          <t>F1404</t>
        </is>
      </c>
      <c r="B1405" s="2" t="inlineStr">
        <is>
          <t>market</t>
        </is>
      </c>
      <c r="C1405" s="2" t="inlineStr">
        <is>
          <t>concentration</t>
        </is>
      </c>
      <c r="D1405" s="3" t="inlineStr">
        <is>
          <t>Concentration: top customers / suppliers share, key contracts, sites</t>
        </is>
      </c>
      <c r="E1405" s="2" t="n"/>
      <c r="F1405" s="2" t="n">
        <v>52</v>
      </c>
      <c r="G1405" s="2" t="n"/>
      <c r="H1405" s="3" t="inlineStr">
        <is>
          <t>Sites Belgium: 52 active stations at end-2025, 16 new stations in 2025, 16 new locations secured in 2025.</t>
        </is>
      </c>
      <c r="I1405" s="2" t="inlineStr">
        <is>
          <t>S3</t>
        </is>
      </c>
      <c r="J1405" s="2" t="n">
        <v>26</v>
      </c>
      <c r="K1405" s="3" t="inlineStr">
        <is>
          <t>Total active stations: 52 New stations in 2025: 16 New locations secured in 2025: 16</t>
        </is>
      </c>
      <c r="L1405" s="2" t="inlineStr">
        <is>
          <t>pend</t>
        </is>
      </c>
      <c r="M1405" s="2" t="n"/>
      <c r="N1405" s="2" t="n"/>
      <c r="O1405" s="3" t="inlineStr">
        <is>
          <t>https://vanillabonds.com/dossier-data/pdf/fastned/fastned-2025-annual-report.pdf#page=26</t>
        </is>
      </c>
    </row>
    <row r="1406">
      <c r="A1406" s="2" t="inlineStr">
        <is>
          <t>F1405</t>
        </is>
      </c>
      <c r="B1406" s="2" t="inlineStr">
        <is>
          <t>market</t>
        </is>
      </c>
      <c r="C1406" s="2" t="inlineStr">
        <is>
          <t>concentration</t>
        </is>
      </c>
      <c r="D1406" s="3" t="inlineStr">
        <is>
          <t>Concentration: top customers / suppliers share, key contracts, sites</t>
        </is>
      </c>
      <c r="E1406" s="2" t="n"/>
      <c r="F1406" s="2" t="n">
        <v>37</v>
      </c>
      <c r="G1406" s="2" t="n"/>
      <c r="H1406" s="3" t="inlineStr">
        <is>
          <t>Sites United Kingdom: 37 active stations at end-2025, 7 new stations in 2025, 17 new locations secured in 2025.</t>
        </is>
      </c>
      <c r="I1406" s="2" t="inlineStr">
        <is>
          <t>S3</t>
        </is>
      </c>
      <c r="J1406" s="2" t="n">
        <v>27</v>
      </c>
      <c r="K1406" s="3" t="inlineStr">
        <is>
          <t>Total active stations: 37 New stations in 2025: 7 New locations secured in 2025: 17</t>
        </is>
      </c>
      <c r="L1406" s="2" t="inlineStr">
        <is>
          <t>pend</t>
        </is>
      </c>
      <c r="M1406" s="2" t="n"/>
      <c r="N1406" s="2" t="n"/>
      <c r="O1406" s="3" t="inlineStr">
        <is>
          <t>https://vanillabonds.com/dossier-data/pdf/fastned/fastned-2025-annual-report.pdf#page=27</t>
        </is>
      </c>
    </row>
    <row r="1407">
      <c r="A1407" s="2" t="inlineStr">
        <is>
          <t>F1406</t>
        </is>
      </c>
      <c r="B1407" s="2" t="inlineStr">
        <is>
          <t>market</t>
        </is>
      </c>
      <c r="C1407" s="2" t="inlineStr">
        <is>
          <t>concentration</t>
        </is>
      </c>
      <c r="D1407" s="3" t="inlineStr">
        <is>
          <t>Concentration: top customers / suppliers share, key contracts, sites</t>
        </is>
      </c>
      <c r="E1407" s="2" t="n"/>
      <c r="F1407" s="2" t="n">
        <v>14</v>
      </c>
      <c r="G1407" s="2" t="n"/>
      <c r="H1407" s="3" t="inlineStr">
        <is>
          <t>Sites Switzerland: 14 active stations at end-2025, 4 new stations in 2025, 3 new locations secured in 2025.</t>
        </is>
      </c>
      <c r="I1407" s="2" t="inlineStr">
        <is>
          <t>S3</t>
        </is>
      </c>
      <c r="J1407" s="2" t="n">
        <v>28</v>
      </c>
      <c r="K1407" s="3" t="inlineStr">
        <is>
          <t>Total active stations: 14 New stations in 2025: 4 New locations secured in 2025: 3</t>
        </is>
      </c>
      <c r="L1407" s="2" t="inlineStr">
        <is>
          <t>pend</t>
        </is>
      </c>
      <c r="M1407" s="2" t="n"/>
      <c r="N1407" s="2" t="n"/>
      <c r="O1407" s="3" t="inlineStr">
        <is>
          <t>https://vanillabonds.com/dossier-data/pdf/fastned/fastned-2025-annual-report.pdf#page=28</t>
        </is>
      </c>
    </row>
    <row r="1408">
      <c r="A1408" s="2" t="inlineStr">
        <is>
          <t>F1407</t>
        </is>
      </c>
      <c r="B1408" s="2" t="inlineStr">
        <is>
          <t>market</t>
        </is>
      </c>
      <c r="C1408" s="2" t="inlineStr">
        <is>
          <t>concentration</t>
        </is>
      </c>
      <c r="D1408" s="3" t="inlineStr">
        <is>
          <t>Concentration: top customers / suppliers share, key contracts, sites</t>
        </is>
      </c>
      <c r="E1408" s="2" t="n"/>
      <c r="F1408" s="2" t="n">
        <v>3</v>
      </c>
      <c r="G1408" s="2" t="n"/>
      <c r="H1408" s="3" t="inlineStr">
        <is>
          <t>Sites Denmark: 3 active stations at end-2025, 0 new stations in 2025, 9 new locations secured in 2025.</t>
        </is>
      </c>
      <c r="I1408" s="2" t="inlineStr">
        <is>
          <t>S3</t>
        </is>
      </c>
      <c r="J1408" s="2" t="n">
        <v>29</v>
      </c>
      <c r="K1408" s="3" t="inlineStr">
        <is>
          <t>Total active stations: 3 New stations in 2025: 0 New locations secured in 2025: 9</t>
        </is>
      </c>
      <c r="L1408" s="2" t="inlineStr">
        <is>
          <t>pend</t>
        </is>
      </c>
      <c r="M1408" s="2" t="n"/>
      <c r="N1408" s="2" t="n"/>
      <c r="O1408" s="3" t="inlineStr">
        <is>
          <t>https://vanillabonds.com/dossier-data/pdf/fastned/fastned-2025-annual-report.pdf#page=29</t>
        </is>
      </c>
    </row>
    <row r="1409">
      <c r="A1409" s="2" t="inlineStr">
        <is>
          <t>F1408</t>
        </is>
      </c>
      <c r="B1409" s="2" t="inlineStr">
        <is>
          <t>market</t>
        </is>
      </c>
      <c r="C1409" s="2" t="inlineStr">
        <is>
          <t>concentration</t>
        </is>
      </c>
      <c r="D1409" s="3" t="inlineStr">
        <is>
          <t>Concentration: top customers / suppliers share, key contracts, sites</t>
        </is>
      </c>
      <c r="E1409" s="2" t="n"/>
      <c r="F1409" s="2" t="n">
        <v>2</v>
      </c>
      <c r="G1409" s="2" t="n"/>
      <c r="H1409" s="3" t="inlineStr">
        <is>
          <t>Sites Spain: 2 active stations at end-2025, 2 new stations in 2025, 8 new locations secured in 2025.</t>
        </is>
      </c>
      <c r="I1409" s="2" t="inlineStr">
        <is>
          <t>S3</t>
        </is>
      </c>
      <c r="J1409" s="2" t="n">
        <v>30</v>
      </c>
      <c r="K1409" s="3" t="inlineStr">
        <is>
          <t>Total active stations: 2 New stations in 2025: 2 New locations secured in 2025: 8</t>
        </is>
      </c>
      <c r="L1409" s="2" t="inlineStr">
        <is>
          <t>pend</t>
        </is>
      </c>
      <c r="M1409" s="2" t="n"/>
      <c r="N1409" s="2" t="n"/>
      <c r="O1409" s="3" t="inlineStr">
        <is>
          <t>https://vanillabonds.com/dossier-data/pdf/fastned/fastned-2025-annual-report.pdf#page=30</t>
        </is>
      </c>
    </row>
    <row r="1410">
      <c r="A1410" s="2" t="inlineStr">
        <is>
          <t>F1409</t>
        </is>
      </c>
      <c r="B1410" s="2" t="inlineStr">
        <is>
          <t>market</t>
        </is>
      </c>
      <c r="C1410" s="2" t="inlineStr">
        <is>
          <t>concentration</t>
        </is>
      </c>
      <c r="D1410" s="3" t="inlineStr">
        <is>
          <t>Concentration: top customers / suppliers share, key contracts, sites</t>
        </is>
      </c>
      <c r="E1410" s="2" t="n"/>
      <c r="F1410" s="2" t="n">
        <v>1</v>
      </c>
      <c r="G1410" s="2" t="n"/>
      <c r="H1410" s="3" t="inlineStr">
        <is>
          <t>Sites Italy: 1 active stations at end-2025, 1 new stations in 2025, 12 new locations secured in 2025.</t>
        </is>
      </c>
      <c r="I1410" s="2" t="inlineStr">
        <is>
          <t>S3</t>
        </is>
      </c>
      <c r="J1410" s="2" t="n">
        <v>31</v>
      </c>
      <c r="K1410" s="3" t="inlineStr">
        <is>
          <t>Total active stations: 1 New stations in 2025: 1 New locations secured in 2025: 12</t>
        </is>
      </c>
      <c r="L1410" s="2" t="inlineStr">
        <is>
          <t>pend</t>
        </is>
      </c>
      <c r="M1410" s="2" t="n"/>
      <c r="N1410" s="2" t="n"/>
      <c r="O1410" s="3" t="inlineStr">
        <is>
          <t>https://vanillabonds.com/dossier-data/pdf/fastned/fastned-2025-annual-report.pdf#page=31</t>
        </is>
      </c>
    </row>
    <row r="1411">
      <c r="A1411" s="2" t="inlineStr">
        <is>
          <t>F1410</t>
        </is>
      </c>
      <c r="B1411" s="2" t="inlineStr">
        <is>
          <t>market</t>
        </is>
      </c>
      <c r="C1411" s="2" t="inlineStr">
        <is>
          <t>concentration</t>
        </is>
      </c>
      <c r="D1411" s="3" t="inlineStr">
        <is>
          <t>Concentration: top customers / suppliers share, key contracts, sites</t>
        </is>
      </c>
      <c r="E1411" s="2" t="n"/>
      <c r="F1411" s="2" t="n"/>
      <c r="G1411" s="2" t="n"/>
      <c r="H1411" s="3" t="inlineStr">
        <is>
          <t>Dependence on key material suppliers managed for supply-chain continuity; third parties used for construction, maintenance and IT.</t>
        </is>
      </c>
      <c r="I1411" s="2" t="inlineStr">
        <is>
          <t>S3</t>
        </is>
      </c>
      <c r="J1411" s="2" t="n">
        <v>83</v>
      </c>
      <c r="K1411" s="3" t="inlineStr">
        <is>
          <t>we continue to proactively manage our dependencies on key material suppliers to strengthen supply chain continuity.</t>
        </is>
      </c>
      <c r="L1411" s="2" t="inlineStr">
        <is>
          <t>pend</t>
        </is>
      </c>
      <c r="M1411" s="2" t="n"/>
      <c r="N1411" s="2" t="n"/>
      <c r="O1411" s="3" t="inlineStr">
        <is>
          <t>https://vanillabonds.com/dossier-data/pdf/fastned/fastned-2025-annual-report.pdf#page=83</t>
        </is>
      </c>
    </row>
    <row r="1412">
      <c r="A1412" s="2" t="inlineStr">
        <is>
          <t>F1411</t>
        </is>
      </c>
      <c r="B1412" s="2" t="inlineStr">
        <is>
          <t>market</t>
        </is>
      </c>
      <c r="C1412" s="2" t="inlineStr">
        <is>
          <t>concentration</t>
        </is>
      </c>
      <c r="D1412" s="3" t="inlineStr">
        <is>
          <t>Concentration: top customers / suppliers share, key contracts, sites</t>
        </is>
      </c>
      <c r="E1412" s="2" t="n"/>
      <c r="F1412" s="2" t="n"/>
      <c r="G1412" s="2" t="n"/>
      <c r="H1412" s="3" t="inlineStr">
        <is>
          <t>No customer accounts for 10% or more of revenue related to charging in 2025 or 2024.</t>
        </is>
      </c>
      <c r="I1412" s="2" t="inlineStr">
        <is>
          <t>S3</t>
        </is>
      </c>
      <c r="J1412" s="2" t="n">
        <v>154</v>
      </c>
      <c r="K1412" s="3" t="inlineStr">
        <is>
          <t>There are no customers that account for 10% or more of revenue related to charging as at December 31, 2025 and 2024.</t>
        </is>
      </c>
      <c r="L1412" s="2" t="inlineStr">
        <is>
          <t>pend</t>
        </is>
      </c>
      <c r="M1412" s="2" t="n"/>
      <c r="N1412" s="2" t="n"/>
      <c r="O1412" s="3" t="inlineStr">
        <is>
          <t>https://vanillabonds.com/dossier-data/pdf/fastned/fastned-2025-annual-report.pdf#page=154</t>
        </is>
      </c>
    </row>
    <row r="1413">
      <c r="A1413" s="2" t="inlineStr">
        <is>
          <t>F1412</t>
        </is>
      </c>
      <c r="B1413" s="2" t="inlineStr">
        <is>
          <t>market</t>
        </is>
      </c>
      <c r="C1413" s="2" t="inlineStr">
        <is>
          <t>concentration</t>
        </is>
      </c>
      <c r="D1413" s="3" t="inlineStr">
        <is>
          <t>Concentration: top customers / suppliers share, key contracts, sites</t>
        </is>
      </c>
      <c r="E1413" s="2" t="n"/>
      <c r="F1413" s="2" t="n"/>
      <c r="G1413" s="2" t="n"/>
      <c r="H1413" s="3" t="inlineStr">
        <is>
          <t>'Other revenues' (station construction, €16.7m in 2025) depend on one customer, Die Autobahn GmbH des Bundes, within the Germany segment.</t>
        </is>
      </c>
      <c r="I1413" s="2" t="inlineStr">
        <is>
          <t>S3</t>
        </is>
      </c>
      <c r="J1413" s="2" t="n">
        <v>154</v>
      </c>
      <c r="K1413" s="3" t="inlineStr">
        <is>
          <t>For the 'Other revenues', The Group is reliant on one customer, namely Die Autobahn GmbH des Bundes.</t>
        </is>
      </c>
      <c r="L1413" s="2" t="inlineStr">
        <is>
          <t>pend</t>
        </is>
      </c>
      <c r="M1413" s="2" t="n"/>
      <c r="N1413" s="2" t="n"/>
      <c r="O1413" s="3" t="inlineStr">
        <is>
          <t>https://vanillabonds.com/dossier-data/pdf/fastned/fastned-2025-annual-report.pdf#page=154</t>
        </is>
      </c>
    </row>
    <row r="1414">
      <c r="A1414" s="2" t="inlineStr">
        <is>
          <t>F1413</t>
        </is>
      </c>
      <c r="B1414" s="2" t="inlineStr">
        <is>
          <t>market</t>
        </is>
      </c>
      <c r="C1414" s="2" t="inlineStr">
        <is>
          <t>concentration</t>
        </is>
      </c>
      <c r="D1414" s="3" t="inlineStr">
        <is>
          <t>Concentration: top customers / suppliers share, key contracts, sites</t>
        </is>
      </c>
      <c r="E1414" s="2" t="n"/>
      <c r="F1414" s="2" t="n"/>
      <c r="G1414" s="2" t="n"/>
      <c r="H1414" s="3" t="inlineStr">
        <is>
          <t>Cash and cash equivalents are concentrated at one bank (note 15.6; note 18 says two banks) under Dutch Central Bank supervision with an 'A or equivalent' long-term rating.</t>
        </is>
      </c>
      <c r="I1414" s="2" t="inlineStr">
        <is>
          <t>S3</t>
        </is>
      </c>
      <c r="J1414" s="2" t="n">
        <v>178</v>
      </c>
      <c r="K1414" s="3" t="inlineStr">
        <is>
          <t>Cash and cash equivalents are current account balances, mainly concentrated at one bank under supervision of the Dutch Central Bank with an A or equivalent long term rating.</t>
        </is>
      </c>
      <c r="L1414" s="2" t="inlineStr">
        <is>
          <t>pend</t>
        </is>
      </c>
      <c r="M1414" s="2" t="n"/>
      <c r="N1414" s="2" t="n"/>
      <c r="O1414" s="3" t="inlineStr">
        <is>
          <t>https://vanillabonds.com/dossier-data/pdf/fastned/fastned-2025-annual-report.pdf#page=178</t>
        </is>
      </c>
    </row>
    <row r="1415">
      <c r="A1415" s="2" t="inlineStr">
        <is>
          <t>F1414</t>
        </is>
      </c>
      <c r="B1415" s="2" t="inlineStr">
        <is>
          <t>market</t>
        </is>
      </c>
      <c r="C1415" s="2" t="inlineStr">
        <is>
          <t>concentration</t>
        </is>
      </c>
      <c r="D1415" s="3" t="inlineStr">
        <is>
          <t>Concentration: top customers / suppliers share, key contracts, sites</t>
        </is>
      </c>
      <c r="E1415" s="2" t="n"/>
      <c r="F1415" s="2" t="n"/>
      <c r="G1415" s="2" t="n"/>
      <c r="H1415" s="3" t="inlineStr">
        <is>
          <t>Key suppliers are based in Europe (capex and opex); top suppliers by spend in 2025 span charger manufacturers, grid operators, renewable electricity providers, ICT, civil engineering, marketing, construction sub-contractors and steel makers.</t>
        </is>
      </c>
      <c r="I1415" s="2" t="inlineStr">
        <is>
          <t>S3</t>
        </is>
      </c>
      <c r="J1415" s="2" t="n">
        <v>237</v>
      </c>
      <c r="K1415" s="3" t="inlineStr">
        <is>
          <t>Fastned’s key suppliers are based in Europe (scope: CAPEX and OPEX).</t>
        </is>
      </c>
      <c r="L1415" s="2" t="inlineStr">
        <is>
          <t>pend</t>
        </is>
      </c>
      <c r="M1415" s="2" t="n"/>
      <c r="N1415" s="2" t="n"/>
      <c r="O1415" s="3" t="inlineStr">
        <is>
          <t>https://vanillabonds.com/dossier-data/pdf/fastned/fastned-2025-annual-report.pdf#page=237</t>
        </is>
      </c>
    </row>
    <row r="1416">
      <c r="A1416" s="2" t="inlineStr">
        <is>
          <t>F1415</t>
        </is>
      </c>
      <c r="B1416" s="2" t="inlineStr">
        <is>
          <t>plan</t>
        </is>
      </c>
      <c r="C1416" s="2" t="inlineStr">
        <is>
          <t>plan_item</t>
        </is>
      </c>
      <c r="D1416" s="3" t="inlineStr">
        <is>
          <t>Investment plan item: what, amount, timing, contracted / ordered / planned</t>
        </is>
      </c>
      <c r="E1416" s="2" t="n"/>
      <c r="F1416" s="2" t="n">
        <v>1000</v>
      </c>
      <c r="G1416" s="2" t="n"/>
      <c r="H1416" s="3" t="inlineStr">
        <is>
          <t>what: operate 1,000 stations by 2030 (target unchanged); status: 406 operational and 663 locations secured at end-2025</t>
        </is>
      </c>
      <c r="I1416" s="2" t="inlineStr">
        <is>
          <t>S3</t>
        </is>
      </c>
      <c r="J1416" s="2" t="n">
        <v>9</v>
      </c>
      <c r="K1416" s="3" t="inlineStr">
        <is>
          <t>Our ambitious goal to operate 1,000 stations by 2030 remains unchanged</t>
        </is>
      </c>
      <c r="L1416" s="2" t="inlineStr">
        <is>
          <t>pend</t>
        </is>
      </c>
      <c r="M1416" s="2" t="n"/>
      <c r="N1416" s="2" t="n"/>
      <c r="O1416" s="3" t="inlineStr">
        <is>
          <t>https://vanillabonds.com/dossier-data/pdf/fastned/fastned-2025-annual-report.pdf#page=9</t>
        </is>
      </c>
    </row>
    <row r="1417">
      <c r="A1417" s="2" t="inlineStr">
        <is>
          <t>F1416</t>
        </is>
      </c>
      <c r="B1417" s="2" t="inlineStr">
        <is>
          <t>plan</t>
        </is>
      </c>
      <c r="C1417" s="2" t="inlineStr">
        <is>
          <t>plan_item</t>
        </is>
      </c>
      <c r="D1417" s="3" t="inlineStr">
        <is>
          <t>Investment plan item: what, amount, timing, contracted / ordered / planned</t>
        </is>
      </c>
      <c r="E1417" s="2" t="n"/>
      <c r="F1417" s="2" t="n"/>
      <c r="G1417" s="2" t="n"/>
      <c r="H1417" s="3" t="inlineStr">
        <is>
          <t>what: rollout acceleration in 2026 as secured locations move into construction; status: 43 stations built in H2 2025</t>
        </is>
      </c>
      <c r="I1417" s="2" t="inlineStr">
        <is>
          <t>S3</t>
        </is>
      </c>
      <c r="J1417" s="2" t="n">
        <v>16</v>
      </c>
      <c r="K1417" s="3" t="inlineStr">
        <is>
          <t>laid the foundations for further acceleration in 2026, as more of our secured locations progress into construction and operation.</t>
        </is>
      </c>
      <c r="L1417" s="2" t="inlineStr">
        <is>
          <t>pend</t>
        </is>
      </c>
      <c r="M1417" s="2" t="n"/>
      <c r="N1417" s="2" t="n"/>
      <c r="O1417" s="3" t="inlineStr">
        <is>
          <t>https://vanillabonds.com/dossier-data/pdf/fastned/fastned-2025-annual-report.pdf#page=16</t>
        </is>
      </c>
    </row>
    <row r="1418">
      <c r="A1418" s="2" t="inlineStr">
        <is>
          <t>F1417</t>
        </is>
      </c>
      <c r="B1418" s="2" t="inlineStr">
        <is>
          <t>plan</t>
        </is>
      </c>
      <c r="C1418" s="2" t="inlineStr">
        <is>
          <t>plan_item</t>
        </is>
      </c>
      <c r="D1418" s="3" t="inlineStr">
        <is>
          <t>Investment plan item: what, amount, timing, contracted / ordered / planned</t>
        </is>
      </c>
      <c r="E1418" s="2" t="n"/>
      <c r="F1418" s="2" t="n"/>
      <c r="G1418" s="2" t="n"/>
      <c r="H1418" s="3" t="inlineStr">
        <is>
          <t>what: first station in Austria; timing: 2026; status: 1 location secured in 2025</t>
        </is>
      </c>
      <c r="I1418" s="2" t="inlineStr">
        <is>
          <t>S3</t>
        </is>
      </c>
      <c r="J1418" s="2" t="n">
        <v>32</v>
      </c>
      <c r="K1418" s="3" t="inlineStr">
        <is>
          <t>New locations secured in 2025: 1 First station arriving in 2026</t>
        </is>
      </c>
      <c r="L1418" s="2" t="inlineStr">
        <is>
          <t>pend</t>
        </is>
      </c>
      <c r="M1418" s="2" t="n"/>
      <c r="N1418" s="2" t="n"/>
      <c r="O1418" s="3" t="inlineStr">
        <is>
          <t>https://vanillabonds.com/dossier-data/pdf/fastned/fastned-2025-annual-report.pdf#page=32</t>
        </is>
      </c>
    </row>
    <row r="1419">
      <c r="A1419" s="2" t="inlineStr">
        <is>
          <t>F1418</t>
        </is>
      </c>
      <c r="B1419" s="2" t="inlineStr">
        <is>
          <t>plan</t>
        </is>
      </c>
      <c r="C1419" s="2" t="inlineStr">
        <is>
          <t>plan_item</t>
        </is>
      </c>
      <c r="D1419" s="3" t="inlineStr">
        <is>
          <t>Investment plan item: what, amount, timing, contracted / ordered / planned</t>
        </is>
      </c>
      <c r="E1419" s="2" t="n"/>
      <c r="F1419" s="2" t="n"/>
      <c r="G1419" s="2" t="n"/>
      <c r="H1419" s="3" t="inlineStr">
        <is>
          <t>what: B Corp recertification; timing: 2027; status: planned</t>
        </is>
      </c>
      <c r="I1419" s="2" t="inlineStr">
        <is>
          <t>S3</t>
        </is>
      </c>
      <c r="J1419" s="2" t="n">
        <v>57</v>
      </c>
      <c r="K1419" s="3" t="inlineStr">
        <is>
          <t>We are proud to be a B Corp, and we aim to re-certify in 2027.</t>
        </is>
      </c>
      <c r="L1419" s="2" t="inlineStr">
        <is>
          <t>pend</t>
        </is>
      </c>
      <c r="M1419" s="2" t="n"/>
      <c r="N1419" s="2" t="n"/>
      <c r="O1419" s="3" t="inlineStr">
        <is>
          <t>https://vanillabonds.com/dossier-data/pdf/fastned/fastned-2025-annual-report.pdf#page=57</t>
        </is>
      </c>
    </row>
    <row r="1420">
      <c r="A1420" s="2" t="inlineStr">
        <is>
          <t>F1419</t>
        </is>
      </c>
      <c r="B1420" s="2" t="inlineStr">
        <is>
          <t>plan</t>
        </is>
      </c>
      <c r="C1420" s="2" t="inlineStr">
        <is>
          <t>plan_item</t>
        </is>
      </c>
      <c r="D1420" s="3" t="inlineStr">
        <is>
          <t>Investment plan item: what, amount, timing, contracted / ordered / planned</t>
        </is>
      </c>
      <c r="E1420" s="2" t="n"/>
      <c r="F1420" s="2" t="n">
        <v>25</v>
      </c>
      <c r="G1420" s="2" t="n"/>
      <c r="H1420" s="3" t="inlineStr">
        <is>
          <t>what: Den Helder solar park PPA, more than 25 GWh per year; timing: active in 2026; status: construction began early autumn 2025</t>
        </is>
      </c>
      <c r="I1420" s="2" t="inlineStr">
        <is>
          <t>S3</t>
        </is>
      </c>
      <c r="J1420" s="2" t="n">
        <v>65</v>
      </c>
      <c r="K1420" s="3" t="inlineStr">
        <is>
          <t>Construction of a major solar park in Den Helder, the Netherlands, began in the early autumn. It will become active in 2026 and will produce more than 25 GWh per year for Fastned.</t>
        </is>
      </c>
      <c r="L1420" s="2" t="inlineStr">
        <is>
          <t>pend</t>
        </is>
      </c>
      <c r="M1420" s="2" t="n"/>
      <c r="N1420" s="2" t="n"/>
      <c r="O1420" s="3" t="inlineStr">
        <is>
          <t>https://vanillabonds.com/dossier-data/pdf/fastned/fastned-2025-annual-report.pdf#page=65</t>
        </is>
      </c>
    </row>
    <row r="1421">
      <c r="A1421" s="2" t="inlineStr">
        <is>
          <t>F1420</t>
        </is>
      </c>
      <c r="B1421" s="2" t="inlineStr">
        <is>
          <t>plan</t>
        </is>
      </c>
      <c r="C1421" s="2" t="inlineStr">
        <is>
          <t>plan_item</t>
        </is>
      </c>
      <c r="D1421" s="3" t="inlineStr">
        <is>
          <t>Investment plan item: what, amount, timing, contracted / ordered / planned</t>
        </is>
      </c>
      <c r="E1421" s="2" t="n"/>
      <c r="F1421" s="2" t="n"/>
      <c r="G1421" s="2" t="n"/>
      <c r="H1421" s="3" t="inlineStr">
        <is>
          <t>what: align the information security management system with ISO 27001:2022 in 2026; timing: certification in 2027; status: planned</t>
        </is>
      </c>
      <c r="I1421" s="2" t="inlineStr">
        <is>
          <t>S3</t>
        </is>
      </c>
      <c r="J1421" s="2" t="n">
        <v>76</v>
      </c>
      <c r="K1421" s="3" t="inlineStr">
        <is>
          <t>In 2026, our focus will shift toward aligning our information security management system with ISO 27001:2022 in preparation for 2027 certification</t>
        </is>
      </c>
      <c r="L1421" s="2" t="inlineStr">
        <is>
          <t>pend</t>
        </is>
      </c>
      <c r="M1421" s="2" t="n"/>
      <c r="N1421" s="2" t="n"/>
      <c r="O1421" s="3" t="inlineStr">
        <is>
          <t>https://vanillabonds.com/dossier-data/pdf/fastned/fastned-2025-annual-report.pdf#page=76</t>
        </is>
      </c>
    </row>
    <row r="1422">
      <c r="A1422" s="2" t="inlineStr">
        <is>
          <t>F1421</t>
        </is>
      </c>
      <c r="B1422" s="2" t="inlineStr">
        <is>
          <t>plan</t>
        </is>
      </c>
      <c r="C1422" s="2" t="inlineStr">
        <is>
          <t>plan_item</t>
        </is>
      </c>
      <c r="D1422" s="3" t="inlineStr">
        <is>
          <t>Investment plan item: what, amount, timing, contracted / ordered / planned</t>
        </is>
      </c>
      <c r="E1422" s="2" t="n"/>
      <c r="F1422" s="2" t="n"/>
      <c r="G1422" s="2" t="n"/>
      <c r="H1422" s="3" t="inlineStr">
        <is>
          <t>what: Risk Champion network, one extra risk-management FTE and one extra internal auditor; timing: 2026; status: planned</t>
        </is>
      </c>
      <c r="I1422" s="2" t="inlineStr">
        <is>
          <t>S3</t>
        </is>
      </c>
      <c r="J1422" s="2" t="n">
        <v>79</v>
      </c>
      <c r="K1422" s="3" t="inlineStr">
        <is>
          <t>In 2026, the Risk Management function is planned to be strengthened with one additional FTE</t>
        </is>
      </c>
      <c r="L1422" s="2" t="inlineStr">
        <is>
          <t>pend</t>
        </is>
      </c>
      <c r="M1422" s="2" t="n"/>
      <c r="N1422" s="2" t="n"/>
      <c r="O1422" s="3" t="inlineStr">
        <is>
          <t>https://vanillabonds.com/dossier-data/pdf/fastned/fastned-2025-annual-report.pdf#page=79</t>
        </is>
      </c>
    </row>
    <row r="1423">
      <c r="A1423" s="2" t="inlineStr">
        <is>
          <t>F1422</t>
        </is>
      </c>
      <c r="B1423" s="2" t="inlineStr">
        <is>
          <t>plan</t>
        </is>
      </c>
      <c r="C1423" s="2" t="inlineStr">
        <is>
          <t>plan_item</t>
        </is>
      </c>
      <c r="D1423" s="3" t="inlineStr">
        <is>
          <t>Investment plan item: what, amount, timing, contracted / ordered / planned</t>
        </is>
      </c>
      <c r="E1423" s="2" t="n"/>
      <c r="F1423" s="2" t="n"/>
      <c r="G1423" s="2" t="n"/>
      <c r="H1423" s="3" t="inlineStr">
        <is>
          <t>what: risk-based rollout of piloted cable hose security and improved camera surveillance at stations; timing: coming years; status: planned</t>
        </is>
      </c>
      <c r="I1423" s="2" t="inlineStr">
        <is>
          <t>S3</t>
        </is>
      </c>
      <c r="J1423" s="2" t="n">
        <v>84</v>
      </c>
      <c r="K1423" s="3" t="inlineStr">
        <is>
          <t>we will start rolling out piloted cable hose security solutions risk based across our network.</t>
        </is>
      </c>
      <c r="L1423" s="2" t="inlineStr">
        <is>
          <t>pend</t>
        </is>
      </c>
      <c r="M1423" s="2" t="n"/>
      <c r="N1423" s="2" t="n"/>
      <c r="O1423" s="3" t="inlineStr">
        <is>
          <t>https://vanillabonds.com/dossier-data/pdf/fastned/fastned-2025-annual-report.pdf#page=84</t>
        </is>
      </c>
    </row>
    <row r="1424">
      <c r="A1424" s="2" t="inlineStr">
        <is>
          <t>F1423</t>
        </is>
      </c>
      <c r="B1424" s="2" t="inlineStr">
        <is>
          <t>plan</t>
        </is>
      </c>
      <c r="C1424" s="2" t="inlineStr">
        <is>
          <t>plan_item</t>
        </is>
      </c>
      <c r="D1424" s="3" t="inlineStr">
        <is>
          <t>Investment plan item: what, amount, timing, contracted / ordered / planned</t>
        </is>
      </c>
      <c r="E1424" s="2" t="n"/>
      <c r="F1424" s="2" t="n"/>
      <c r="G1424" s="2" t="n"/>
      <c r="H1424" s="3" t="inlineStr">
        <is>
          <t>Indoor ultra-rapid drive-through EV charging hub in a warehouse in Aberdeen, the first of its kind in the UK; timing not stated; planned.</t>
        </is>
      </c>
      <c r="I1424" s="2" t="inlineStr">
        <is>
          <t>S3</t>
        </is>
      </c>
      <c r="J1424" s="2" t="n">
        <v>100</v>
      </c>
      <c r="K1424" s="3" t="inlineStr">
        <is>
          <t>The team also revealed plans for a brand new indoor ultra-rapid EV charging hub, in a warehouse in Aberdeen.</t>
        </is>
      </c>
      <c r="L1424" s="2" t="inlineStr">
        <is>
          <t>pend</t>
        </is>
      </c>
      <c r="M1424" s="2" t="n"/>
      <c r="N1424" s="2" t="n"/>
      <c r="O1424" s="3" t="inlineStr">
        <is>
          <t>https://vanillabonds.com/dossier-data/pdf/fastned/fastned-2025-annual-report.pdf#page=100</t>
        </is>
      </c>
    </row>
    <row r="1425">
      <c r="A1425" s="2" t="inlineStr">
        <is>
          <t>F1424</t>
        </is>
      </c>
      <c r="B1425" s="2" t="inlineStr">
        <is>
          <t>plan</t>
        </is>
      </c>
      <c r="C1425" s="2" t="inlineStr">
        <is>
          <t>plan_item</t>
        </is>
      </c>
      <c r="D1425" s="3" t="inlineStr">
        <is>
          <t>Investment plan item: what, amount, timing, contracted / ordered / planned</t>
        </is>
      </c>
      <c r="E1425" s="2" t="n"/>
      <c r="F1425" s="2" t="n"/>
      <c r="G1425" s="2" t="n"/>
      <c r="H1425" s="3" t="inlineStr">
        <is>
          <t>London JV (Fast Places Limited): ultra-rapid charging hubs at an initial five sites, expansion to 25 sites by the end of the decade; planned.</t>
        </is>
      </c>
      <c r="I1425" s="2" t="inlineStr">
        <is>
          <t>S3</t>
        </is>
      </c>
      <c r="J1425" s="2" t="n">
        <v>148</v>
      </c>
      <c r="K1425" s="3" t="inlineStr">
        <is>
          <t>with plans to expand the network to 25 sites by the end of the decade</t>
        </is>
      </c>
      <c r="L1425" s="2" t="inlineStr">
        <is>
          <t>pend</t>
        </is>
      </c>
      <c r="M1425" s="2" t="n"/>
      <c r="N1425" s="2" t="n"/>
      <c r="O1425" s="3" t="inlineStr">
        <is>
          <t>https://vanillabonds.com/dossier-data/pdf/fastned/fastned-2025-annual-report.pdf#page=148</t>
        </is>
      </c>
    </row>
    <row r="1426">
      <c r="A1426" s="2" t="inlineStr">
        <is>
          <t>F1425</t>
        </is>
      </c>
      <c r="B1426" s="2" t="inlineStr">
        <is>
          <t>plan</t>
        </is>
      </c>
      <c r="C1426" s="2" t="inlineStr">
        <is>
          <t>plan_item</t>
        </is>
      </c>
      <c r="D1426" s="3" t="inlineStr">
        <is>
          <t>Investment plan item: what, amount, timing, contracted / ordered / planned</t>
        </is>
      </c>
      <c r="E1426" s="2" t="n"/>
      <c r="F1426" s="2" t="n"/>
      <c r="G1426" s="2" t="n"/>
      <c r="H1426" s="3" t="inlineStr">
        <is>
          <t>2026: enter additional long-term PPAs and increase the hedged share of energy purchases; planned.</t>
        </is>
      </c>
      <c r="I1426" s="2" t="inlineStr">
        <is>
          <t>S3</t>
        </is>
      </c>
      <c r="J1426" s="2" t="n">
        <v>178</v>
      </c>
      <c r="K1426" s="3" t="inlineStr">
        <is>
          <t>In 2026, the Group plans to further mitigate its risk by entering into additional long-term PPAs and increasing the hedged share of energy purchases.</t>
        </is>
      </c>
      <c r="L1426" s="2" t="inlineStr">
        <is>
          <t>pend</t>
        </is>
      </c>
      <c r="M1426" s="2" t="n"/>
      <c r="N1426" s="2" t="n"/>
      <c r="O1426" s="3" t="inlineStr">
        <is>
          <t>https://vanillabonds.com/dossier-data/pdf/fastned/fastned-2025-annual-report.pdf#page=178</t>
        </is>
      </c>
    </row>
    <row r="1427">
      <c r="A1427" s="2" t="inlineStr">
        <is>
          <t>F1426</t>
        </is>
      </c>
      <c r="B1427" s="2" t="inlineStr">
        <is>
          <t>plan</t>
        </is>
      </c>
      <c r="C1427" s="2" t="inlineStr">
        <is>
          <t>plan_item</t>
        </is>
      </c>
      <c r="D1427" s="3" t="inlineStr">
        <is>
          <t>Investment plan item: what, amount, timing, contracted / ordered / planned</t>
        </is>
      </c>
      <c r="E1427" s="2" t="n"/>
      <c r="F1427" s="2" t="n">
        <v>34.5</v>
      </c>
      <c r="G1427" s="2" t="n"/>
      <c r="H1427" s="3" t="inlineStr">
        <is>
          <t>Construction of several fast charging stations initiated at 31 Dec 2025, to be realised in the first half of 2026; outstanding commitment approximately €34.5m (2024: €35.26m); contracted/ordered.</t>
        </is>
      </c>
      <c r="I1427" s="2" t="inlineStr">
        <is>
          <t>S3</t>
        </is>
      </c>
      <c r="J1427" s="2" t="n">
        <v>190</v>
      </c>
      <c r="K1427" s="3" t="inlineStr">
        <is>
          <t>The outstanding commitment at 31 December 2025 amounted to approximately €34.5 million (2024: €35.26 million).</t>
        </is>
      </c>
      <c r="L1427" s="2" t="inlineStr">
        <is>
          <t>pend</t>
        </is>
      </c>
      <c r="M1427" s="2" t="n"/>
      <c r="N1427" s="2" t="n"/>
      <c r="O1427" s="3" t="inlineStr">
        <is>
          <t>https://vanillabonds.com/dossier-data/pdf/fastned/fastned-2025-annual-report.pdf#page=190</t>
        </is>
      </c>
    </row>
    <row r="1428">
      <c r="A1428" s="2" t="inlineStr">
        <is>
          <t>F1427</t>
        </is>
      </c>
      <c r="B1428" s="2" t="inlineStr">
        <is>
          <t>plan</t>
        </is>
      </c>
      <c r="C1428" s="2" t="inlineStr">
        <is>
          <t>use_of_proceeds</t>
        </is>
      </c>
      <c r="D1428" s="2" t="inlineStr">
        <is>
          <t>Use of proceeds (one line per use)</t>
        </is>
      </c>
      <c r="E1428" s="2" t="n"/>
      <c r="F1428" s="2" t="n"/>
      <c r="G1428" s="2" t="n"/>
      <c r="H1428" s="3" t="inlineStr">
        <is>
          <t>TICO Financing (EUR 100m): development of charging stations in Belgium and Switzerland.</t>
        </is>
      </c>
      <c r="I1428" s="2" t="inlineStr">
        <is>
          <t>S3</t>
        </is>
      </c>
      <c r="J1428" s="2" t="n">
        <v>195</v>
      </c>
      <c r="K1428" s="3" t="inlineStr">
        <is>
          <t>to finance the development of charging stations in Belgium and Switzerland.</t>
        </is>
      </c>
      <c r="L1428" s="2" t="inlineStr">
        <is>
          <t>pend</t>
        </is>
      </c>
      <c r="M1428" s="2" t="n"/>
      <c r="N1428" s="2" t="n"/>
      <c r="O1428" s="3" t="inlineStr">
        <is>
          <t>https://vanillabonds.com/dossier-data/pdf/fastned/fastned-2025-annual-report.pdf#page=195</t>
        </is>
      </c>
    </row>
    <row r="1429">
      <c r="A1429" s="2" t="inlineStr">
        <is>
          <t>F1428</t>
        </is>
      </c>
      <c r="B1429" s="2" t="inlineStr">
        <is>
          <t>plan</t>
        </is>
      </c>
      <c r="C1429" s="2" t="inlineStr">
        <is>
          <t>funding_mix</t>
        </is>
      </c>
      <c r="D1429" s="3" t="inlineStr">
        <is>
          <t>Plan funding: bond / cash flow / bank / equity (one line per source)</t>
        </is>
      </c>
      <c r="E1429" s="2" t="n"/>
      <c r="F1429" s="2" t="n"/>
      <c r="G1429" s="2" t="n"/>
      <c r="H1429" s="3" t="inlineStr">
        <is>
          <t>Equity: Management Board authorised on 5 June 2025 (18 months) to issue up to 20% of shares for general purposes and a further 20% for the Option Plan.</t>
        </is>
      </c>
      <c r="I1429" s="2" t="inlineStr">
        <is>
          <t>S3</t>
        </is>
      </c>
      <c r="J1429" s="2" t="n">
        <v>90</v>
      </c>
      <c r="K1429" s="3" t="inlineStr">
        <is>
          <t>up to a maximum of 20% of Fastned’s shares issued and outstanding on 5 June 2025 for general purposes</t>
        </is>
      </c>
      <c r="L1429" s="2" t="inlineStr">
        <is>
          <t>pend</t>
        </is>
      </c>
      <c r="M1429" s="2" t="n"/>
      <c r="N1429" s="2" t="n"/>
      <c r="O1429" s="3" t="inlineStr">
        <is>
          <t>https://vanillabonds.com/dossier-data/pdf/fastned/fastned-2025-annual-report.pdf#page=90</t>
        </is>
      </c>
    </row>
    <row r="1430">
      <c r="A1430" s="2" t="inlineStr">
        <is>
          <t>F1429</t>
        </is>
      </c>
      <c r="B1430" s="2" t="inlineStr">
        <is>
          <t>plan</t>
        </is>
      </c>
      <c r="C1430" s="2" t="inlineStr">
        <is>
          <t>funding_mix</t>
        </is>
      </c>
      <c r="D1430" s="3" t="inlineStr">
        <is>
          <t>Plan funding: bond / cash flow / bank / equity (one line per source)</t>
        </is>
      </c>
      <c r="E1430" s="2" t="n"/>
      <c r="F1430" s="2" t="n">
        <v>110</v>
      </c>
      <c r="G1430" s="2" t="n"/>
      <c r="H1430" s="3" t="inlineStr">
        <is>
          <t>Retail bonds: three tranches raised over EUR 110m in 2025.</t>
        </is>
      </c>
      <c r="I1430" s="2" t="inlineStr">
        <is>
          <t>S3</t>
        </is>
      </c>
      <c r="J1430" s="2" t="n">
        <v>99</v>
      </c>
      <c r="K1430" s="3" t="inlineStr">
        <is>
          <t>In 2025 Fastned issued again three tranches of retail bonds, raising over €110 million in one year.</t>
        </is>
      </c>
      <c r="L1430" s="2" t="inlineStr">
        <is>
          <t>pend</t>
        </is>
      </c>
      <c r="M1430" s="2" t="n"/>
      <c r="N1430" s="2" t="n"/>
      <c r="O1430" s="3" t="inlineStr">
        <is>
          <t>https://vanillabonds.com/dossier-data/pdf/fastned/fastned-2025-annual-report.pdf#page=99</t>
        </is>
      </c>
    </row>
    <row r="1431">
      <c r="A1431" s="2" t="inlineStr">
        <is>
          <t>F1430</t>
        </is>
      </c>
      <c r="B1431" s="2" t="inlineStr">
        <is>
          <t>plan</t>
        </is>
      </c>
      <c r="C1431" s="2" t="inlineStr">
        <is>
          <t>funding_mix</t>
        </is>
      </c>
      <c r="D1431" s="3" t="inlineStr">
        <is>
          <t>Plan funding: bond / cash flow / bank / equity (one line per source)</t>
        </is>
      </c>
      <c r="E1431" s="2" t="n"/>
      <c r="F1431" s="2" t="n">
        <v>100</v>
      </c>
      <c r="G1431" s="2" t="n"/>
      <c r="H1431" s="3" t="inlineStr">
        <is>
          <t>Bank: green loan facility (EUR 100m committed early 2026 plus EUR 100m accordion) as a third funding pillar next to the equity listing and the retail bond programme.</t>
        </is>
      </c>
      <c r="I1431" s="2" t="inlineStr">
        <is>
          <t>S3</t>
        </is>
      </c>
      <c r="J1431" s="2" t="n">
        <v>99</v>
      </c>
      <c r="K1431" s="3" t="inlineStr">
        <is>
          <t>a third pillar of financing, alongside our equity listing and retain bond programme, would strengthen our funding structure.</t>
        </is>
      </c>
      <c r="L1431" s="2" t="inlineStr">
        <is>
          <t>pend</t>
        </is>
      </c>
      <c r="M1431" s="2" t="n"/>
      <c r="N1431" s="2" t="n"/>
      <c r="O1431" s="3" t="inlineStr">
        <is>
          <t>https://vanillabonds.com/dossier-data/pdf/fastned/fastned-2025-annual-report.pdf#page=99</t>
        </is>
      </c>
    </row>
    <row r="1432">
      <c r="A1432" s="2" t="inlineStr">
        <is>
          <t>F1431</t>
        </is>
      </c>
      <c r="B1432" s="2" t="inlineStr">
        <is>
          <t>plan</t>
        </is>
      </c>
      <c r="C1432" s="2" t="inlineStr">
        <is>
          <t>funding_mix</t>
        </is>
      </c>
      <c r="D1432" s="3" t="inlineStr">
        <is>
          <t>Plan funding: bond / cash flow / bank / equity (one line per source)</t>
        </is>
      </c>
      <c r="E1432" s="2" t="n"/>
      <c r="F1432" s="2" t="n"/>
      <c r="G1432" s="2" t="n"/>
      <c r="H1432" s="3" t="inlineStr">
        <is>
          <t>bank: EUR 100m TICO Financing (January 2026) plus incremental facilities of up to EUR 100m subject to conditions</t>
        </is>
      </c>
      <c r="I1432" s="2" t="inlineStr">
        <is>
          <t>S3</t>
        </is>
      </c>
      <c r="J1432" s="2" t="n">
        <v>195</v>
      </c>
      <c r="K1432" s="3" t="inlineStr">
        <is>
          <t>At the end of January 2026, Fastned entered into a €100 million limited-recourse senior secured facilities agreement (the “TICO Financing”)</t>
        </is>
      </c>
      <c r="L1432" s="2" t="inlineStr">
        <is>
          <t>pend</t>
        </is>
      </c>
      <c r="M1432" s="2" t="n"/>
      <c r="N1432" s="2" t="n"/>
      <c r="O1432" s="3" t="inlineStr">
        <is>
          <t>https://vanillabonds.com/dossier-data/pdf/fastned/fastned-2025-annual-report.pdf#page=195</t>
        </is>
      </c>
    </row>
    <row r="1433">
      <c r="A1433" s="2" t="inlineStr">
        <is>
          <t>F1432</t>
        </is>
      </c>
      <c r="B1433" s="2" t="inlineStr">
        <is>
          <t>plan</t>
        </is>
      </c>
      <c r="C1433" s="2" t="inlineStr">
        <is>
          <t>funding_mix</t>
        </is>
      </c>
      <c r="D1433" s="3" t="inlineStr">
        <is>
          <t>Plan funding: bond / cash flow / bank / equity (one line per source)</t>
        </is>
      </c>
      <c r="E1433" s="2" t="n"/>
      <c r="F1433" s="2" t="n"/>
      <c r="G1433" s="2" t="n"/>
      <c r="H1433" s="3" t="inlineStr">
        <is>
          <t>bond: EUR 30.1m unsecured bonds raised February 2026 at 6%, plus EUR 2.3m extended from earlier issues</t>
        </is>
      </c>
      <c r="I1433" s="2" t="inlineStr">
        <is>
          <t>S3</t>
        </is>
      </c>
      <c r="J1433" s="2" t="n">
        <v>195</v>
      </c>
      <c r="K1433" s="3" t="inlineStr">
        <is>
          <t>In February 2026, Fastned raised € 30.1 million through issue of corporate bonds</t>
        </is>
      </c>
      <c r="L1433" s="2" t="inlineStr">
        <is>
          <t>pend</t>
        </is>
      </c>
      <c r="M1433" s="2" t="n"/>
      <c r="N1433" s="2" t="n"/>
      <c r="O1433" s="3" t="inlineStr">
        <is>
          <t>https://vanillabonds.com/dossier-data/pdf/fastned/fastned-2025-annual-report.pdf#page=195</t>
        </is>
      </c>
    </row>
    <row r="1434">
      <c r="A1434" s="2" t="inlineStr">
        <is>
          <t>F1433</t>
        </is>
      </c>
      <c r="B1434" s="2" t="inlineStr">
        <is>
          <t>plan</t>
        </is>
      </c>
      <c r="C1434" s="2" t="inlineStr">
        <is>
          <t>backlog</t>
        </is>
      </c>
      <c r="D1434" s="3" t="inlineStr">
        <is>
          <t>Order book / contracted revenue (period end)</t>
        </is>
      </c>
      <c r="E1434" s="2" t="inlineStr">
        <is>
          <t>FY2025</t>
        </is>
      </c>
      <c r="F1434" s="2" t="n">
        <v>23.9</v>
      </c>
      <c r="G1434" s="2" t="inlineStr">
        <is>
          <t>EUR m</t>
        </is>
      </c>
      <c r="H1434" s="3" t="inlineStr">
        <is>
          <t>Transaction price allocated to unsatisfied construction service contracts (German Highway Tender) at 31 Dec 2025; management expects 100% to be recognised as revenue in 2026</t>
        </is>
      </c>
      <c r="I1434" s="2" t="inlineStr">
        <is>
          <t>S3</t>
        </is>
      </c>
      <c r="J1434" s="2" t="n">
        <v>156</v>
      </c>
      <c r="K1434" s="3" t="inlineStr">
        <is>
          <t>contracts that are partially or fully unsatisfied as at 31 December 2025 amount to €23.9 million</t>
        </is>
      </c>
      <c r="L1434" s="2" t="inlineStr">
        <is>
          <t>pend</t>
        </is>
      </c>
      <c r="M1434" s="2" t="n"/>
      <c r="N1434" s="2" t="n"/>
      <c r="O1434" s="3" t="inlineStr">
        <is>
          <t>https://vanillabonds.com/dossier-data/pdf/fastned/fastned-2025-annual-report.pdf#page=156</t>
        </is>
      </c>
    </row>
    <row r="1435">
      <c r="A1435" s="2" t="inlineStr">
        <is>
          <t>F1434</t>
        </is>
      </c>
      <c r="B1435" s="2" t="inlineStr">
        <is>
          <t>plan</t>
        </is>
      </c>
      <c r="C1435" s="2" t="inlineStr">
        <is>
          <t>debt_maturing</t>
        </is>
      </c>
      <c r="D1435" s="2" t="inlineStr">
        <is>
          <t>Debt principal falling due in the period</t>
        </is>
      </c>
      <c r="E1435" s="2" t="inlineStr">
        <is>
          <t>FY2026E</t>
        </is>
      </c>
      <c r="F1435" s="2" t="n">
        <v>12.4</v>
      </c>
      <c r="G1435" s="2" t="inlineStr">
        <is>
          <t>EUR m</t>
        </is>
      </c>
      <c r="H1435" s="3" t="inlineStr">
        <is>
          <t>Interest-bearing loans and borrowings contractually due within 3-12 months of 31 Dec 2025 (mainly the 5% bond due 12/12/2026, €12.0m)</t>
        </is>
      </c>
      <c r="I1435" s="2" t="inlineStr">
        <is>
          <t>S3</t>
        </is>
      </c>
      <c r="J1435" s="2" t="n">
        <v>181</v>
      </c>
      <c r="K1435" s="3" t="inlineStr">
        <is>
          <t>Interest-bearing loans and borrowings — — 12,381 282,712 295,093</t>
        </is>
      </c>
      <c r="L1435" s="2" t="inlineStr">
        <is>
          <t>pend</t>
        </is>
      </c>
      <c r="M1435" s="2" t="n"/>
      <c r="N1435" s="3" t="inlineStr">
        <is>
          <t>conflict: S2·p146 30.4 vs S3·p181 12.4 vs S4·p43 10.7</t>
        </is>
      </c>
      <c r="O1435" s="3" t="inlineStr">
        <is>
          <t>https://vanillabonds.com/dossier-data/pdf/fastned/fastned-2025-annual-report.pdf#page=181</t>
        </is>
      </c>
    </row>
    <row r="1436">
      <c r="A1436" s="2" t="inlineStr">
        <is>
          <t>F1435</t>
        </is>
      </c>
      <c r="B1436" s="2" t="inlineStr">
        <is>
          <t>plan</t>
        </is>
      </c>
      <c r="C1436" s="2" t="inlineStr">
        <is>
          <t>debt_maturing</t>
        </is>
      </c>
      <c r="D1436" s="2" t="inlineStr">
        <is>
          <t>Debt principal falling due in the period</t>
        </is>
      </c>
      <c r="E1436" s="2" t="inlineStr">
        <is>
          <t>FY2027E</t>
        </is>
      </c>
      <c r="F1436" s="2" t="n">
        <v>7.3</v>
      </c>
      <c r="G1436" s="2" t="inlineStr">
        <is>
          <t>EUR m</t>
        </is>
      </c>
      <c r="H1436" s="3" t="inlineStr">
        <is>
          <t>5% unsecured corporate bond due 21/06/2027</t>
        </is>
      </c>
      <c r="I1436" s="2" t="inlineStr">
        <is>
          <t>S3</t>
        </is>
      </c>
      <c r="J1436" s="2" t="n">
        <v>172</v>
      </c>
      <c r="K1436" s="2" t="inlineStr">
        <is>
          <t>5.0 21/06/27 7,262 13,248</t>
        </is>
      </c>
      <c r="L1436" s="2" t="inlineStr">
        <is>
          <t>pend</t>
        </is>
      </c>
      <c r="M1436" s="2" t="n"/>
      <c r="N1436" s="3" t="inlineStr">
        <is>
          <t>conflict: S2·p146 13.2 vs S3·p172 7.3 vs S4·p43 5.2</t>
        </is>
      </c>
      <c r="O1436" s="3" t="inlineStr">
        <is>
          <t>https://vanillabonds.com/dossier-data/pdf/fastned/fastned-2025-annual-report.pdf#page=172</t>
        </is>
      </c>
    </row>
    <row r="1437">
      <c r="A1437" s="2" t="inlineStr">
        <is>
          <t>F1436</t>
        </is>
      </c>
      <c r="B1437" s="2" t="inlineStr">
        <is>
          <t>plan</t>
        </is>
      </c>
      <c r="C1437" s="2" t="inlineStr">
        <is>
          <t>bank_line</t>
        </is>
      </c>
      <c r="D1437" s="3" t="inlineStr">
        <is>
          <t>Bank facility: lender, amount, maturity, renewal history</t>
        </is>
      </c>
      <c r="E1437" s="2" t="n"/>
      <c r="F1437" s="2" t="n">
        <v>100</v>
      </c>
      <c r="G1437" s="2" t="n"/>
      <c r="H1437" s="3" t="inlineStr">
        <is>
          <t>Green loan facility secured early 2026: EUR 100m initially committed for new stations in Belgium and Switzerland, option for a further EUR 100m for other markets; lender not named.</t>
        </is>
      </c>
      <c r="I1437" s="2" t="inlineStr">
        <is>
          <t>S3</t>
        </is>
      </c>
      <c r="J1437" s="2" t="n">
        <v>81</v>
      </c>
      <c r="K1437" s="3" t="inlineStr">
        <is>
          <t>in early 2026 Fastned secured a green loan facility, initially committing €100 million to fund new charging stations in Belgium and Switzerland, with an option for an additional €100 million</t>
        </is>
      </c>
      <c r="L1437" s="2" t="inlineStr">
        <is>
          <t>pend</t>
        </is>
      </c>
      <c r="M1437" s="2" t="n"/>
      <c r="N1437" s="2" t="n"/>
      <c r="O1437" s="3" t="inlineStr">
        <is>
          <t>https://vanillabonds.com/dossier-data/pdf/fastned/fastned-2025-annual-report.pdf#page=81</t>
        </is>
      </c>
    </row>
    <row r="1438">
      <c r="A1438" s="2" t="inlineStr">
        <is>
          <t>F1437</t>
        </is>
      </c>
      <c r="B1438" s="2" t="inlineStr">
        <is>
          <t>plan</t>
        </is>
      </c>
      <c r="C1438" s="2" t="inlineStr">
        <is>
          <t>bank_line</t>
        </is>
      </c>
      <c r="D1438" s="3" t="inlineStr">
        <is>
          <t>Bank facility: lender, amount, maturity, renewal history</t>
        </is>
      </c>
      <c r="E1438" s="2" t="n"/>
      <c r="F1438" s="2" t="n">
        <v>100</v>
      </c>
      <c r="G1438" s="2" t="n"/>
      <c r="H1438" s="3" t="inlineStr">
        <is>
          <t>TICO Financing: €100m limited-recourse senior secured facilities agreement signed end January 2026 for Belgian and Swiss stations; lenders described as banks and Invest-NL (p.100); maturity not stated in this part.</t>
        </is>
      </c>
      <c r="I1438" s="2" t="inlineStr">
        <is>
          <t>S3</t>
        </is>
      </c>
      <c r="J1438" s="2" t="n">
        <v>122</v>
      </c>
      <c r="K1438" s="3" t="inlineStr">
        <is>
          <t>to finance the development of charging stations in Belgium and Switzerland</t>
        </is>
      </c>
      <c r="L1438" s="2" t="inlineStr">
        <is>
          <t>pend</t>
        </is>
      </c>
      <c r="M1438" s="2" t="n"/>
      <c r="N1438" s="2" t="n"/>
      <c r="O1438" s="3" t="inlineStr">
        <is>
          <t>https://vanillabonds.com/dossier-data/pdf/fastned/fastned-2025-annual-report.pdf#page=122</t>
        </is>
      </c>
    </row>
    <row r="1439">
      <c r="A1439" s="2" t="inlineStr">
        <is>
          <t>F1438</t>
        </is>
      </c>
      <c r="B1439" s="2" t="inlineStr">
        <is>
          <t>plan</t>
        </is>
      </c>
      <c r="C1439" s="2" t="inlineStr">
        <is>
          <t>bank_line</t>
        </is>
      </c>
      <c r="D1439" s="3" t="inlineStr">
        <is>
          <t>Bank facility: lender, amount, maturity, renewal history</t>
        </is>
      </c>
      <c r="E1439" s="2" t="n"/>
      <c r="F1439" s="2" t="n"/>
      <c r="G1439" s="2" t="n"/>
      <c r="H1439" s="3" t="inlineStr">
        <is>
          <t>lender: Caisse des Dépôts; 4% secured loan in two tranches, €2.1m due 01/12/2031 and €12.6m due 01/12/2032; drawn 2022-2024 (€9.8m in 2024), no drawdown in 2025; fixed interest accrued in the first three years (€0.45m in 2025), variable interest €0.06m on kWh sold.</t>
        </is>
      </c>
      <c r="I1439" s="2" t="inlineStr">
        <is>
          <t>S3</t>
        </is>
      </c>
      <c r="J1439" s="2" t="n">
        <v>173</v>
      </c>
      <c r="K1439" s="3" t="inlineStr">
        <is>
          <t>Fastned secured a loan with Caisse des Dépôts during 2022–2024 under which no additional amounts were drawn in 2025 (2024: €9.8 million).</t>
        </is>
      </c>
      <c r="L1439" s="2" t="inlineStr">
        <is>
          <t>pend</t>
        </is>
      </c>
      <c r="M1439" s="2" t="n"/>
      <c r="N1439" s="2" t="n"/>
      <c r="O1439" s="3" t="inlineStr">
        <is>
          <t>https://vanillabonds.com/dossier-data/pdf/fastned/fastned-2025-annual-report.pdf#page=173</t>
        </is>
      </c>
    </row>
    <row r="1440">
      <c r="A1440" s="2" t="inlineStr">
        <is>
          <t>F1439</t>
        </is>
      </c>
      <c r="B1440" s="2" t="inlineStr">
        <is>
          <t>plan</t>
        </is>
      </c>
      <c r="C1440" s="2" t="inlineStr">
        <is>
          <t>bank_line</t>
        </is>
      </c>
      <c r="D1440" s="3" t="inlineStr">
        <is>
          <t>Bank facility: lender, amount, maturity, renewal history</t>
        </is>
      </c>
      <c r="E1440" s="2" t="n"/>
      <c r="F1440" s="2" t="n">
        <v>17</v>
      </c>
      <c r="G1440" s="2" t="n"/>
      <c r="H1440" s="3" t="inlineStr">
        <is>
          <t>Bank guarantee facility of Fastned B.V. €17m at end 2025 (2024: €17.0m), €15.9m drawn (2024: €15.0m); €13.4m expires end 2029, €0.1m between 2035 and 2040, €2.4m open-ended; lender not named; covenants on tangible equity.</t>
        </is>
      </c>
      <c r="I1440" s="2" t="inlineStr">
        <is>
          <t>S3</t>
        </is>
      </c>
      <c r="J1440" s="2" t="n">
        <v>183</v>
      </c>
      <c r="K1440" s="3" t="inlineStr">
        <is>
          <t>Fastned B.V. has a bank guarantee facility amounting to €17 million at 31</t>
        </is>
      </c>
      <c r="L1440" s="2" t="inlineStr">
        <is>
          <t>pend</t>
        </is>
      </c>
      <c r="M1440" s="2" t="n"/>
      <c r="N1440" s="2" t="n"/>
      <c r="O1440" s="3" t="inlineStr">
        <is>
          <t>https://vanillabonds.com/dossier-data/pdf/fastned/fastned-2025-annual-report.pdf#page=183</t>
        </is>
      </c>
    </row>
    <row r="1441">
      <c r="A1441" s="2" t="inlineStr">
        <is>
          <t>F1440</t>
        </is>
      </c>
      <c r="B1441" s="2" t="inlineStr">
        <is>
          <t>plan</t>
        </is>
      </c>
      <c r="C1441" s="2" t="inlineStr">
        <is>
          <t>bank_line</t>
        </is>
      </c>
      <c r="D1441" s="3" t="inlineStr">
        <is>
          <t>Bank facility: lender, amount, maturity, renewal history</t>
        </is>
      </c>
      <c r="E1441" s="2" t="n"/>
      <c r="F1441" s="2" t="n"/>
      <c r="G1441" s="2" t="n"/>
      <c r="H1441" s="3" t="inlineStr">
        <is>
          <t>TICO Financing: EUR 100m five-year senior secured term facilities signed end January 2026, lenders not named; incremental facilities up to EUR 100m in aggregate permitted subject to lender approval, no Default, covenant compliance and an updated financial model.</t>
        </is>
      </c>
      <c r="I1441" s="2" t="inlineStr">
        <is>
          <t>S3</t>
        </is>
      </c>
      <c r="J1441" s="2" t="n">
        <v>195</v>
      </c>
      <c r="K1441" s="3" t="inlineStr">
        <is>
          <t>The agreement also permits additional incremental facilities of up to €100 million in aggregate, subject to specified conditions.</t>
        </is>
      </c>
      <c r="L1441" s="2" t="inlineStr">
        <is>
          <t>pend</t>
        </is>
      </c>
      <c r="M1441" s="2" t="n"/>
      <c r="N1441" s="2" t="n"/>
      <c r="O1441" s="3" t="inlineStr">
        <is>
          <t>https://vanillabonds.com/dossier-data/pdf/fastned/fastned-2025-annual-report.pdf#page=195</t>
        </is>
      </c>
    </row>
    <row r="1442">
      <c r="A1442" s="2" t="inlineStr">
        <is>
          <t>F1441</t>
        </is>
      </c>
      <c r="B1442" s="2" t="inlineStr">
        <is>
          <t>plan</t>
        </is>
      </c>
      <c r="C1442" s="2" t="inlineStr">
        <is>
          <t>bank_line</t>
        </is>
      </c>
      <c r="D1442" s="3" t="inlineStr">
        <is>
          <t>Bank facility: lender, amount, maturity, renewal history</t>
        </is>
      </c>
      <c r="E1442" s="2" t="n"/>
      <c r="F1442" s="2" t="n"/>
      <c r="G1442" s="2" t="n"/>
      <c r="H1442" s="3" t="inlineStr">
        <is>
          <t>Bank guarantee facility of EUR 17.0m at 31 December 2025 (2024: EUR 17.0m), EUR 15.9m drawn (2024: EUR 15.0m); lender not named; EUR 13.4m expires end 2029, EUR 0.1m between 2035 and 2040, EUR 2.4m open-ended.</t>
        </is>
      </c>
      <c r="I1442" s="2" t="inlineStr">
        <is>
          <t>S3</t>
        </is>
      </c>
      <c r="J1442" s="2" t="n">
        <v>212</v>
      </c>
      <c r="K1442" s="3" t="inlineStr">
        <is>
          <t>Fastned B.V. has a bank guarantee facility amounting to €17 million at 31 December 2025 (2024: €17.0 million), of which €15.9 million (2024: €15.0 million) have been drawn.</t>
        </is>
      </c>
      <c r="L1442" s="2" t="inlineStr">
        <is>
          <t>pend</t>
        </is>
      </c>
      <c r="M1442" s="2" t="n"/>
      <c r="N1442" s="2" t="n"/>
      <c r="O1442" s="3" t="inlineStr">
        <is>
          <t>https://vanillabonds.com/dossier-data/pdf/fastned/fastned-2025-annual-report.pdf#page=212</t>
        </is>
      </c>
    </row>
    <row r="1443">
      <c r="A1443" s="2" t="inlineStr">
        <is>
          <t>F1442</t>
        </is>
      </c>
      <c r="B1443" s="2" t="inlineStr">
        <is>
          <t>governance</t>
        </is>
      </c>
      <c r="C1443" s="2" t="inlineStr">
        <is>
          <t>group_entity</t>
        </is>
      </c>
      <c r="D1443" s="3" t="inlineStr">
        <is>
          <t>Group entity: entity; jurisdiction; revenue; ebitda; assets; debt; guarantor (yes / no)</t>
        </is>
      </c>
      <c r="E1443" s="2" t="n"/>
      <c r="F1443" s="2" t="n"/>
      <c r="G1443" s="2" t="n"/>
      <c r="H1443" s="3" t="inlineStr">
        <is>
          <t>entity: Fast Places Ltd; jurisdiction: GB; joint venture of Fastned UK with Places for London (Transport for London) formed late 2024 to develop and operate ultra-rapid charging hubs across London</t>
        </is>
      </c>
      <c r="I1443" s="2" t="inlineStr">
        <is>
          <t>S3</t>
        </is>
      </c>
      <c r="J1443" s="2" t="n">
        <v>73</v>
      </c>
      <c r="K1443" s="3" t="inlineStr">
        <is>
          <t>In late 2024, Fastned UK entered into a joint venture with Places for London, Transport for London's transport property company</t>
        </is>
      </c>
      <c r="L1443" s="2" t="inlineStr">
        <is>
          <t>pend</t>
        </is>
      </c>
      <c r="M1443" s="2" t="n"/>
      <c r="N1443" s="2" t="n"/>
      <c r="O1443" s="3" t="inlineStr">
        <is>
          <t>https://vanillabonds.com/dossier-data/pdf/fastned/fastned-2025-annual-report.pdf#page=73</t>
        </is>
      </c>
    </row>
    <row r="1444">
      <c r="A1444" s="2" t="inlineStr">
        <is>
          <t>F1443</t>
        </is>
      </c>
      <c r="B1444" s="2" t="inlineStr">
        <is>
          <t>governance</t>
        </is>
      </c>
      <c r="C1444" s="2" t="inlineStr">
        <is>
          <t>group_entity</t>
        </is>
      </c>
      <c r="D1444" s="3" t="inlineStr">
        <is>
          <t>Group entity: entity; jurisdiction; revenue; ebitda; assets; debt; guarantor (yes / no)</t>
        </is>
      </c>
      <c r="E1444" s="2" t="n"/>
      <c r="F1444" s="2" t="n"/>
      <c r="G1444" s="2" t="n"/>
      <c r="H1444" s="3" t="inlineStr">
        <is>
          <t>entity: Fastned Deutschland GmbH &amp; Co KG (100%, construction and operation); jurisdiction: DE</t>
        </is>
      </c>
      <c r="I1444" s="2" t="inlineStr">
        <is>
          <t>S3</t>
        </is>
      </c>
      <c r="J1444" s="2" t="n">
        <v>147</v>
      </c>
      <c r="K1444" s="3" t="inlineStr">
        <is>
          <t>Fastned Deutschland GmbH &amp; Co KG Construction and operating charging stations Germany 100 100</t>
        </is>
      </c>
      <c r="L1444" s="2" t="inlineStr">
        <is>
          <t>pend</t>
        </is>
      </c>
      <c r="M1444" s="2" t="n"/>
      <c r="N1444" s="2" t="n"/>
      <c r="O1444" s="3" t="inlineStr">
        <is>
          <t>https://vanillabonds.com/dossier-data/pdf/fastned/fastned-2025-annual-report.pdf#page=147</t>
        </is>
      </c>
    </row>
    <row r="1445">
      <c r="A1445" s="2" t="inlineStr">
        <is>
          <t>F1444</t>
        </is>
      </c>
      <c r="B1445" s="2" t="inlineStr">
        <is>
          <t>governance</t>
        </is>
      </c>
      <c r="C1445" s="2" t="inlineStr">
        <is>
          <t>group_entity</t>
        </is>
      </c>
      <c r="D1445" s="3" t="inlineStr">
        <is>
          <t>Group entity: entity; jurisdiction; revenue; ebitda; assets; debt; guarantor (yes / no)</t>
        </is>
      </c>
      <c r="E1445" s="2" t="n"/>
      <c r="F1445" s="2" t="n"/>
      <c r="G1445" s="2" t="n"/>
      <c r="H1445" s="3" t="inlineStr">
        <is>
          <t>entity: Fastned Verwaltungsgesellschaft mbH (100%, general partner of Fastned Deutschland GmbH &amp; Co KG); jurisdiction: DE</t>
        </is>
      </c>
      <c r="I1445" s="2" t="inlineStr">
        <is>
          <t>S3</t>
        </is>
      </c>
      <c r="J1445" s="2" t="n">
        <v>147</v>
      </c>
      <c r="K1445" s="3" t="inlineStr">
        <is>
          <t>Fastned Verwaltungsgesellschaft mbH General partner Fastned Deutschland GmbH &amp; Co KG Germany 100 100</t>
        </is>
      </c>
      <c r="L1445" s="2" t="inlineStr">
        <is>
          <t>pend</t>
        </is>
      </c>
      <c r="M1445" s="2" t="n"/>
      <c r="N1445" s="2" t="n"/>
      <c r="O1445" s="3" t="inlineStr">
        <is>
          <t>https://vanillabonds.com/dossier-data/pdf/fastned/fastned-2025-annual-report.pdf#page=147</t>
        </is>
      </c>
    </row>
    <row r="1446">
      <c r="A1446" s="2" t="inlineStr">
        <is>
          <t>F1445</t>
        </is>
      </c>
      <c r="B1446" s="2" t="inlineStr">
        <is>
          <t>governance</t>
        </is>
      </c>
      <c r="C1446" s="2" t="inlineStr">
        <is>
          <t>group_entity</t>
        </is>
      </c>
      <c r="D1446" s="3" t="inlineStr">
        <is>
          <t>Group entity: entity; jurisdiction; revenue; ebitda; assets; debt; guarantor (yes / no)</t>
        </is>
      </c>
      <c r="E1446" s="2" t="n"/>
      <c r="F1446" s="2" t="n"/>
      <c r="G1446" s="2" t="n"/>
      <c r="H1446" s="3" t="inlineStr">
        <is>
          <t>entity: Fastned UK Ltd (100%, construction and operation); jurisdiction: GB</t>
        </is>
      </c>
      <c r="I1446" s="2" t="inlineStr">
        <is>
          <t>S3</t>
        </is>
      </c>
      <c r="J1446" s="2" t="n">
        <v>147</v>
      </c>
      <c r="K1446" s="3" t="inlineStr">
        <is>
          <t>Fastned UK Ltd Construction and operating charging stations United Kingdom 100 100</t>
        </is>
      </c>
      <c r="L1446" s="2" t="inlineStr">
        <is>
          <t>pend</t>
        </is>
      </c>
      <c r="M1446" s="2" t="n"/>
      <c r="N1446" s="2" t="n"/>
      <c r="O1446" s="3" t="inlineStr">
        <is>
          <t>https://vanillabonds.com/dossier-data/pdf/fastned/fastned-2025-annual-report.pdf#page=147</t>
        </is>
      </c>
    </row>
    <row r="1447">
      <c r="A1447" s="2" t="inlineStr">
        <is>
          <t>F1446</t>
        </is>
      </c>
      <c r="B1447" s="2" t="inlineStr">
        <is>
          <t>governance</t>
        </is>
      </c>
      <c r="C1447" s="2" t="inlineStr">
        <is>
          <t>group_entity</t>
        </is>
      </c>
      <c r="D1447" s="3" t="inlineStr">
        <is>
          <t>Group entity: entity; jurisdiction; revenue; ebitda; assets; debt; guarantor (yes / no)</t>
        </is>
      </c>
      <c r="E1447" s="2" t="n"/>
      <c r="F1447" s="2" t="n"/>
      <c r="G1447" s="2" t="n"/>
      <c r="H1447" s="3" t="inlineStr">
        <is>
          <t>entity: Fastned Stations Belgium B.V., previously Fastned Belgie B.V. (100%, construction of stations and shops); jurisdiction: BE</t>
        </is>
      </c>
      <c r="I1447" s="2" t="inlineStr">
        <is>
          <t>S3</t>
        </is>
      </c>
      <c r="J1447" s="2" t="n">
        <v>147</v>
      </c>
      <c r="K1447" s="3" t="inlineStr">
        <is>
          <t>Fastned Stations Belgium B.V. (previously known as Fastned Belgie B.V.)</t>
        </is>
      </c>
      <c r="L1447" s="2" t="inlineStr">
        <is>
          <t>pend</t>
        </is>
      </c>
      <c r="M1447" s="2" t="n"/>
      <c r="N1447" s="2" t="n"/>
      <c r="O1447" s="3" t="inlineStr">
        <is>
          <t>https://vanillabonds.com/dossier-data/pdf/fastned/fastned-2025-annual-report.pdf#page=147</t>
        </is>
      </c>
    </row>
    <row r="1448">
      <c r="A1448" s="2" t="inlineStr">
        <is>
          <t>F1447</t>
        </is>
      </c>
      <c r="B1448" s="2" t="inlineStr">
        <is>
          <t>governance</t>
        </is>
      </c>
      <c r="C1448" s="2" t="inlineStr">
        <is>
          <t>group_entity</t>
        </is>
      </c>
      <c r="D1448" s="3" t="inlineStr">
        <is>
          <t>Group entity: entity; jurisdiction; revenue; ebitda; assets; debt; guarantor (yes / no)</t>
        </is>
      </c>
      <c r="E1448" s="2" t="n"/>
      <c r="F1448" s="2" t="n"/>
      <c r="G1448" s="2" t="n"/>
      <c r="H1448" s="3" t="inlineStr">
        <is>
          <t>entity: Fastned Belgium B.V. (100%, operation of charging stations, new in 2025); jurisdiction: BE</t>
        </is>
      </c>
      <c r="I1448" s="2" t="inlineStr">
        <is>
          <t>S3</t>
        </is>
      </c>
      <c r="J1448" s="2" t="n">
        <v>147</v>
      </c>
      <c r="K1448" s="3" t="inlineStr">
        <is>
          <t>Fastned Belgium B.V. Operating of charging stations Belgium 100 —</t>
        </is>
      </c>
      <c r="L1448" s="2" t="inlineStr">
        <is>
          <t>pend</t>
        </is>
      </c>
      <c r="M1448" s="2" t="n"/>
      <c r="N1448" s="2" t="n"/>
      <c r="O1448" s="3" t="inlineStr">
        <is>
          <t>https://vanillabonds.com/dossier-data/pdf/fastned/fastned-2025-annual-report.pdf#page=147</t>
        </is>
      </c>
    </row>
    <row r="1449">
      <c r="A1449" s="2" t="inlineStr">
        <is>
          <t>F1448</t>
        </is>
      </c>
      <c r="B1449" s="2" t="inlineStr">
        <is>
          <t>governance</t>
        </is>
      </c>
      <c r="C1449" s="2" t="inlineStr">
        <is>
          <t>group_entity</t>
        </is>
      </c>
      <c r="D1449" s="3" t="inlineStr">
        <is>
          <t>Group entity: entity; jurisdiction; revenue; ebitda; assets; debt; guarantor (yes / no)</t>
        </is>
      </c>
      <c r="E1449" s="2" t="n"/>
      <c r="F1449" s="2" t="n"/>
      <c r="G1449" s="2" t="n"/>
      <c r="H1449" s="3" t="inlineStr">
        <is>
          <t>entity: Fastned France SAS (100%, construction and operation); jurisdiction: FR</t>
        </is>
      </c>
      <c r="I1449" s="2" t="inlineStr">
        <is>
          <t>S3</t>
        </is>
      </c>
      <c r="J1449" s="2" t="n">
        <v>147</v>
      </c>
      <c r="K1449" s="3" t="inlineStr">
        <is>
          <t>Fastned France SAS Construction and operating charging stations France 100 100</t>
        </is>
      </c>
      <c r="L1449" s="2" t="inlineStr">
        <is>
          <t>pend</t>
        </is>
      </c>
      <c r="M1449" s="2" t="n"/>
      <c r="N1449" s="2" t="n"/>
      <c r="O1449" s="3" t="inlineStr">
        <is>
          <t>https://vanillabonds.com/dossier-data/pdf/fastned/fastned-2025-annual-report.pdf#page=147</t>
        </is>
      </c>
    </row>
    <row r="1450">
      <c r="A1450" s="2" t="inlineStr">
        <is>
          <t>F1449</t>
        </is>
      </c>
      <c r="B1450" s="2" t="inlineStr">
        <is>
          <t>governance</t>
        </is>
      </c>
      <c r="C1450" s="2" t="inlineStr">
        <is>
          <t>group_entity</t>
        </is>
      </c>
      <c r="D1450" s="3" t="inlineStr">
        <is>
          <t>Group entity: entity; jurisdiction; revenue; ebitda; assets; debt; guarantor (yes / no)</t>
        </is>
      </c>
      <c r="E1450" s="2" t="n"/>
      <c r="F1450" s="2" t="n"/>
      <c r="G1450" s="2" t="n"/>
      <c r="H1450" s="3" t="inlineStr">
        <is>
          <t>entity: Fastned France SPV 1 (100%, construction and operation); jurisdiction: FR</t>
        </is>
      </c>
      <c r="I1450" s="2" t="inlineStr">
        <is>
          <t>S3</t>
        </is>
      </c>
      <c r="J1450" s="2" t="n">
        <v>147</v>
      </c>
      <c r="K1450" s="3" t="inlineStr">
        <is>
          <t>Fastned France SPV 1 Construction and operating charging stations France 100 100</t>
        </is>
      </c>
      <c r="L1450" s="2" t="inlineStr">
        <is>
          <t>pend</t>
        </is>
      </c>
      <c r="M1450" s="2" t="n"/>
      <c r="N1450" s="2" t="n"/>
      <c r="O1450" s="3" t="inlineStr">
        <is>
          <t>https://vanillabonds.com/dossier-data/pdf/fastned/fastned-2025-annual-report.pdf#page=147</t>
        </is>
      </c>
    </row>
    <row r="1451">
      <c r="A1451" s="2" t="inlineStr">
        <is>
          <t>F1450</t>
        </is>
      </c>
      <c r="B1451" s="2" t="inlineStr">
        <is>
          <t>governance</t>
        </is>
      </c>
      <c r="C1451" s="2" t="inlineStr">
        <is>
          <t>group_entity</t>
        </is>
      </c>
      <c r="D1451" s="3" t="inlineStr">
        <is>
          <t>Group entity: entity; jurisdiction; revenue; ebitda; assets; debt; guarantor (yes / no)</t>
        </is>
      </c>
      <c r="E1451" s="2" t="n"/>
      <c r="F1451" s="2" t="n"/>
      <c r="G1451" s="2" t="n"/>
      <c r="H1451" s="3" t="inlineStr">
        <is>
          <t>entity: Fastned Stations Switzerland AG, previously Fastned Switzerland AG (100%, construction of stations and shops); jurisdiction: CH</t>
        </is>
      </c>
      <c r="I1451" s="2" t="inlineStr">
        <is>
          <t>S3</t>
        </is>
      </c>
      <c r="J1451" s="2" t="n">
        <v>147</v>
      </c>
      <c r="K1451" s="3" t="inlineStr">
        <is>
          <t>Fastned Stations Switzerland AG (previously known as Fastned Switzerland AG)</t>
        </is>
      </c>
      <c r="L1451" s="2" t="inlineStr">
        <is>
          <t>pend</t>
        </is>
      </c>
      <c r="M1451" s="2" t="n"/>
      <c r="N1451" s="2" t="n"/>
      <c r="O1451" s="3" t="inlineStr">
        <is>
          <t>https://vanillabonds.com/dossier-data/pdf/fastned/fastned-2025-annual-report.pdf#page=147</t>
        </is>
      </c>
    </row>
    <row r="1452">
      <c r="A1452" s="2" t="inlineStr">
        <is>
          <t>F1451</t>
        </is>
      </c>
      <c r="B1452" s="2" t="inlineStr">
        <is>
          <t>governance</t>
        </is>
      </c>
      <c r="C1452" s="2" t="inlineStr">
        <is>
          <t>group_entity</t>
        </is>
      </c>
      <c r="D1452" s="3" t="inlineStr">
        <is>
          <t>Group entity: entity; jurisdiction; revenue; ebitda; assets; debt; guarantor (yes / no)</t>
        </is>
      </c>
      <c r="E1452" s="2" t="n"/>
      <c r="F1452" s="2" t="n"/>
      <c r="G1452" s="2" t="n"/>
      <c r="H1452" s="3" t="inlineStr">
        <is>
          <t>entity: Fastned Switzerland AG (100%, operation of charging stations, new in 2025); jurisdiction: CH</t>
        </is>
      </c>
      <c r="I1452" s="2" t="inlineStr">
        <is>
          <t>S3</t>
        </is>
      </c>
      <c r="J1452" s="2" t="n">
        <v>147</v>
      </c>
      <c r="K1452" s="3" t="inlineStr">
        <is>
          <t>Fastned Switzerland AG Operating of charging stations Switzerland 100 —</t>
        </is>
      </c>
      <c r="L1452" s="2" t="inlineStr">
        <is>
          <t>pend</t>
        </is>
      </c>
      <c r="M1452" s="2" t="n"/>
      <c r="N1452" s="2" t="n"/>
      <c r="O1452" s="3" t="inlineStr">
        <is>
          <t>https://vanillabonds.com/dossier-data/pdf/fastned/fastned-2025-annual-report.pdf#page=147</t>
        </is>
      </c>
    </row>
    <row r="1453">
      <c r="A1453" s="2" t="inlineStr">
        <is>
          <t>F1452</t>
        </is>
      </c>
      <c r="B1453" s="2" t="inlineStr">
        <is>
          <t>governance</t>
        </is>
      </c>
      <c r="C1453" s="2" t="inlineStr">
        <is>
          <t>group_entity</t>
        </is>
      </c>
      <c r="D1453" s="3" t="inlineStr">
        <is>
          <t>Group entity: entity; jurisdiction; revenue; ebitda; assets; debt; guarantor (yes / no)</t>
        </is>
      </c>
      <c r="E1453" s="2" t="n"/>
      <c r="F1453" s="2" t="n"/>
      <c r="G1453" s="2" t="n"/>
      <c r="H1453" s="3" t="inlineStr">
        <is>
          <t>entity: The Fast Charging Network B.V. (100%, construction and operation); jurisdiction: NL</t>
        </is>
      </c>
      <c r="I1453" s="2" t="inlineStr">
        <is>
          <t>S3</t>
        </is>
      </c>
      <c r="J1453" s="2" t="n">
        <v>147</v>
      </c>
      <c r="K1453" s="3" t="inlineStr">
        <is>
          <t>The Fast Charging Network B.V. Construction and operating charging stations Netherlands 100 100</t>
        </is>
      </c>
      <c r="L1453" s="2" t="inlineStr">
        <is>
          <t>pend</t>
        </is>
      </c>
      <c r="M1453" s="2" t="n"/>
      <c r="N1453" s="2" t="n"/>
      <c r="O1453" s="3" t="inlineStr">
        <is>
          <t>https://vanillabonds.com/dossier-data/pdf/fastned/fastned-2025-annual-report.pdf#page=147</t>
        </is>
      </c>
    </row>
    <row r="1454">
      <c r="A1454" s="2" t="inlineStr">
        <is>
          <t>F1453</t>
        </is>
      </c>
      <c r="B1454" s="2" t="inlineStr">
        <is>
          <t>governance</t>
        </is>
      </c>
      <c r="C1454" s="2" t="inlineStr">
        <is>
          <t>group_entity</t>
        </is>
      </c>
      <c r="D1454" s="3" t="inlineStr">
        <is>
          <t>Group entity: entity; jurisdiction; revenue; ebitda; assets; debt; guarantor (yes / no)</t>
        </is>
      </c>
      <c r="E1454" s="2" t="n"/>
      <c r="F1454" s="2" t="n"/>
      <c r="G1454" s="2" t="n"/>
      <c r="H1454" s="3" t="inlineStr">
        <is>
          <t>entity: Fastned TICO Holding I B.V. (100%, holding, new in 2025); jurisdiction: NL</t>
        </is>
      </c>
      <c r="I1454" s="2" t="inlineStr">
        <is>
          <t>S3</t>
        </is>
      </c>
      <c r="J1454" s="2" t="n">
        <v>147</v>
      </c>
      <c r="K1454" s="3" t="inlineStr">
        <is>
          <t>Fastned TICO Holding I B.V. Holding activities Netherlands 100 —</t>
        </is>
      </c>
      <c r="L1454" s="2" t="inlineStr">
        <is>
          <t>pend</t>
        </is>
      </c>
      <c r="M1454" s="2" t="n"/>
      <c r="N1454" s="2" t="n"/>
      <c r="O1454" s="3" t="inlineStr">
        <is>
          <t>https://vanillabonds.com/dossier-data/pdf/fastned/fastned-2025-annual-report.pdf#page=147</t>
        </is>
      </c>
    </row>
    <row r="1455">
      <c r="A1455" s="2" t="inlineStr">
        <is>
          <t>F1454</t>
        </is>
      </c>
      <c r="B1455" s="2" t="inlineStr">
        <is>
          <t>governance</t>
        </is>
      </c>
      <c r="C1455" s="2" t="inlineStr">
        <is>
          <t>group_entity</t>
        </is>
      </c>
      <c r="D1455" s="3" t="inlineStr">
        <is>
          <t>Group entity: entity; jurisdiction; revenue; ebitda; assets; debt; guarantor (yes / no)</t>
        </is>
      </c>
      <c r="E1455" s="2" t="n"/>
      <c r="F1455" s="2" t="n"/>
      <c r="G1455" s="2" t="n"/>
      <c r="H1455" s="3" t="inlineStr">
        <is>
          <t>entity: Fastned Italia SRL (100%, construction and operation); jurisdiction: IT</t>
        </is>
      </c>
      <c r="I1455" s="2" t="inlineStr">
        <is>
          <t>S3</t>
        </is>
      </c>
      <c r="J1455" s="2" t="n">
        <v>147</v>
      </c>
      <c r="K1455" s="3" t="inlineStr">
        <is>
          <t>Fastned Italia SRL Construction and operating charging stations Italy 100 100</t>
        </is>
      </c>
      <c r="L1455" s="2" t="inlineStr">
        <is>
          <t>pend</t>
        </is>
      </c>
      <c r="M1455" s="2" t="n"/>
      <c r="N1455" s="2" t="n"/>
      <c r="O1455" s="3" t="inlineStr">
        <is>
          <t>https://vanillabonds.com/dossier-data/pdf/fastned/fastned-2025-annual-report.pdf#page=147</t>
        </is>
      </c>
    </row>
    <row r="1456">
      <c r="A1456" s="2" t="inlineStr">
        <is>
          <t>F1455</t>
        </is>
      </c>
      <c r="B1456" s="2" t="inlineStr">
        <is>
          <t>governance</t>
        </is>
      </c>
      <c r="C1456" s="2" t="inlineStr">
        <is>
          <t>group_entity</t>
        </is>
      </c>
      <c r="D1456" s="3" t="inlineStr">
        <is>
          <t>Group entity: entity; jurisdiction; revenue; ebitda; assets; debt; guarantor (yes / no)</t>
        </is>
      </c>
      <c r="E1456" s="2" t="n"/>
      <c r="F1456" s="2" t="n"/>
      <c r="G1456" s="2" t="n"/>
      <c r="H1456" s="3" t="inlineStr">
        <is>
          <t>entity: Fastned España SL (100%, construction and operation); jurisdiction: ES</t>
        </is>
      </c>
      <c r="I1456" s="2" t="inlineStr">
        <is>
          <t>S3</t>
        </is>
      </c>
      <c r="J1456" s="2" t="n">
        <v>147</v>
      </c>
      <c r="K1456" s="3" t="inlineStr">
        <is>
          <t>Fastned España SL Construction and operating charging stations Spain 100 100</t>
        </is>
      </c>
      <c r="L1456" s="2" t="inlineStr">
        <is>
          <t>pend</t>
        </is>
      </c>
      <c r="M1456" s="2" t="n"/>
      <c r="N1456" s="2" t="n"/>
      <c r="O1456" s="3" t="inlineStr">
        <is>
          <t>https://vanillabonds.com/dossier-data/pdf/fastned/fastned-2025-annual-report.pdf#page=147</t>
        </is>
      </c>
    </row>
    <row r="1457">
      <c r="A1457" s="2" t="inlineStr">
        <is>
          <t>F1456</t>
        </is>
      </c>
      <c r="B1457" s="2" t="inlineStr">
        <is>
          <t>governance</t>
        </is>
      </c>
      <c r="C1457" s="2" t="inlineStr">
        <is>
          <t>group_entity</t>
        </is>
      </c>
      <c r="D1457" s="3" t="inlineStr">
        <is>
          <t>Group entity: entity; jurisdiction; revenue; ebitda; assets; debt; guarantor (yes / no)</t>
        </is>
      </c>
      <c r="E1457" s="2" t="n"/>
      <c r="F1457" s="2" t="n"/>
      <c r="G1457" s="2" t="n"/>
      <c r="H1457" s="3" t="inlineStr">
        <is>
          <t>entity: Fastned Denmark ApS (100%, construction and operation); jurisdiction: DK</t>
        </is>
      </c>
      <c r="I1457" s="2" t="inlineStr">
        <is>
          <t>S3</t>
        </is>
      </c>
      <c r="J1457" s="2" t="n">
        <v>147</v>
      </c>
      <c r="K1457" s="3" t="inlineStr">
        <is>
          <t>Fastned Denmark ApS Construction and operating charging stations Denmark 100 100</t>
        </is>
      </c>
      <c r="L1457" s="2" t="inlineStr">
        <is>
          <t>pend</t>
        </is>
      </c>
      <c r="M1457" s="2" t="n"/>
      <c r="N1457" s="2" t="n"/>
      <c r="O1457" s="3" t="inlineStr">
        <is>
          <t>https://vanillabonds.com/dossier-data/pdf/fastned/fastned-2025-annual-report.pdf#page=147</t>
        </is>
      </c>
    </row>
    <row r="1458">
      <c r="A1458" s="2" t="inlineStr">
        <is>
          <t>F1457</t>
        </is>
      </c>
      <c r="B1458" s="2" t="inlineStr">
        <is>
          <t>governance</t>
        </is>
      </c>
      <c r="C1458" s="2" t="inlineStr">
        <is>
          <t>group_entity</t>
        </is>
      </c>
      <c r="D1458" s="3" t="inlineStr">
        <is>
          <t>Group entity: entity; jurisdiction; revenue; ebitda; assets; debt; guarantor (yes / no)</t>
        </is>
      </c>
      <c r="E1458" s="2" t="n"/>
      <c r="F1458" s="2" t="n"/>
      <c r="G1458" s="2" t="n"/>
      <c r="H1458" s="3" t="inlineStr">
        <is>
          <t>entity: Fastned Austria GmbH (100%, construction and operation); jurisdiction: AT</t>
        </is>
      </c>
      <c r="I1458" s="2" t="inlineStr">
        <is>
          <t>S3</t>
        </is>
      </c>
      <c r="J1458" s="2" t="n">
        <v>147</v>
      </c>
      <c r="K1458" s="3" t="inlineStr">
        <is>
          <t>Fastned Austria GmbH Construction and operating charging stations Austria 100 100</t>
        </is>
      </c>
      <c r="L1458" s="2" t="inlineStr">
        <is>
          <t>pend</t>
        </is>
      </c>
      <c r="M1458" s="2" t="n"/>
      <c r="N1458" s="2" t="n"/>
      <c r="O1458" s="3" t="inlineStr">
        <is>
          <t>https://vanillabonds.com/dossier-data/pdf/fastned/fastned-2025-annual-report.pdf#page=147</t>
        </is>
      </c>
    </row>
    <row r="1459">
      <c r="A1459" s="2" t="inlineStr">
        <is>
          <t>F1458</t>
        </is>
      </c>
      <c r="B1459" s="2" t="inlineStr">
        <is>
          <t>governance</t>
        </is>
      </c>
      <c r="C1459" s="2" t="inlineStr">
        <is>
          <t>group_entity</t>
        </is>
      </c>
      <c r="D1459" s="3" t="inlineStr">
        <is>
          <t>Group entity: entity; jurisdiction; revenue; ebitda; assets; debt; guarantor (yes / no)</t>
        </is>
      </c>
      <c r="E1459" s="2" t="n"/>
      <c r="F1459" s="2" t="n"/>
      <c r="G1459" s="2" t="n"/>
      <c r="H1459" s="3" t="inlineStr">
        <is>
          <t>entity: Fastned Sp Z o.o (100%, construction and operation, acquired 2025); jurisdiction: PL</t>
        </is>
      </c>
      <c r="I1459" s="2" t="inlineStr">
        <is>
          <t>S3</t>
        </is>
      </c>
      <c r="J1459" s="2" t="n">
        <v>147</v>
      </c>
      <c r="K1459" s="3" t="inlineStr">
        <is>
          <t>Fastned Sp Z o.o Construction and operating charging stations Poland 100 —</t>
        </is>
      </c>
      <c r="L1459" s="2" t="inlineStr">
        <is>
          <t>pend</t>
        </is>
      </c>
      <c r="M1459" s="2" t="n"/>
      <c r="N1459" s="2" t="n"/>
      <c r="O1459" s="3" t="inlineStr">
        <is>
          <t>https://vanillabonds.com/dossier-data/pdf/fastned/fastned-2025-annual-report.pdf#page=147</t>
        </is>
      </c>
    </row>
    <row r="1460">
      <c r="A1460" s="2" t="inlineStr">
        <is>
          <t>F1459</t>
        </is>
      </c>
      <c r="B1460" s="2" t="inlineStr">
        <is>
          <t>governance</t>
        </is>
      </c>
      <c r="C1460" s="2" t="inlineStr">
        <is>
          <t>group_entity</t>
        </is>
      </c>
      <c r="D1460" s="3" t="inlineStr">
        <is>
          <t>Group entity: entity; jurisdiction; revenue; ebitda; assets; debt; guarantor (yes / no)</t>
        </is>
      </c>
      <c r="E1460" s="2" t="n"/>
      <c r="F1460" s="2" t="n">
        <v>10.5</v>
      </c>
      <c r="G1460" s="2" t="n"/>
      <c r="H1460" s="3" t="inlineStr">
        <is>
          <t>entity: Fast Places Limited (51% joint venture with Places for London, equity method, not consolidated); jurisdiction: GB; revenue: 0.0; assets: 10.5; debt: 0.0 (current liabilities 2.0, equity 8.6, net loss 0.4 at 100%, 2025)</t>
        </is>
      </c>
      <c r="I1460" s="2" t="inlineStr">
        <is>
          <t>S3</t>
        </is>
      </c>
      <c r="J1460" s="2" t="n">
        <v>170</v>
      </c>
      <c r="K1460" s="2" t="inlineStr">
        <is>
          <t>Total Assets 10,507</t>
        </is>
      </c>
      <c r="L1460" s="2" t="inlineStr">
        <is>
          <t>pend</t>
        </is>
      </c>
      <c r="M1460" s="2" t="n"/>
      <c r="N1460" s="2" t="n"/>
      <c r="O1460" s="3" t="inlineStr">
        <is>
          <t>https://vanillabonds.com/dossier-data/pdf/fastned/fastned-2025-annual-report.pdf#page=170</t>
        </is>
      </c>
    </row>
    <row r="1461">
      <c r="A1461" s="2" t="inlineStr">
        <is>
          <t>F1460</t>
        </is>
      </c>
      <c r="B1461" s="2" t="inlineStr">
        <is>
          <t>governance</t>
        </is>
      </c>
      <c r="C1461" s="2" t="inlineStr">
        <is>
          <t>group_entity</t>
        </is>
      </c>
      <c r="D1461" s="3" t="inlineStr">
        <is>
          <t>Group entity: entity; jurisdiction; revenue; ebitda; assets; debt; guarantor (yes / no)</t>
        </is>
      </c>
      <c r="E1461" s="2" t="n"/>
      <c r="F1461" s="2" t="n"/>
      <c r="G1461" s="2" t="n"/>
      <c r="H1461" s="3" t="inlineStr">
        <is>
          <t>entity: Fastned B.V. (parent company, standalone); jurisdiction: NL; assets: 399.1</t>
        </is>
      </c>
      <c r="I1461" s="2" t="inlineStr">
        <is>
          <t>S3</t>
        </is>
      </c>
      <c r="J1461" s="2" t="n">
        <v>198</v>
      </c>
      <c r="K1461" s="2" t="inlineStr">
        <is>
          <t>Total assets 399,094 360,045</t>
        </is>
      </c>
      <c r="L1461" s="2" t="inlineStr">
        <is>
          <t>pend</t>
        </is>
      </c>
      <c r="M1461" s="2" t="n"/>
      <c r="N1461" s="2" t="n"/>
      <c r="O1461" s="3" t="inlineStr">
        <is>
          <t>https://vanillabonds.com/dossier-data/pdf/fastned/fastned-2025-annual-report.pdf#page=198</t>
        </is>
      </c>
    </row>
    <row r="1462">
      <c r="A1462" s="2" t="inlineStr">
        <is>
          <t>F1461</t>
        </is>
      </c>
      <c r="B1462" s="2" t="inlineStr">
        <is>
          <t>governance</t>
        </is>
      </c>
      <c r="C1462" s="2" t="inlineStr">
        <is>
          <t>group_entity</t>
        </is>
      </c>
      <c r="D1462" s="3" t="inlineStr">
        <is>
          <t>Group entity: entity; jurisdiction; revenue; ebitda; assets; debt; guarantor (yes / no)</t>
        </is>
      </c>
      <c r="E1462" s="2" t="n"/>
      <c r="F1462" s="2" t="n"/>
      <c r="G1462" s="2" t="n"/>
      <c r="H1462" s="3" t="inlineStr">
        <is>
          <t>entity: Fastned Verwaltungsgesellschaft mbH</t>
        </is>
      </c>
      <c r="I1462" s="2" t="inlineStr">
        <is>
          <t>S3</t>
        </is>
      </c>
      <c r="J1462" s="2" t="n">
        <v>208</v>
      </c>
      <c r="K1462" s="3" t="inlineStr">
        <is>
          <t>Fastned Verwaltungsgesellschaft mbH 14 — — — (7) — — — 7</t>
        </is>
      </c>
      <c r="L1462" s="2" t="inlineStr">
        <is>
          <t>pend</t>
        </is>
      </c>
      <c r="M1462" s="2" t="n"/>
      <c r="N1462" s="2" t="n"/>
      <c r="O1462" s="3" t="inlineStr">
        <is>
          <t>https://vanillabonds.com/dossier-data/pdf/fastned/fastned-2025-annual-report.pdf#page=208</t>
        </is>
      </c>
    </row>
    <row r="1463">
      <c r="A1463" s="2" t="inlineStr">
        <is>
          <t>F1462</t>
        </is>
      </c>
      <c r="B1463" s="2" t="inlineStr">
        <is>
          <t>governance</t>
        </is>
      </c>
      <c r="C1463" s="2" t="inlineStr">
        <is>
          <t>group_entity</t>
        </is>
      </c>
      <c r="D1463" s="3" t="inlineStr">
        <is>
          <t>Group entity: entity; jurisdiction; revenue; ebitda; assets; debt; guarantor (yes / no)</t>
        </is>
      </c>
      <c r="E1463" s="2" t="n"/>
      <c r="F1463" s="2" t="n"/>
      <c r="G1463" s="2" t="n"/>
      <c r="H1463" s="3" t="inlineStr">
        <is>
          <t>entity: Fastned Deutschland GmbH &amp; Co. KG; jurisdiction: DE</t>
        </is>
      </c>
      <c r="I1463" s="2" t="inlineStr">
        <is>
          <t>S3</t>
        </is>
      </c>
      <c r="J1463" s="2" t="n">
        <v>208</v>
      </c>
      <c r="K1463" s="3" t="inlineStr">
        <is>
          <t>Fastned Deutschland GmbH &amp; Co. KG 1,167 — — — 1,236 — — — 2,403</t>
        </is>
      </c>
      <c r="L1463" s="2" t="inlineStr">
        <is>
          <t>pend</t>
        </is>
      </c>
      <c r="M1463" s="2" t="n"/>
      <c r="N1463" s="2" t="n"/>
      <c r="O1463" s="3" t="inlineStr">
        <is>
          <t>https://vanillabonds.com/dossier-data/pdf/fastned/fastned-2025-annual-report.pdf#page=208</t>
        </is>
      </c>
    </row>
    <row r="1464">
      <c r="A1464" s="2" t="inlineStr">
        <is>
          <t>F1463</t>
        </is>
      </c>
      <c r="B1464" s="2" t="inlineStr">
        <is>
          <t>governance</t>
        </is>
      </c>
      <c r="C1464" s="2" t="inlineStr">
        <is>
          <t>group_entity</t>
        </is>
      </c>
      <c r="D1464" s="3" t="inlineStr">
        <is>
          <t>Group entity: entity; jurisdiction; revenue; ebitda; assets; debt; guarantor (yes / no)</t>
        </is>
      </c>
      <c r="E1464" s="2" t="n"/>
      <c r="F1464" s="2" t="n"/>
      <c r="G1464" s="2" t="n"/>
      <c r="H1464" s="3" t="inlineStr">
        <is>
          <t>entity: Fastned UK Limited; jurisdiction: GB</t>
        </is>
      </c>
      <c r="I1464" s="2" t="inlineStr">
        <is>
          <t>S3</t>
        </is>
      </c>
      <c r="J1464" s="2" t="n">
        <v>208</v>
      </c>
      <c r="K1464" s="3" t="inlineStr">
        <is>
          <t>Fastned UK Limited — — — — (9,611) — 9,611 — —</t>
        </is>
      </c>
      <c r="L1464" s="2" t="inlineStr">
        <is>
          <t>pend</t>
        </is>
      </c>
      <c r="M1464" s="2" t="n"/>
      <c r="N1464" s="2" t="n"/>
      <c r="O1464" s="3" t="inlineStr">
        <is>
          <t>https://vanillabonds.com/dossier-data/pdf/fastned/fastned-2025-annual-report.pdf#page=208</t>
        </is>
      </c>
    </row>
    <row r="1465">
      <c r="A1465" s="2" t="inlineStr">
        <is>
          <t>F1464</t>
        </is>
      </c>
      <c r="B1465" s="2" t="inlineStr">
        <is>
          <t>governance</t>
        </is>
      </c>
      <c r="C1465" s="2" t="inlineStr">
        <is>
          <t>group_entity</t>
        </is>
      </c>
      <c r="D1465" s="3" t="inlineStr">
        <is>
          <t>Group entity: entity; jurisdiction; revenue; ebitda; assets; debt; guarantor (yes / no)</t>
        </is>
      </c>
      <c r="E1465" s="2" t="n"/>
      <c r="F1465" s="2" t="n"/>
      <c r="G1465" s="2" t="n"/>
      <c r="H1465" s="3" t="inlineStr">
        <is>
          <t>entity: Fastned Stations Belgium BV (formerly Fastned Belgie BV); jurisdiction: BE</t>
        </is>
      </c>
      <c r="I1465" s="2" t="inlineStr">
        <is>
          <t>S3</t>
        </is>
      </c>
      <c r="J1465" s="2" t="n">
        <v>208</v>
      </c>
      <c r="K1465" s="3" t="inlineStr">
        <is>
          <t>Fastned Stations Belgium BV (formerly known as Fastned Belgie BV) — 57,374 — 28 (1,123) (5) — — 56,275</t>
        </is>
      </c>
      <c r="L1465" s="2" t="inlineStr">
        <is>
          <t>pend</t>
        </is>
      </c>
      <c r="M1465" s="2" t="n"/>
      <c r="N1465" s="2" t="n"/>
      <c r="O1465" s="3" t="inlineStr">
        <is>
          <t>https://vanillabonds.com/dossier-data/pdf/fastned/fastned-2025-annual-report.pdf#page=208</t>
        </is>
      </c>
    </row>
    <row r="1466">
      <c r="A1466" s="2" t="inlineStr">
        <is>
          <t>F1465</t>
        </is>
      </c>
      <c r="B1466" s="2" t="inlineStr">
        <is>
          <t>governance</t>
        </is>
      </c>
      <c r="C1466" s="2" t="inlineStr">
        <is>
          <t>group_entity</t>
        </is>
      </c>
      <c r="D1466" s="3" t="inlineStr">
        <is>
          <t>Group entity: entity; jurisdiction; revenue; ebitda; assets; debt; guarantor (yes / no)</t>
        </is>
      </c>
      <c r="E1466" s="2" t="n"/>
      <c r="F1466" s="2" t="n"/>
      <c r="G1466" s="2" t="n"/>
      <c r="H1466" s="3" t="inlineStr">
        <is>
          <t>entity: Fastned Beheer B.V.; jurisdiction: NL</t>
        </is>
      </c>
      <c r="I1466" s="2" t="inlineStr">
        <is>
          <t>S3</t>
        </is>
      </c>
      <c r="J1466" s="2" t="n">
        <v>208</v>
      </c>
      <c r="K1466" s="2" t="inlineStr">
        <is>
          <t>Fastned Beheer B.V. 20 — — — — — — — 20</t>
        </is>
      </c>
      <c r="L1466" s="2" t="inlineStr">
        <is>
          <t>pend</t>
        </is>
      </c>
      <c r="M1466" s="2" t="n"/>
      <c r="N1466" s="2" t="n"/>
      <c r="O1466" s="3" t="inlineStr">
        <is>
          <t>https://vanillabonds.com/dossier-data/pdf/fastned/fastned-2025-annual-report.pdf#page=208</t>
        </is>
      </c>
    </row>
    <row r="1467">
      <c r="A1467" s="2" t="inlineStr">
        <is>
          <t>F1466</t>
        </is>
      </c>
      <c r="B1467" s="2" t="inlineStr">
        <is>
          <t>governance</t>
        </is>
      </c>
      <c r="C1467" s="2" t="inlineStr">
        <is>
          <t>group_entity</t>
        </is>
      </c>
      <c r="D1467" s="3" t="inlineStr">
        <is>
          <t>Group entity: entity; jurisdiction; revenue; ebitda; assets; debt; guarantor (yes / no)</t>
        </is>
      </c>
      <c r="E1467" s="2" t="n"/>
      <c r="F1467" s="2" t="n"/>
      <c r="G1467" s="2" t="n"/>
      <c r="H1467" s="3" t="inlineStr">
        <is>
          <t>entity: Fastned France SAS; jurisdiction: FR</t>
        </is>
      </c>
      <c r="I1467" s="2" t="inlineStr">
        <is>
          <t>S3</t>
        </is>
      </c>
      <c r="J1467" s="2" t="n">
        <v>208</v>
      </c>
      <c r="K1467" s="3" t="inlineStr">
        <is>
          <t>Fastned France SAS 1,822 12,000 — — (7,173) — — — 6,649</t>
        </is>
      </c>
      <c r="L1467" s="2" t="inlineStr">
        <is>
          <t>pend</t>
        </is>
      </c>
      <c r="M1467" s="2" t="n"/>
      <c r="N1467" s="2" t="n"/>
      <c r="O1467" s="3" t="inlineStr">
        <is>
          <t>https://vanillabonds.com/dossier-data/pdf/fastned/fastned-2025-annual-report.pdf#page=208</t>
        </is>
      </c>
    </row>
    <row r="1468">
      <c r="A1468" s="2" t="inlineStr">
        <is>
          <t>F1467</t>
        </is>
      </c>
      <c r="B1468" s="2" t="inlineStr">
        <is>
          <t>governance</t>
        </is>
      </c>
      <c r="C1468" s="2" t="inlineStr">
        <is>
          <t>group_entity</t>
        </is>
      </c>
      <c r="D1468" s="3" t="inlineStr">
        <is>
          <t>Group entity: entity; jurisdiction; revenue; ebitda; assets; debt; guarantor (yes / no)</t>
        </is>
      </c>
      <c r="E1468" s="2" t="n"/>
      <c r="F1468" s="2" t="n"/>
      <c r="G1468" s="2" t="n"/>
      <c r="H1468" s="3" t="inlineStr">
        <is>
          <t>entity: Fastned Stations Switzerland AG (formerly Fastned Switzerland AG); jurisdiction: CH</t>
        </is>
      </c>
      <c r="I1468" s="2" t="inlineStr">
        <is>
          <t>S3</t>
        </is>
      </c>
      <c r="J1468" s="2" t="n">
        <v>208</v>
      </c>
      <c r="K1468" s="3" t="inlineStr">
        <is>
          <t>Fastned Stations Switzerland AG (formerly known as Fastned Switzerland AG) 227 2,795 — — (2,518) (106) — — 398</t>
        </is>
      </c>
      <c r="L1468" s="2" t="inlineStr">
        <is>
          <t>pend</t>
        </is>
      </c>
      <c r="M1468" s="2" t="n"/>
      <c r="N1468" s="2" t="n"/>
      <c r="O1468" s="3" t="inlineStr">
        <is>
          <t>https://vanillabonds.com/dossier-data/pdf/fastned/fastned-2025-annual-report.pdf#page=208</t>
        </is>
      </c>
    </row>
    <row r="1469">
      <c r="A1469" s="2" t="inlineStr">
        <is>
          <t>F1468</t>
        </is>
      </c>
      <c r="B1469" s="2" t="inlineStr">
        <is>
          <t>governance</t>
        </is>
      </c>
      <c r="C1469" s="2" t="inlineStr">
        <is>
          <t>group_entity</t>
        </is>
      </c>
      <c r="D1469" s="3" t="inlineStr">
        <is>
          <t>Group entity: entity; jurisdiction; revenue; ebitda; assets; debt; guarantor (yes / no)</t>
        </is>
      </c>
      <c r="E1469" s="2" t="n"/>
      <c r="F1469" s="2" t="n"/>
      <c r="G1469" s="2" t="n"/>
      <c r="H1469" s="3" t="inlineStr">
        <is>
          <t>entity: Fastned Collections B.V. (formerly Fastned Products B.V.); jurisdiction: NL</t>
        </is>
      </c>
      <c r="I1469" s="2" t="inlineStr">
        <is>
          <t>S3</t>
        </is>
      </c>
      <c r="J1469" s="2" t="n">
        <v>208</v>
      </c>
      <c r="K1469" s="3" t="inlineStr">
        <is>
          <t>Fastned Collections B.V. (formerly known as Fastned Products B.V.) — — — — — — — — —</t>
        </is>
      </c>
      <c r="L1469" s="2" t="inlineStr">
        <is>
          <t>pend</t>
        </is>
      </c>
      <c r="M1469" s="2" t="n"/>
      <c r="N1469" s="2" t="n"/>
      <c r="O1469" s="3" t="inlineStr">
        <is>
          <t>https://vanillabonds.com/dossier-data/pdf/fastned/fastned-2025-annual-report.pdf#page=208</t>
        </is>
      </c>
    </row>
    <row r="1470">
      <c r="A1470" s="2" t="inlineStr">
        <is>
          <t>F1469</t>
        </is>
      </c>
      <c r="B1470" s="2" t="inlineStr">
        <is>
          <t>governance</t>
        </is>
      </c>
      <c r="C1470" s="2" t="inlineStr">
        <is>
          <t>group_entity</t>
        </is>
      </c>
      <c r="D1470" s="3" t="inlineStr">
        <is>
          <t>Group entity: entity; jurisdiction; revenue; ebitda; assets; debt; guarantor (yes / no)</t>
        </is>
      </c>
      <c r="E1470" s="2" t="n"/>
      <c r="F1470" s="2" t="n"/>
      <c r="G1470" s="2" t="n"/>
      <c r="H1470" s="3" t="inlineStr">
        <is>
          <t>entity: The Fast Charging Network B.V.; jurisdiction: NL</t>
        </is>
      </c>
      <c r="I1470" s="2" t="inlineStr">
        <is>
          <t>S3</t>
        </is>
      </c>
      <c r="J1470" s="2" t="n">
        <v>208</v>
      </c>
      <c r="K1470" s="3" t="inlineStr">
        <is>
          <t>The Fast Charging Network B.V. 1,565 — — — 786 — — — 2,351</t>
        </is>
      </c>
      <c r="L1470" s="2" t="inlineStr">
        <is>
          <t>pend</t>
        </is>
      </c>
      <c r="M1470" s="2" t="n"/>
      <c r="N1470" s="2" t="n"/>
      <c r="O1470" s="3" t="inlineStr">
        <is>
          <t>https://vanillabonds.com/dossier-data/pdf/fastned/fastned-2025-annual-report.pdf#page=208</t>
        </is>
      </c>
    </row>
    <row r="1471">
      <c r="A1471" s="2" t="inlineStr">
        <is>
          <t>F1470</t>
        </is>
      </c>
      <c r="B1471" s="2" t="inlineStr">
        <is>
          <t>governance</t>
        </is>
      </c>
      <c r="C1471" s="2" t="inlineStr">
        <is>
          <t>group_entity</t>
        </is>
      </c>
      <c r="D1471" s="3" t="inlineStr">
        <is>
          <t>Group entity: entity; jurisdiction; revenue; ebitda; assets; debt; guarantor (yes / no)</t>
        </is>
      </c>
      <c r="E1471" s="2" t="n"/>
      <c r="F1471" s="2" t="n"/>
      <c r="G1471" s="2" t="n"/>
      <c r="H1471" s="3" t="inlineStr">
        <is>
          <t>entity: Fastned Terra 2 B.V. (removed in the 2025 restructuring); jurisdiction: NL</t>
        </is>
      </c>
      <c r="I1471" s="2" t="inlineStr">
        <is>
          <t>S3</t>
        </is>
      </c>
      <c r="J1471" s="2" t="n">
        <v>208</v>
      </c>
      <c r="K1471" s="3" t="inlineStr">
        <is>
          <t>Fastned Terra 2 B.V. (Subsidiary) 78 — — — — (78) — — —</t>
        </is>
      </c>
      <c r="L1471" s="2" t="inlineStr">
        <is>
          <t>pend</t>
        </is>
      </c>
      <c r="M1471" s="2" t="n"/>
      <c r="N1471" s="2" t="n"/>
      <c r="O1471" s="3" t="inlineStr">
        <is>
          <t>https://vanillabonds.com/dossier-data/pdf/fastned/fastned-2025-annual-report.pdf#page=208</t>
        </is>
      </c>
    </row>
    <row r="1472">
      <c r="A1472" s="2" t="inlineStr">
        <is>
          <t>F1471</t>
        </is>
      </c>
      <c r="B1472" s="2" t="inlineStr">
        <is>
          <t>governance</t>
        </is>
      </c>
      <c r="C1472" s="2" t="inlineStr">
        <is>
          <t>group_entity</t>
        </is>
      </c>
      <c r="D1472" s="3" t="inlineStr">
        <is>
          <t>Group entity: entity; jurisdiction; revenue; ebitda; assets; debt; guarantor (yes / no)</t>
        </is>
      </c>
      <c r="E1472" s="2" t="n"/>
      <c r="F1472" s="2" t="n"/>
      <c r="G1472" s="2" t="n"/>
      <c r="H1472" s="3" t="inlineStr">
        <is>
          <t>entity: Fastned Italia SRL; jurisdiction: IT</t>
        </is>
      </c>
      <c r="I1472" s="2" t="inlineStr">
        <is>
          <t>S3</t>
        </is>
      </c>
      <c r="J1472" s="2" t="n">
        <v>208</v>
      </c>
      <c r="K1472" s="3" t="inlineStr">
        <is>
          <t>Fastned Italia SRL 190 1,800 — — (1,293) — — — 697</t>
        </is>
      </c>
      <c r="L1472" s="2" t="inlineStr">
        <is>
          <t>pend</t>
        </is>
      </c>
      <c r="M1472" s="2" t="n"/>
      <c r="N1472" s="2" t="n"/>
      <c r="O1472" s="3" t="inlineStr">
        <is>
          <t>https://vanillabonds.com/dossier-data/pdf/fastned/fastned-2025-annual-report.pdf#page=208</t>
        </is>
      </c>
    </row>
    <row r="1473">
      <c r="A1473" s="2" t="inlineStr">
        <is>
          <t>F1472</t>
        </is>
      </c>
      <c r="B1473" s="2" t="inlineStr">
        <is>
          <t>governance</t>
        </is>
      </c>
      <c r="C1473" s="2" t="inlineStr">
        <is>
          <t>group_entity</t>
        </is>
      </c>
      <c r="D1473" s="3" t="inlineStr">
        <is>
          <t>Group entity: entity; jurisdiction; revenue; ebitda; assets; debt; guarantor (yes / no)</t>
        </is>
      </c>
      <c r="E1473" s="2" t="n"/>
      <c r="F1473" s="2" t="n"/>
      <c r="G1473" s="2" t="n"/>
      <c r="H1473" s="3" t="inlineStr">
        <is>
          <t>entity: Fastned España S.L.; jurisdiction: ES</t>
        </is>
      </c>
      <c r="I1473" s="2" t="inlineStr">
        <is>
          <t>S3</t>
        </is>
      </c>
      <c r="J1473" s="2" t="n">
        <v>208</v>
      </c>
      <c r="K1473" s="3" t="inlineStr">
        <is>
          <t>Fastned España S.L. 267 3,000 — — (2,258) — — — 1,009</t>
        </is>
      </c>
      <c r="L1473" s="2" t="inlineStr">
        <is>
          <t>pend</t>
        </is>
      </c>
      <c r="M1473" s="2" t="n"/>
      <c r="N1473" s="2" t="n"/>
      <c r="O1473" s="3" t="inlineStr">
        <is>
          <t>https://vanillabonds.com/dossier-data/pdf/fastned/fastned-2025-annual-report.pdf#page=208</t>
        </is>
      </c>
    </row>
    <row r="1474">
      <c r="A1474" s="2" t="inlineStr">
        <is>
          <t>F1473</t>
        </is>
      </c>
      <c r="B1474" s="2" t="inlineStr">
        <is>
          <t>governance</t>
        </is>
      </c>
      <c r="C1474" s="2" t="inlineStr">
        <is>
          <t>group_entity</t>
        </is>
      </c>
      <c r="D1474" s="3" t="inlineStr">
        <is>
          <t>Group entity: entity; jurisdiction; revenue; ebitda; assets; debt; guarantor (yes / no)</t>
        </is>
      </c>
      <c r="E1474" s="2" t="n"/>
      <c r="F1474" s="2" t="n"/>
      <c r="G1474" s="2" t="n"/>
      <c r="H1474" s="3" t="inlineStr">
        <is>
          <t>entity: Fastned Denmark ApS; jurisdiction: DK</t>
        </is>
      </c>
      <c r="I1474" s="2" t="inlineStr">
        <is>
          <t>S3</t>
        </is>
      </c>
      <c r="J1474" s="2" t="n">
        <v>208</v>
      </c>
      <c r="K1474" s="3" t="inlineStr">
        <is>
          <t>Fastned Denmark ApS 51 1,606 — — (1,448) — — — 209</t>
        </is>
      </c>
      <c r="L1474" s="2" t="inlineStr">
        <is>
          <t>pend</t>
        </is>
      </c>
      <c r="M1474" s="2" t="n"/>
      <c r="N1474" s="2" t="n"/>
      <c r="O1474" s="3" t="inlineStr">
        <is>
          <t>https://vanillabonds.com/dossier-data/pdf/fastned/fastned-2025-annual-report.pdf#page=208</t>
        </is>
      </c>
    </row>
    <row r="1475">
      <c r="A1475" s="2" t="inlineStr">
        <is>
          <t>F1474</t>
        </is>
      </c>
      <c r="B1475" s="2" t="inlineStr">
        <is>
          <t>governance</t>
        </is>
      </c>
      <c r="C1475" s="2" t="inlineStr">
        <is>
          <t>group_entity</t>
        </is>
      </c>
      <c r="D1475" s="3" t="inlineStr">
        <is>
          <t>Group entity: entity; jurisdiction; revenue; ebitda; assets; debt; guarantor (yes / no)</t>
        </is>
      </c>
      <c r="E1475" s="2" t="n"/>
      <c r="F1475" s="2" t="n"/>
      <c r="G1475" s="2" t="n"/>
      <c r="H1475" s="3" t="inlineStr">
        <is>
          <t>entity: Fastned Austria GmbH; jurisdiction: AT</t>
        </is>
      </c>
      <c r="I1475" s="2" t="inlineStr">
        <is>
          <t>S3</t>
        </is>
      </c>
      <c r="J1475" s="2" t="n">
        <v>208</v>
      </c>
      <c r="K1475" s="3" t="inlineStr">
        <is>
          <t>Fastned Austria GmbH 26 300 — — (319) — — — 7</t>
        </is>
      </c>
      <c r="L1475" s="2" t="inlineStr">
        <is>
          <t>pend</t>
        </is>
      </c>
      <c r="M1475" s="2" t="n"/>
      <c r="N1475" s="2" t="n"/>
      <c r="O1475" s="3" t="inlineStr">
        <is>
          <t>https://vanillabonds.com/dossier-data/pdf/fastned/fastned-2025-annual-report.pdf#page=208</t>
        </is>
      </c>
    </row>
    <row r="1476">
      <c r="A1476" s="2" t="inlineStr">
        <is>
          <t>F1475</t>
        </is>
      </c>
      <c r="B1476" s="2" t="inlineStr">
        <is>
          <t>governance</t>
        </is>
      </c>
      <c r="C1476" s="2" t="inlineStr">
        <is>
          <t>group_entity</t>
        </is>
      </c>
      <c r="D1476" s="3" t="inlineStr">
        <is>
          <t>Group entity: entity; jurisdiction; revenue; ebitda; assets; debt; guarantor (yes / no)</t>
        </is>
      </c>
      <c r="E1476" s="2" t="n"/>
      <c r="F1476" s="2" t="n"/>
      <c r="G1476" s="2" t="n"/>
      <c r="H1476" s="2" t="inlineStr">
        <is>
          <t>entity: Fastned Belgium Operations B.V</t>
        </is>
      </c>
      <c r="I1476" s="2" t="inlineStr">
        <is>
          <t>S3</t>
        </is>
      </c>
      <c r="J1476" s="2" t="n">
        <v>208</v>
      </c>
      <c r="K1476" s="3" t="inlineStr">
        <is>
          <t>Fastned Belgium Operations B.V — — — — (159) 5 — 154 —</t>
        </is>
      </c>
      <c r="L1476" s="2" t="inlineStr">
        <is>
          <t>pend</t>
        </is>
      </c>
      <c r="M1476" s="2" t="n"/>
      <c r="N1476" s="2" t="n"/>
      <c r="O1476" s="3" t="inlineStr">
        <is>
          <t>https://vanillabonds.com/dossier-data/pdf/fastned/fastned-2025-annual-report.pdf#page=208</t>
        </is>
      </c>
    </row>
    <row r="1477">
      <c r="A1477" s="2" t="inlineStr">
        <is>
          <t>F1476</t>
        </is>
      </c>
      <c r="B1477" s="2" t="inlineStr">
        <is>
          <t>governance</t>
        </is>
      </c>
      <c r="C1477" s="2" t="inlineStr">
        <is>
          <t>group_entity</t>
        </is>
      </c>
      <c r="D1477" s="3" t="inlineStr">
        <is>
          <t>Group entity: entity; jurisdiction; revenue; ebitda; assets; debt; guarantor (yes / no)</t>
        </is>
      </c>
      <c r="E1477" s="2" t="n"/>
      <c r="F1477" s="2" t="n"/>
      <c r="G1477" s="2" t="n"/>
      <c r="H1477" s="3" t="inlineStr">
        <is>
          <t>entity: Fastned Switzerland Operations AG; jurisdiction: CH</t>
        </is>
      </c>
      <c r="I1477" s="2" t="inlineStr">
        <is>
          <t>S3</t>
        </is>
      </c>
      <c r="J1477" s="2" t="n">
        <v>208</v>
      </c>
      <c r="K1477" s="3" t="inlineStr">
        <is>
          <t>Fastned Switzerland Operations AG — — — — (5) 106 — — 101</t>
        </is>
      </c>
      <c r="L1477" s="2" t="inlineStr">
        <is>
          <t>pend</t>
        </is>
      </c>
      <c r="M1477" s="2" t="n"/>
      <c r="N1477" s="2" t="n"/>
      <c r="O1477" s="3" t="inlineStr">
        <is>
          <t>https://vanillabonds.com/dossier-data/pdf/fastned/fastned-2025-annual-report.pdf#page=208</t>
        </is>
      </c>
    </row>
    <row r="1478">
      <c r="A1478" s="2" t="inlineStr">
        <is>
          <t>F1477</t>
        </is>
      </c>
      <c r="B1478" s="2" t="inlineStr">
        <is>
          <t>governance</t>
        </is>
      </c>
      <c r="C1478" s="2" t="inlineStr">
        <is>
          <t>group_entity</t>
        </is>
      </c>
      <c r="D1478" s="3" t="inlineStr">
        <is>
          <t>Group entity: entity; jurisdiction; revenue; ebitda; assets; debt; guarantor (yes / no)</t>
        </is>
      </c>
      <c r="E1478" s="2" t="n"/>
      <c r="F1478" s="2" t="n"/>
      <c r="G1478" s="2" t="n"/>
      <c r="H1478" s="3" t="inlineStr">
        <is>
          <t>entity: Fastned TICO Holding I B.V.; jurisdiction: NL</t>
        </is>
      </c>
      <c r="I1478" s="2" t="inlineStr">
        <is>
          <t>S3</t>
        </is>
      </c>
      <c r="J1478" s="2" t="n">
        <v>208</v>
      </c>
      <c r="K1478" s="3" t="inlineStr">
        <is>
          <t>Fastned TICO Holding I B.V. — 107 — — (167) — 60 — —</t>
        </is>
      </c>
      <c r="L1478" s="2" t="inlineStr">
        <is>
          <t>pend</t>
        </is>
      </c>
      <c r="M1478" s="2" t="n"/>
      <c r="N1478" s="2" t="n"/>
      <c r="O1478" s="3" t="inlineStr">
        <is>
          <t>https://vanillabonds.com/dossier-data/pdf/fastned/fastned-2025-annual-report.pdf#page=208</t>
        </is>
      </c>
    </row>
    <row r="1479">
      <c r="A1479" s="2" t="inlineStr">
        <is>
          <t>F1478</t>
        </is>
      </c>
      <c r="B1479" s="2" t="inlineStr">
        <is>
          <t>governance</t>
        </is>
      </c>
      <c r="C1479" s="2" t="inlineStr">
        <is>
          <t>group_entity</t>
        </is>
      </c>
      <c r="D1479" s="3" t="inlineStr">
        <is>
          <t>Group entity: entity; jurisdiction; revenue; ebitda; assets; debt; guarantor (yes / no)</t>
        </is>
      </c>
      <c r="E1479" s="2" t="n"/>
      <c r="F1479" s="2" t="n"/>
      <c r="G1479" s="2" t="n"/>
      <c r="H1479" s="3" t="inlineStr">
        <is>
          <t>entity: Fastned Sp. z o.o.; jurisdiction: PL</t>
        </is>
      </c>
      <c r="I1479" s="2" t="inlineStr">
        <is>
          <t>S3</t>
        </is>
      </c>
      <c r="J1479" s="2" t="n">
        <v>208</v>
      </c>
      <c r="K1479" s="2" t="inlineStr">
        <is>
          <t>Fastned Sp. Z o.o. — 1 — — (4) — 3 — —</t>
        </is>
      </c>
      <c r="L1479" s="2" t="inlineStr">
        <is>
          <t>pend</t>
        </is>
      </c>
      <c r="M1479" s="2" t="n"/>
      <c r="N1479" s="2" t="n"/>
      <c r="O1479" s="3" t="inlineStr">
        <is>
          <t>https://vanillabonds.com/dossier-data/pdf/fastned/fastned-2025-annual-report.pdf#page=208</t>
        </is>
      </c>
    </row>
    <row r="1480">
      <c r="A1480" s="2" t="inlineStr">
        <is>
          <t>F1479</t>
        </is>
      </c>
      <c r="B1480" s="2" t="inlineStr">
        <is>
          <t>governance</t>
        </is>
      </c>
      <c r="C1480" s="2" t="inlineStr">
        <is>
          <t>board_member</t>
        </is>
      </c>
      <c r="D1480" s="3" t="inlineStr">
        <is>
          <t>Board member: name; body (management / supervisory); role; since; independent (yes / no); committees</t>
        </is>
      </c>
      <c r="E1480" s="2" t="n"/>
      <c r="F1480" s="2" t="n"/>
      <c r="G1480" s="2" t="n"/>
      <c r="H1480" s="3" t="inlineStr">
        <is>
          <t>name: Michiel Langezaal; body: management; role: Co-Founder and CEO</t>
        </is>
      </c>
      <c r="I1480" s="2" t="inlineStr">
        <is>
          <t>S3</t>
        </is>
      </c>
      <c r="J1480" s="2" t="n">
        <v>7</v>
      </c>
      <c r="K1480" s="2" t="inlineStr">
        <is>
          <t>Michiel Langezaal Co-Founder and CEO</t>
        </is>
      </c>
      <c r="L1480" s="2" t="inlineStr">
        <is>
          <t>pend</t>
        </is>
      </c>
      <c r="M1480" s="2" t="n"/>
      <c r="N1480" s="2" t="n"/>
      <c r="O1480" s="3" t="inlineStr">
        <is>
          <t>https://vanillabonds.com/dossier-data/pdf/fastned/fastned-2025-annual-report.pdf#page=7</t>
        </is>
      </c>
    </row>
    <row r="1481">
      <c r="A1481" s="2" t="inlineStr">
        <is>
          <t>F1480</t>
        </is>
      </c>
      <c r="B1481" s="2" t="inlineStr">
        <is>
          <t>governance</t>
        </is>
      </c>
      <c r="C1481" s="2" t="inlineStr">
        <is>
          <t>board_member</t>
        </is>
      </c>
      <c r="D1481" s="3" t="inlineStr">
        <is>
          <t>Board member: name; body (management / supervisory); role; since; independent (yes / no); committees</t>
        </is>
      </c>
      <c r="E1481" s="2" t="n"/>
      <c r="F1481" s="2" t="n"/>
      <c r="G1481" s="2" t="n"/>
      <c r="H1481" s="3" t="inlineStr">
        <is>
          <t>name: Bart Lubbers; body: supervisory; independent: no; committees: Audit; Remuneration and Nomination</t>
        </is>
      </c>
      <c r="I1481" s="2" t="inlineStr">
        <is>
          <t>S3</t>
        </is>
      </c>
      <c r="J1481" s="2" t="n">
        <v>91</v>
      </c>
      <c r="K1481" s="3" t="inlineStr">
        <is>
          <t>both Bart Lubbers (as further described below) and, for as long as Schroders holds 10% or more of the DRs, Jérôme Janssen are not “independent”</t>
        </is>
      </c>
      <c r="L1481" s="2" t="inlineStr">
        <is>
          <t>pend</t>
        </is>
      </c>
      <c r="M1481" s="2" t="n"/>
      <c r="N1481" s="2" t="n"/>
      <c r="O1481" s="3" t="inlineStr">
        <is>
          <t>https://vanillabonds.com/dossier-data/pdf/fastned/fastned-2025-annual-report.pdf#page=91</t>
        </is>
      </c>
    </row>
    <row r="1482">
      <c r="A1482" s="2" t="inlineStr">
        <is>
          <t>F1481</t>
        </is>
      </c>
      <c r="B1482" s="2" t="inlineStr">
        <is>
          <t>governance</t>
        </is>
      </c>
      <c r="C1482" s="2" t="inlineStr">
        <is>
          <t>board_member</t>
        </is>
      </c>
      <c r="D1482" s="3" t="inlineStr">
        <is>
          <t>Board member: name; body (management / supervisory); role; since; independent (yes / no); committees</t>
        </is>
      </c>
      <c r="E1482" s="2" t="n"/>
      <c r="F1482" s="2" t="n"/>
      <c r="G1482" s="2" t="n"/>
      <c r="H1482" s="3" t="inlineStr">
        <is>
          <t>name: Victor van Dijk; body: management; role: Management Board member (title not stated in these pages; 4,543 options held at 31 Dec 2025)</t>
        </is>
      </c>
      <c r="I1482" s="2" t="inlineStr">
        <is>
          <t>S3</t>
        </is>
      </c>
      <c r="J1482" s="2" t="n">
        <v>96</v>
      </c>
      <c r="K1482" s="3" t="inlineStr">
        <is>
          <t>Additionally, options granted to and held by Victor van Dijk amount to 4,543 options as at 31 December 2025 (2024: 14,105).</t>
        </is>
      </c>
      <c r="L1482" s="2" t="inlineStr">
        <is>
          <t>pend</t>
        </is>
      </c>
      <c r="M1482" s="2" t="n"/>
      <c r="N1482" s="2" t="n"/>
      <c r="O1482" s="3" t="inlineStr">
        <is>
          <t>https://vanillabonds.com/dossier-data/pdf/fastned/fastned-2025-annual-report.pdf#page=96</t>
        </is>
      </c>
    </row>
    <row r="1483">
      <c r="A1483" s="2" t="inlineStr">
        <is>
          <t>F1482</t>
        </is>
      </c>
      <c r="B1483" s="2" t="inlineStr">
        <is>
          <t>governance</t>
        </is>
      </c>
      <c r="C1483" s="2" t="inlineStr">
        <is>
          <t>board_member</t>
        </is>
      </c>
      <c r="D1483" s="3" t="inlineStr">
        <is>
          <t>Board member: name; body (management / supervisory); role; since; independent (yes / no); committees</t>
        </is>
      </c>
      <c r="E1483" s="2" t="n"/>
      <c r="F1483" s="2" t="n"/>
      <c r="G1483" s="2" t="n"/>
      <c r="H1483" s="3" t="inlineStr">
        <is>
          <t>name: Francoise Poggi; body: management; role: Group Chief Operating Officer; since: 2024-11-29</t>
        </is>
      </c>
      <c r="I1483" s="2" t="inlineStr">
        <is>
          <t>S3</t>
        </is>
      </c>
      <c r="J1483" s="2" t="n">
        <v>96</v>
      </c>
      <c r="K1483" s="3" t="inlineStr">
        <is>
          <t>Françoise Poggi was appointed as Group Chief Operating Officer on 29 November 2024.</t>
        </is>
      </c>
      <c r="L1483" s="2" t="inlineStr">
        <is>
          <t>pend</t>
        </is>
      </c>
      <c r="M1483" s="2" t="n"/>
      <c r="N1483" s="2" t="n"/>
      <c r="O1483" s="3" t="inlineStr">
        <is>
          <t>https://vanillabonds.com/dossier-data/pdf/fastned/fastned-2025-annual-report.pdf#page=96</t>
        </is>
      </c>
    </row>
    <row r="1484">
      <c r="A1484" s="2" t="inlineStr">
        <is>
          <t>F1483</t>
        </is>
      </c>
      <c r="B1484" s="2" t="inlineStr">
        <is>
          <t>governance</t>
        </is>
      </c>
      <c r="C1484" s="2" t="inlineStr">
        <is>
          <t>board_member</t>
        </is>
      </c>
      <c r="D1484" s="3" t="inlineStr">
        <is>
          <t>Board member: name; body (management / supervisory); role; since; independent (yes / no); committees</t>
        </is>
      </c>
      <c r="E1484" s="2" t="n"/>
      <c r="F1484" s="2" t="n"/>
      <c r="G1484" s="2" t="n"/>
      <c r="H1484" s="3" t="inlineStr">
        <is>
          <t>name: Liselotte Kooi; body: supervisory; role: Chair (receives the Chair fee of EUR 50,887); independent: yes (one of the two members not named as non-independent); committees: Audit; Remuneration and Nomination</t>
        </is>
      </c>
      <c r="I1484" s="2" t="inlineStr">
        <is>
          <t>S3</t>
        </is>
      </c>
      <c r="J1484" s="2" t="n">
        <v>98</v>
      </c>
      <c r="K1484" s="3" t="inlineStr">
        <is>
          <t>Liselotte Kooi: € 50,887 (2024: € 49,760);</t>
        </is>
      </c>
      <c r="L1484" s="2" t="inlineStr">
        <is>
          <t>pend</t>
        </is>
      </c>
      <c r="M1484" s="2" t="n"/>
      <c r="N1484" s="2" t="n"/>
      <c r="O1484" s="3" t="inlineStr">
        <is>
          <t>https://vanillabonds.com/dossier-data/pdf/fastned/fastned-2025-annual-report.pdf#page=98</t>
        </is>
      </c>
    </row>
    <row r="1485">
      <c r="A1485" s="2" t="inlineStr">
        <is>
          <t>F1484</t>
        </is>
      </c>
      <c r="B1485" s="2" t="inlineStr">
        <is>
          <t>governance</t>
        </is>
      </c>
      <c r="C1485" s="2" t="inlineStr">
        <is>
          <t>board_member</t>
        </is>
      </c>
      <c r="D1485" s="3" t="inlineStr">
        <is>
          <t>Board member: name; body (management / supervisory); role; since; independent (yes / no); committees</t>
        </is>
      </c>
      <c r="E1485" s="2" t="n"/>
      <c r="F1485" s="2" t="n"/>
      <c r="G1485" s="2" t="n"/>
      <c r="H1485" s="3" t="inlineStr">
        <is>
          <t>name: Nancy Kabalt; body: supervisory; independent: yes (one of the two members not named as non-independent); committees: Audit; Remuneration and Nomination</t>
        </is>
      </c>
      <c r="I1485" s="2" t="inlineStr">
        <is>
          <t>S3</t>
        </is>
      </c>
      <c r="J1485" s="2" t="n">
        <v>98</v>
      </c>
      <c r="K1485" s="2" t="inlineStr">
        <is>
          <t>Nancy Kabalt: € 39,561 (2024: € 38,420);</t>
        </is>
      </c>
      <c r="L1485" s="2" t="inlineStr">
        <is>
          <t>pend</t>
        </is>
      </c>
      <c r="M1485" s="2" t="n"/>
      <c r="N1485" s="2" t="n"/>
      <c r="O1485" s="3" t="inlineStr">
        <is>
          <t>https://vanillabonds.com/dossier-data/pdf/fastned/fastned-2025-annual-report.pdf#page=98</t>
        </is>
      </c>
    </row>
    <row r="1486">
      <c r="A1486" s="2" t="inlineStr">
        <is>
          <t>F1485</t>
        </is>
      </c>
      <c r="B1486" s="2" t="inlineStr">
        <is>
          <t>governance</t>
        </is>
      </c>
      <c r="C1486" s="2" t="inlineStr">
        <is>
          <t>board_member</t>
        </is>
      </c>
      <c r="D1486" s="3" t="inlineStr">
        <is>
          <t>Board member: name; body (management / supervisory); role; since; independent (yes / no); committees</t>
        </is>
      </c>
      <c r="E1486" s="2" t="n"/>
      <c r="F1486" s="2" t="n"/>
      <c r="G1486" s="2" t="n"/>
      <c r="H1486" s="3" t="inlineStr">
        <is>
          <t>name: Jerome Janssen; body: supervisory; independent: no (while Schroders holds 10% or more of the DRs); committees: Audit; Remuneration and Nomination; receives only travel expenses up to EUR 7,500</t>
        </is>
      </c>
      <c r="I1486" s="2" t="inlineStr">
        <is>
          <t>S3</t>
        </is>
      </c>
      <c r="J1486" s="2" t="n">
        <v>98</v>
      </c>
      <c r="K1486" s="3" t="inlineStr">
        <is>
          <t>Jérôme Janssen only receives compensation for travel expenses up to a maximum of € 7,500.</t>
        </is>
      </c>
      <c r="L1486" s="2" t="inlineStr">
        <is>
          <t>pend</t>
        </is>
      </c>
      <c r="M1486" s="2" t="n"/>
      <c r="N1486" s="2" t="n"/>
      <c r="O1486" s="3" t="inlineStr">
        <is>
          <t>https://vanillabonds.com/dossier-data/pdf/fastned/fastned-2025-annual-report.pdf#page=98</t>
        </is>
      </c>
    </row>
    <row r="1487">
      <c r="A1487" s="2" t="inlineStr">
        <is>
          <t>F1486</t>
        </is>
      </c>
      <c r="B1487" s="2" t="inlineStr">
        <is>
          <t>governance</t>
        </is>
      </c>
      <c r="C1487" s="2" t="inlineStr">
        <is>
          <t>board_member</t>
        </is>
      </c>
      <c r="D1487" s="3" t="inlineStr">
        <is>
          <t>Board member: name; body (management / supervisory); role; since; independent (yes / no); committees</t>
        </is>
      </c>
      <c r="E1487" s="2" t="n"/>
      <c r="F1487" s="2" t="n"/>
      <c r="G1487" s="2" t="n"/>
      <c r="H1487" s="3" t="inlineStr">
        <is>
          <t>name: Maaike Veen; body: FAST Board (trust office); role: Chair (receives the FAST Chair fee of EUR 17,446)</t>
        </is>
      </c>
      <c r="I1487" s="2" t="inlineStr">
        <is>
          <t>S3</t>
        </is>
      </c>
      <c r="J1487" s="2" t="n">
        <v>98</v>
      </c>
      <c r="K1487" s="2" t="inlineStr">
        <is>
          <t>Maaike Veen: € 17,446 (2024: € 16,950);</t>
        </is>
      </c>
      <c r="L1487" s="2" t="inlineStr">
        <is>
          <t>pend</t>
        </is>
      </c>
      <c r="M1487" s="2" t="n"/>
      <c r="N1487" s="2" t="n"/>
      <c r="O1487" s="3" t="inlineStr">
        <is>
          <t>https://vanillabonds.com/dossier-data/pdf/fastned/fastned-2025-annual-report.pdf#page=98</t>
        </is>
      </c>
    </row>
    <row r="1488">
      <c r="A1488" s="2" t="inlineStr">
        <is>
          <t>F1487</t>
        </is>
      </c>
      <c r="B1488" s="2" t="inlineStr">
        <is>
          <t>governance</t>
        </is>
      </c>
      <c r="C1488" s="2" t="inlineStr">
        <is>
          <t>board_member</t>
        </is>
      </c>
      <c r="D1488" s="3" t="inlineStr">
        <is>
          <t>Board member: name; body (management / supervisory); role; since; independent (yes / no); committees</t>
        </is>
      </c>
      <c r="E1488" s="2" t="n"/>
      <c r="F1488" s="2" t="n"/>
      <c r="G1488" s="2" t="n"/>
      <c r="H1488" s="3" t="inlineStr">
        <is>
          <t>name: Henk Pals; body: FAST Board (trust office)</t>
        </is>
      </c>
      <c r="I1488" s="2" t="inlineStr">
        <is>
          <t>S3</t>
        </is>
      </c>
      <c r="J1488" s="2" t="n">
        <v>98</v>
      </c>
      <c r="K1488" s="2" t="inlineStr">
        <is>
          <t>Henk Pals: € 11,631 (2024: €11,300);</t>
        </is>
      </c>
      <c r="L1488" s="2" t="inlineStr">
        <is>
          <t>pend</t>
        </is>
      </c>
      <c r="M1488" s="2" t="n"/>
      <c r="N1488" s="2" t="n"/>
      <c r="O1488" s="3" t="inlineStr">
        <is>
          <t>https://vanillabonds.com/dossier-data/pdf/fastned/fastned-2025-annual-report.pdf#page=98</t>
        </is>
      </c>
    </row>
    <row r="1489">
      <c r="A1489" s="2" t="inlineStr">
        <is>
          <t>F1488</t>
        </is>
      </c>
      <c r="B1489" s="2" t="inlineStr">
        <is>
          <t>governance</t>
        </is>
      </c>
      <c r="C1489" s="2" t="inlineStr">
        <is>
          <t>board_member</t>
        </is>
      </c>
      <c r="D1489" s="3" t="inlineStr">
        <is>
          <t>Board member: name; body (management / supervisory); role; since; independent (yes / no); committees</t>
        </is>
      </c>
      <c r="E1489" s="2" t="n"/>
      <c r="F1489" s="2" t="n"/>
      <c r="G1489" s="2" t="n"/>
      <c r="H1489" s="3" t="inlineStr">
        <is>
          <t>name: Michiel Weghs; body: FAST Board (trust office)</t>
        </is>
      </c>
      <c r="I1489" s="2" t="inlineStr">
        <is>
          <t>S3</t>
        </is>
      </c>
      <c r="J1489" s="2" t="n">
        <v>98</v>
      </c>
      <c r="K1489" s="2" t="inlineStr">
        <is>
          <t>Michiel Weghs: € 8,723 (2024: €11,300)</t>
        </is>
      </c>
      <c r="L1489" s="2" t="inlineStr">
        <is>
          <t>pend</t>
        </is>
      </c>
      <c r="M1489" s="2" t="n"/>
      <c r="N1489" s="2" t="n"/>
      <c r="O1489" s="3" t="inlineStr">
        <is>
          <t>https://vanillabonds.com/dossier-data/pdf/fastned/fastned-2025-annual-report.pdf#page=98</t>
        </is>
      </c>
    </row>
    <row r="1490">
      <c r="A1490" s="2" t="inlineStr">
        <is>
          <t>F1489</t>
        </is>
      </c>
      <c r="B1490" s="2" t="inlineStr">
        <is>
          <t>governance</t>
        </is>
      </c>
      <c r="C1490" s="2" t="inlineStr">
        <is>
          <t>board_member</t>
        </is>
      </c>
      <c r="D1490" s="3" t="inlineStr">
        <is>
          <t>Board member: name; body (management / supervisory); role; since; independent (yes / no); committees</t>
        </is>
      </c>
      <c r="E1490" s="2" t="n"/>
      <c r="F1490" s="2" t="n"/>
      <c r="G1490" s="2" t="n"/>
      <c r="H1490" s="3" t="inlineStr">
        <is>
          <t>name: Niels Korthals Altes; body: FAST Board (trust office); since: 2025 (2024 fee nil)</t>
        </is>
      </c>
      <c r="I1490" s="2" t="inlineStr">
        <is>
          <t>S3</t>
        </is>
      </c>
      <c r="J1490" s="2" t="n">
        <v>98</v>
      </c>
      <c r="K1490" s="3" t="inlineStr">
        <is>
          <t>Niels Korthals Altes: € 6,785 (2024: nil) .</t>
        </is>
      </c>
      <c r="L1490" s="2" t="inlineStr">
        <is>
          <t>pend</t>
        </is>
      </c>
      <c r="M1490" s="2" t="n"/>
      <c r="N1490" s="2" t="n"/>
      <c r="O1490" s="3" t="inlineStr">
        <is>
          <t>https://vanillabonds.com/dossier-data/pdf/fastned/fastned-2025-annual-report.pdf#page=98</t>
        </is>
      </c>
    </row>
    <row r="1491">
      <c r="A1491" s="2" t="inlineStr">
        <is>
          <t>F1490</t>
        </is>
      </c>
      <c r="B1491" s="2" t="inlineStr">
        <is>
          <t>governance</t>
        </is>
      </c>
      <c r="C1491" s="2" t="inlineStr">
        <is>
          <t>board_member</t>
        </is>
      </c>
      <c r="D1491" s="3" t="inlineStr">
        <is>
          <t>Board member: name; body (management / supervisory); role; since; independent (yes / no); committees</t>
        </is>
      </c>
      <c r="E1491" s="2" t="n"/>
      <c r="F1491" s="2" t="n"/>
      <c r="G1491" s="2" t="n"/>
      <c r="H1491" s="3" t="inlineStr">
        <is>
          <t>name: Liselotte Kooi; body: supervisory; role: Chair; since: 2023; independent: yes; committees: Audit Committee, Remuneration and Nomination Committee (term ends 2027)</t>
        </is>
      </c>
      <c r="I1491" s="2" t="inlineStr">
        <is>
          <t>S3</t>
        </is>
      </c>
      <c r="J1491" s="2" t="n">
        <v>105</v>
      </c>
      <c r="K1491" s="3" t="inlineStr">
        <is>
          <t>Liselotte Kooi 1978 Chair 2023 2027 Dutch Female</t>
        </is>
      </c>
      <c r="L1491" s="2" t="inlineStr">
        <is>
          <t>pend</t>
        </is>
      </c>
      <c r="M1491" s="2" t="n"/>
      <c r="N1491" s="2" t="n"/>
      <c r="O1491" s="3" t="inlineStr">
        <is>
          <t>https://vanillabonds.com/dossier-data/pdf/fastned/fastned-2025-annual-report.pdf#page=105</t>
        </is>
      </c>
    </row>
    <row r="1492">
      <c r="A1492" s="2" t="inlineStr">
        <is>
          <t>F1491</t>
        </is>
      </c>
      <c r="B1492" s="2" t="inlineStr">
        <is>
          <t>governance</t>
        </is>
      </c>
      <c r="C1492" s="2" t="inlineStr">
        <is>
          <t>board_member</t>
        </is>
      </c>
      <c r="D1492" s="3" t="inlineStr">
        <is>
          <t>Board member: name; body (management / supervisory); role; since; independent (yes / no); committees</t>
        </is>
      </c>
      <c r="E1492" s="2" t="n"/>
      <c r="F1492" s="2" t="n"/>
      <c r="G1492" s="2" t="n"/>
      <c r="H1492" s="3" t="inlineStr">
        <is>
          <t>name: Bart Lubbers; body: supervisory; role: Member (founder, major shareholder); since: 2019; independent: no; committees: Audit Committee, Remuneration and Nomination Committee (term ends 2027)</t>
        </is>
      </c>
      <c r="I1492" s="2" t="inlineStr">
        <is>
          <t>S3</t>
        </is>
      </c>
      <c r="J1492" s="2" t="n">
        <v>105</v>
      </c>
      <c r="K1492" s="3" t="inlineStr">
        <is>
          <t>Bart Lubbers 1965 Member 2019 2027 Dutch Male</t>
        </is>
      </c>
      <c r="L1492" s="2" t="inlineStr">
        <is>
          <t>pend</t>
        </is>
      </c>
      <c r="M1492" s="2" t="n"/>
      <c r="N1492" s="2" t="n"/>
      <c r="O1492" s="3" t="inlineStr">
        <is>
          <t>https://vanillabonds.com/dossier-data/pdf/fastned/fastned-2025-annual-report.pdf#page=105</t>
        </is>
      </c>
    </row>
    <row r="1493">
      <c r="A1493" s="2" t="inlineStr">
        <is>
          <t>F1492</t>
        </is>
      </c>
      <c r="B1493" s="2" t="inlineStr">
        <is>
          <t>governance</t>
        </is>
      </c>
      <c r="C1493" s="2" t="inlineStr">
        <is>
          <t>board_member</t>
        </is>
      </c>
      <c r="D1493" s="3" t="inlineStr">
        <is>
          <t>Board member: name; body (management / supervisory); role; since; independent (yes / no); committees</t>
        </is>
      </c>
      <c r="E1493" s="2" t="n"/>
      <c r="F1493" s="2" t="n"/>
      <c r="G1493" s="2" t="n"/>
      <c r="H1493" s="3" t="inlineStr">
        <is>
          <t>name: Jérôme Janssen; body: supervisory; role: Member (major shareholder, Schroders Capital); since: 2022; independent: no; committees: Audit Committee, Remuneration and Nomination Committee (term ends 2026)</t>
        </is>
      </c>
      <c r="I1493" s="2" t="inlineStr">
        <is>
          <t>S3</t>
        </is>
      </c>
      <c r="J1493" s="2" t="n">
        <v>105</v>
      </c>
      <c r="K1493" s="3" t="inlineStr">
        <is>
          <t>Jérôme Janssen 1979 Member 2022 2026 French Male</t>
        </is>
      </c>
      <c r="L1493" s="2" t="inlineStr">
        <is>
          <t>pend</t>
        </is>
      </c>
      <c r="M1493" s="2" t="n"/>
      <c r="N1493" s="2" t="n"/>
      <c r="O1493" s="3" t="inlineStr">
        <is>
          <t>https://vanillabonds.com/dossier-data/pdf/fastned/fastned-2025-annual-report.pdf#page=105</t>
        </is>
      </c>
    </row>
    <row r="1494">
      <c r="A1494" s="2" t="inlineStr">
        <is>
          <t>F1493</t>
        </is>
      </c>
      <c r="B1494" s="2" t="inlineStr">
        <is>
          <t>governance</t>
        </is>
      </c>
      <c r="C1494" s="2" t="inlineStr">
        <is>
          <t>board_member</t>
        </is>
      </c>
      <c r="D1494" s="3" t="inlineStr">
        <is>
          <t>Board member: name; body (management / supervisory); role; since; independent (yes / no); committees</t>
        </is>
      </c>
      <c r="E1494" s="2" t="n"/>
      <c r="F1494" s="2" t="n"/>
      <c r="G1494" s="2" t="n"/>
      <c r="H1494" s="3" t="inlineStr">
        <is>
          <t>name: Nancy Kabalt; body: supervisory; role: Member; since: 2021; independent: yes; committees: Audit Committee, Remuneration and Nomination Committee (term ends 2029)</t>
        </is>
      </c>
      <c r="I1494" s="2" t="inlineStr">
        <is>
          <t>S3</t>
        </is>
      </c>
      <c r="J1494" s="2" t="n">
        <v>105</v>
      </c>
      <c r="K1494" s="3" t="inlineStr">
        <is>
          <t>Nancy Kabalt 1974 Member 2021 2029 Dutch Female</t>
        </is>
      </c>
      <c r="L1494" s="2" t="inlineStr">
        <is>
          <t>pend</t>
        </is>
      </c>
      <c r="M1494" s="2" t="n"/>
      <c r="N1494" s="2" t="n"/>
      <c r="O1494" s="3" t="inlineStr">
        <is>
          <t>https://vanillabonds.com/dossier-data/pdf/fastned/fastned-2025-annual-report.pdf#page=105</t>
        </is>
      </c>
    </row>
    <row r="1495">
      <c r="A1495" s="2" t="inlineStr">
        <is>
          <t>F1494</t>
        </is>
      </c>
      <c r="B1495" s="2" t="inlineStr">
        <is>
          <t>governance</t>
        </is>
      </c>
      <c r="C1495" s="2" t="inlineStr">
        <is>
          <t>board_member</t>
        </is>
      </c>
      <c r="D1495" s="3" t="inlineStr">
        <is>
          <t>Board member: name; body (management / supervisory); role; since; independent (yes / no); committees</t>
        </is>
      </c>
      <c r="E1495" s="2" t="n"/>
      <c r="F1495" s="2" t="n"/>
      <c r="G1495" s="2" t="n"/>
      <c r="H1495" s="3" t="inlineStr">
        <is>
          <t>name: Michiel Langezaal; body: management; role: Chief Executive Officer; since: 2012</t>
        </is>
      </c>
      <c r="I1495" s="2" t="inlineStr">
        <is>
          <t>S3</t>
        </is>
      </c>
      <c r="J1495" s="2" t="n">
        <v>109</v>
      </c>
      <c r="K1495" s="3" t="inlineStr">
        <is>
          <t>Michiel Langezaal 1981 Chief Executive Officer 2012 Dutch Male</t>
        </is>
      </c>
      <c r="L1495" s="2" t="inlineStr">
        <is>
          <t>pend</t>
        </is>
      </c>
      <c r="M1495" s="2" t="n"/>
      <c r="N1495" s="2" t="n"/>
      <c r="O1495" s="3" t="inlineStr">
        <is>
          <t>https://vanillabonds.com/dossier-data/pdf/fastned/fastned-2025-annual-report.pdf#page=109</t>
        </is>
      </c>
    </row>
    <row r="1496">
      <c r="A1496" s="2" t="inlineStr">
        <is>
          <t>F1495</t>
        </is>
      </c>
      <c r="B1496" s="2" t="inlineStr">
        <is>
          <t>governance</t>
        </is>
      </c>
      <c r="C1496" s="2" t="inlineStr">
        <is>
          <t>board_member</t>
        </is>
      </c>
      <c r="D1496" s="3" t="inlineStr">
        <is>
          <t>Board member: name; body (management / supervisory); role; since; independent (yes / no); committees</t>
        </is>
      </c>
      <c r="E1496" s="2" t="n"/>
      <c r="F1496" s="2" t="n"/>
      <c r="G1496" s="2" t="n"/>
      <c r="H1496" s="3" t="inlineStr">
        <is>
          <t>name: Victor van Dijk; body: management; role: Chief Financial Officer; since: 2019</t>
        </is>
      </c>
      <c r="I1496" s="2" t="inlineStr">
        <is>
          <t>S3</t>
        </is>
      </c>
      <c r="J1496" s="2" t="n">
        <v>109</v>
      </c>
      <c r="K1496" s="3" t="inlineStr">
        <is>
          <t>Victor van Dijk 1979 Chief Financial Officer 2019 Dutch Male</t>
        </is>
      </c>
      <c r="L1496" s="2" t="inlineStr">
        <is>
          <t>pend</t>
        </is>
      </c>
      <c r="M1496" s="2" t="n"/>
      <c r="N1496" s="2" t="n"/>
      <c r="O1496" s="3" t="inlineStr">
        <is>
          <t>https://vanillabonds.com/dossier-data/pdf/fastned/fastned-2025-annual-report.pdf#page=109</t>
        </is>
      </c>
    </row>
    <row r="1497">
      <c r="A1497" s="2" t="inlineStr">
        <is>
          <t>F1496</t>
        </is>
      </c>
      <c r="B1497" s="2" t="inlineStr">
        <is>
          <t>governance</t>
        </is>
      </c>
      <c r="C1497" s="2" t="inlineStr">
        <is>
          <t>board_member</t>
        </is>
      </c>
      <c r="D1497" s="3" t="inlineStr">
        <is>
          <t>Board member: name; body (management / supervisory); role; since; independent (yes / no); committees</t>
        </is>
      </c>
      <c r="E1497" s="2" t="n"/>
      <c r="F1497" s="2" t="n"/>
      <c r="G1497" s="2" t="n"/>
      <c r="H1497" s="3" t="inlineStr">
        <is>
          <t>name: Françoise Poggi; body: management; role: Chief Operating Officer; since: 2024</t>
        </is>
      </c>
      <c r="I1497" s="2" t="inlineStr">
        <is>
          <t>S3</t>
        </is>
      </c>
      <c r="J1497" s="2" t="n">
        <v>109</v>
      </c>
      <c r="K1497" s="3" t="inlineStr">
        <is>
          <t>Françoise Poggi 1973 Chief Operating Officer 2024 French Female</t>
        </is>
      </c>
      <c r="L1497" s="2" t="inlineStr">
        <is>
          <t>pend</t>
        </is>
      </c>
      <c r="M1497" s="2" t="n"/>
      <c r="N1497" s="2" t="n"/>
      <c r="O1497" s="3" t="inlineStr">
        <is>
          <t>https://vanillabonds.com/dossier-data/pdf/fastned/fastned-2025-annual-report.pdf#page=109</t>
        </is>
      </c>
    </row>
    <row r="1498">
      <c r="A1498" s="2" t="inlineStr">
        <is>
          <t>F1497</t>
        </is>
      </c>
      <c r="B1498" s="2" t="inlineStr">
        <is>
          <t>governance</t>
        </is>
      </c>
      <c r="C1498" s="2" t="inlineStr">
        <is>
          <t>board_member</t>
        </is>
      </c>
      <c r="D1498" s="3" t="inlineStr">
        <is>
          <t>Board member: name; body (management / supervisory); role; since; independent (yes / no); committees</t>
        </is>
      </c>
      <c r="E1498" s="2" t="n"/>
      <c r="F1498" s="2" t="n"/>
      <c r="G1498" s="2" t="n"/>
      <c r="H1498" s="3" t="inlineStr">
        <is>
          <t>name: Michiel Langezaal; body: management; role: CEO</t>
        </is>
      </c>
      <c r="I1498" s="2" t="inlineStr">
        <is>
          <t>S3</t>
        </is>
      </c>
      <c r="J1498" s="2" t="n">
        <v>215</v>
      </c>
      <c r="K1498" s="3" t="inlineStr">
        <is>
          <t>Management Board Michiel Langezaal Victor van Dijk Françoise Poggi CEO CFO COO</t>
        </is>
      </c>
      <c r="L1498" s="2" t="inlineStr">
        <is>
          <t>pend</t>
        </is>
      </c>
      <c r="M1498" s="2" t="n"/>
      <c r="N1498" s="2" t="n"/>
      <c r="O1498" s="3" t="inlineStr">
        <is>
          <t>https://vanillabonds.com/dossier-data/pdf/fastned/fastned-2025-annual-report.pdf#page=215</t>
        </is>
      </c>
    </row>
    <row r="1499">
      <c r="A1499" s="2" t="inlineStr">
        <is>
          <t>F1498</t>
        </is>
      </c>
      <c r="B1499" s="2" t="inlineStr">
        <is>
          <t>governance</t>
        </is>
      </c>
      <c r="C1499" s="2" t="inlineStr">
        <is>
          <t>board_member</t>
        </is>
      </c>
      <c r="D1499" s="3" t="inlineStr">
        <is>
          <t>Board member: name; body (management / supervisory); role; since; independent (yes / no); committees</t>
        </is>
      </c>
      <c r="E1499" s="2" t="n"/>
      <c r="F1499" s="2" t="n"/>
      <c r="G1499" s="2" t="n"/>
      <c r="H1499" s="3" t="inlineStr">
        <is>
          <t>name: Victor van Dijk; body: management; role: CFO</t>
        </is>
      </c>
      <c r="I1499" s="2" t="inlineStr">
        <is>
          <t>S3</t>
        </is>
      </c>
      <c r="J1499" s="2" t="n">
        <v>215</v>
      </c>
      <c r="K1499" s="3" t="inlineStr">
        <is>
          <t>Management Board Michiel Langezaal Victor van Dijk Françoise Poggi CEO CFO COO</t>
        </is>
      </c>
      <c r="L1499" s="2" t="inlineStr">
        <is>
          <t>pend</t>
        </is>
      </c>
      <c r="M1499" s="2" t="n"/>
      <c r="N1499" s="2" t="n"/>
      <c r="O1499" s="3" t="inlineStr">
        <is>
          <t>https://vanillabonds.com/dossier-data/pdf/fastned/fastned-2025-annual-report.pdf#page=215</t>
        </is>
      </c>
    </row>
    <row r="1500">
      <c r="A1500" s="2" t="inlineStr">
        <is>
          <t>F1499</t>
        </is>
      </c>
      <c r="B1500" s="2" t="inlineStr">
        <is>
          <t>governance</t>
        </is>
      </c>
      <c r="C1500" s="2" t="inlineStr">
        <is>
          <t>board_member</t>
        </is>
      </c>
      <c r="D1500" s="3" t="inlineStr">
        <is>
          <t>Board member: name; body (management / supervisory); role; since; independent (yes / no); committees</t>
        </is>
      </c>
      <c r="E1500" s="2" t="n"/>
      <c r="F1500" s="2" t="n"/>
      <c r="G1500" s="2" t="n"/>
      <c r="H1500" s="3" t="inlineStr">
        <is>
          <t>name: Françoise Poggi; body: management; role: COO</t>
        </is>
      </c>
      <c r="I1500" s="2" t="inlineStr">
        <is>
          <t>S3</t>
        </is>
      </c>
      <c r="J1500" s="2" t="n">
        <v>215</v>
      </c>
      <c r="K1500" s="3" t="inlineStr">
        <is>
          <t>Management Board Michiel Langezaal Victor van Dijk Françoise Poggi CEO CFO COO</t>
        </is>
      </c>
      <c r="L1500" s="2" t="inlineStr">
        <is>
          <t>pend</t>
        </is>
      </c>
      <c r="M1500" s="2" t="n"/>
      <c r="N1500" s="2" t="n"/>
      <c r="O1500" s="3" t="inlineStr">
        <is>
          <t>https://vanillabonds.com/dossier-data/pdf/fastned/fastned-2025-annual-report.pdf#page=215</t>
        </is>
      </c>
    </row>
    <row r="1501">
      <c r="A1501" s="2" t="inlineStr">
        <is>
          <t>F1500</t>
        </is>
      </c>
      <c r="B1501" s="2" t="inlineStr">
        <is>
          <t>governance</t>
        </is>
      </c>
      <c r="C1501" s="2" t="inlineStr">
        <is>
          <t>board_member</t>
        </is>
      </c>
      <c r="D1501" s="3" t="inlineStr">
        <is>
          <t>Board member: name; body (management / supervisory); role; since; independent (yes / no); committees</t>
        </is>
      </c>
      <c r="E1501" s="2" t="n"/>
      <c r="F1501" s="2" t="n"/>
      <c r="G1501" s="2" t="n"/>
      <c r="H1501" s="2" t="inlineStr">
        <is>
          <t>name: Liselotte Kooi; body: supervisory</t>
        </is>
      </c>
      <c r="I1501" s="2" t="inlineStr">
        <is>
          <t>S3</t>
        </is>
      </c>
      <c r="J1501" s="2" t="n">
        <v>215</v>
      </c>
      <c r="K1501" s="3" t="inlineStr">
        <is>
          <t>Supervisory Board Liselotte Kooi Bart Lubbers Nancy Kabalt Jérôme Janssen</t>
        </is>
      </c>
      <c r="L1501" s="2" t="inlineStr">
        <is>
          <t>pend</t>
        </is>
      </c>
      <c r="M1501" s="2" t="n"/>
      <c r="N1501" s="2" t="n"/>
      <c r="O1501" s="3" t="inlineStr">
        <is>
          <t>https://vanillabonds.com/dossier-data/pdf/fastned/fastned-2025-annual-report.pdf#page=215</t>
        </is>
      </c>
    </row>
    <row r="1502">
      <c r="A1502" s="2" t="inlineStr">
        <is>
          <t>F1501</t>
        </is>
      </c>
      <c r="B1502" s="2" t="inlineStr">
        <is>
          <t>governance</t>
        </is>
      </c>
      <c r="C1502" s="2" t="inlineStr">
        <is>
          <t>board_member</t>
        </is>
      </c>
      <c r="D1502" s="3" t="inlineStr">
        <is>
          <t>Board member: name; body (management / supervisory); role; since; independent (yes / no); committees</t>
        </is>
      </c>
      <c r="E1502" s="2" t="n"/>
      <c r="F1502" s="2" t="n"/>
      <c r="G1502" s="2" t="n"/>
      <c r="H1502" s="2" t="inlineStr">
        <is>
          <t>name: Bart Lubbers; body: supervisory</t>
        </is>
      </c>
      <c r="I1502" s="2" t="inlineStr">
        <is>
          <t>S3</t>
        </is>
      </c>
      <c r="J1502" s="2" t="n">
        <v>215</v>
      </c>
      <c r="K1502" s="3" t="inlineStr">
        <is>
          <t>Supervisory Board Liselotte Kooi Bart Lubbers Nancy Kabalt Jérôme Janssen</t>
        </is>
      </c>
      <c r="L1502" s="2" t="inlineStr">
        <is>
          <t>pend</t>
        </is>
      </c>
      <c r="M1502" s="2" t="n"/>
      <c r="N1502" s="2" t="n"/>
      <c r="O1502" s="3" t="inlineStr">
        <is>
          <t>https://vanillabonds.com/dossier-data/pdf/fastned/fastned-2025-annual-report.pdf#page=215</t>
        </is>
      </c>
    </row>
    <row r="1503">
      <c r="A1503" s="2" t="inlineStr">
        <is>
          <t>F1502</t>
        </is>
      </c>
      <c r="B1503" s="2" t="inlineStr">
        <is>
          <t>governance</t>
        </is>
      </c>
      <c r="C1503" s="2" t="inlineStr">
        <is>
          <t>board_member</t>
        </is>
      </c>
      <c r="D1503" s="3" t="inlineStr">
        <is>
          <t>Board member: name; body (management / supervisory); role; since; independent (yes / no); committees</t>
        </is>
      </c>
      <c r="E1503" s="2" t="n"/>
      <c r="F1503" s="2" t="n"/>
      <c r="G1503" s="2" t="n"/>
      <c r="H1503" s="2" t="inlineStr">
        <is>
          <t>name: Nancy Kabalt; body: supervisory</t>
        </is>
      </c>
      <c r="I1503" s="2" t="inlineStr">
        <is>
          <t>S3</t>
        </is>
      </c>
      <c r="J1503" s="2" t="n">
        <v>215</v>
      </c>
      <c r="K1503" s="3" t="inlineStr">
        <is>
          <t>Supervisory Board Liselotte Kooi Bart Lubbers Nancy Kabalt Jérôme Janssen</t>
        </is>
      </c>
      <c r="L1503" s="2" t="inlineStr">
        <is>
          <t>pend</t>
        </is>
      </c>
      <c r="M1503" s="2" t="n"/>
      <c r="N1503" s="2" t="n"/>
      <c r="O1503" s="3" t="inlineStr">
        <is>
          <t>https://vanillabonds.com/dossier-data/pdf/fastned/fastned-2025-annual-report.pdf#page=215</t>
        </is>
      </c>
    </row>
    <row r="1504">
      <c r="A1504" s="2" t="inlineStr">
        <is>
          <t>F1503</t>
        </is>
      </c>
      <c r="B1504" s="2" t="inlineStr">
        <is>
          <t>governance</t>
        </is>
      </c>
      <c r="C1504" s="2" t="inlineStr">
        <is>
          <t>board_member</t>
        </is>
      </c>
      <c r="D1504" s="3" t="inlineStr">
        <is>
          <t>Board member: name; body (management / supervisory); role; since; independent (yes / no); committees</t>
        </is>
      </c>
      <c r="E1504" s="2" t="n"/>
      <c r="F1504" s="2" t="n"/>
      <c r="G1504" s="2" t="n"/>
      <c r="H1504" s="2" t="inlineStr">
        <is>
          <t>name: Jérôme Janssen; body: supervisory</t>
        </is>
      </c>
      <c r="I1504" s="2" t="inlineStr">
        <is>
          <t>S3</t>
        </is>
      </c>
      <c r="J1504" s="2" t="n">
        <v>215</v>
      </c>
      <c r="K1504" s="3" t="inlineStr">
        <is>
          <t>Supervisory Board Liselotte Kooi Bart Lubbers Nancy Kabalt Jérôme Janssen</t>
        </is>
      </c>
      <c r="L1504" s="2" t="inlineStr">
        <is>
          <t>pend</t>
        </is>
      </c>
      <c r="M1504" s="2" t="n"/>
      <c r="N1504" s="2" t="n"/>
      <c r="O1504" s="3" t="inlineStr">
        <is>
          <t>https://vanillabonds.com/dossier-data/pdf/fastned/fastned-2025-annual-report.pdf#page=215</t>
        </is>
      </c>
    </row>
    <row r="1505">
      <c r="A1505" s="2" t="inlineStr">
        <is>
          <t>F1504</t>
        </is>
      </c>
      <c r="B1505" s="2" t="inlineStr">
        <is>
          <t>governance</t>
        </is>
      </c>
      <c r="C1505" s="2" t="inlineStr">
        <is>
          <t>related_party_flow</t>
        </is>
      </c>
      <c r="D1505" s="3" t="inlineStr">
        <is>
          <t>Related-party flow: counterparty; kind (fee, rent, dividend, buyback, loan); amount; year; terms</t>
        </is>
      </c>
      <c r="E1505" s="2" t="n"/>
      <c r="F1505" s="2" t="n">
        <v>0.065</v>
      </c>
      <c r="G1505" s="2" t="n"/>
      <c r="H1505" s="3" t="inlineStr">
        <is>
          <t>counterparty: Niels Korthals Altes (FAST Board member); kind: fee; amount: 0.065; year: 2025; terms: contracted to support the process to close the green loan facility</t>
        </is>
      </c>
      <c r="I1505" s="2" t="inlineStr">
        <is>
          <t>S3</t>
        </is>
      </c>
      <c r="J1505" s="2" t="n">
        <v>98</v>
      </c>
      <c r="K1505" s="3" t="inlineStr">
        <is>
          <t>In addition, Niels was contracted to support the process to close the green loan facility. Total services provided in 2025 sum up to € 65 thousand.</t>
        </is>
      </c>
      <c r="L1505" s="2" t="inlineStr">
        <is>
          <t>pend</t>
        </is>
      </c>
      <c r="M1505" s="2" t="n"/>
      <c r="N1505" s="2" t="n"/>
      <c r="O1505" s="3" t="inlineStr">
        <is>
          <t>https://vanillabonds.com/dossier-data/pdf/fastned/fastned-2025-annual-report.pdf#page=98</t>
        </is>
      </c>
    </row>
    <row r="1506">
      <c r="A1506" s="2" t="inlineStr">
        <is>
          <t>F1505</t>
        </is>
      </c>
      <c r="B1506" s="2" t="inlineStr">
        <is>
          <t>governance</t>
        </is>
      </c>
      <c r="C1506" s="2" t="inlineStr">
        <is>
          <t>related_party_flow</t>
        </is>
      </c>
      <c r="D1506" s="3" t="inlineStr">
        <is>
          <t>Related-party flow: counterparty; kind (fee, rent, dividend, buyback, loan); amount; year; terms</t>
        </is>
      </c>
      <c r="E1506" s="2" t="n"/>
      <c r="F1506" s="2" t="n"/>
      <c r="G1506" s="2" t="n"/>
      <c r="H1506" s="3" t="inlineStr">
        <is>
          <t>counterparty: Supervisory Board members; kind: benefit in kind; terms: unlimited charging within the Fastned network; year: 2025</t>
        </is>
      </c>
      <c r="I1506" s="2" t="inlineStr">
        <is>
          <t>S3</t>
        </is>
      </c>
      <c r="J1506" s="2" t="n">
        <v>98</v>
      </c>
      <c r="K1506" s="3" t="inlineStr">
        <is>
          <t>In addition, unlimited charging within the Fastned charging network is made available to all Supervisory Board members.</t>
        </is>
      </c>
      <c r="L1506" s="2" t="inlineStr">
        <is>
          <t>pend</t>
        </is>
      </c>
      <c r="M1506" s="2" t="n"/>
      <c r="N1506" s="2" t="n"/>
      <c r="O1506" s="3" t="inlineStr">
        <is>
          <t>https://vanillabonds.com/dossier-data/pdf/fastned/fastned-2025-annual-report.pdf#page=98</t>
        </is>
      </c>
    </row>
    <row r="1507">
      <c r="A1507" s="2" t="inlineStr">
        <is>
          <t>F1506</t>
        </is>
      </c>
      <c r="B1507" s="2" t="inlineStr">
        <is>
          <t>governance</t>
        </is>
      </c>
      <c r="C1507" s="2" t="inlineStr">
        <is>
          <t>related_party_flow</t>
        </is>
      </c>
      <c r="D1507" s="3" t="inlineStr">
        <is>
          <t>Related-party flow: counterparty; kind (fee, rent, dividend, buyback, loan); amount; year; terms</t>
        </is>
      </c>
      <c r="E1507" s="2" t="n"/>
      <c r="F1507" s="2" t="n">
        <v>0.1</v>
      </c>
      <c r="G1507" s="2" t="n"/>
      <c r="H1507" s="3" t="inlineStr">
        <is>
          <t>counterparty: Niels Korthals Altes (FAST Board member since June 2025); kind: fee (advisory services to close the green loan facility); amount: 0.065; year: 2025</t>
        </is>
      </c>
      <c r="I1507" s="2" t="inlineStr">
        <is>
          <t>S3</t>
        </is>
      </c>
      <c r="J1507" s="2" t="n">
        <v>193</v>
      </c>
      <c r="K1507" s="3" t="inlineStr">
        <is>
          <t>In addition, Niels was contracted to support the process to close the green loan facility. Total services provided in 2025 sum up to € 65 thousand.</t>
        </is>
      </c>
      <c r="L1507" s="2" t="inlineStr">
        <is>
          <t>pend</t>
        </is>
      </c>
      <c r="M1507" s="2" t="n"/>
      <c r="N1507" s="2" t="n"/>
      <c r="O1507" s="3" t="inlineStr">
        <is>
          <t>https://vanillabonds.com/dossier-data/pdf/fastned/fastned-2025-annual-report.pdf#page=193</t>
        </is>
      </c>
    </row>
    <row r="1508">
      <c r="A1508" s="2" t="inlineStr">
        <is>
          <t>F1507</t>
        </is>
      </c>
      <c r="B1508" s="2" t="inlineStr">
        <is>
          <t>governance</t>
        </is>
      </c>
      <c r="C1508" s="2" t="inlineStr">
        <is>
          <t>related_party_flow</t>
        </is>
      </c>
      <c r="D1508" s="3" t="inlineStr">
        <is>
          <t>Related-party flow: counterparty; kind (fee, rent, dividend, buyback, loan); amount; year; terms</t>
        </is>
      </c>
      <c r="E1508" s="2" t="n"/>
      <c r="F1508" s="2" t="n"/>
      <c r="G1508" s="2" t="n"/>
      <c r="H1508" s="3" t="inlineStr">
        <is>
          <t>counterparty: family members of key management personnel who are Founders Club members; kind: free charging; amount: 357 kWh (2024: 434 kWh); year: 2025</t>
        </is>
      </c>
      <c r="I1508" s="2" t="inlineStr">
        <is>
          <t>S3</t>
        </is>
      </c>
      <c r="J1508" s="2" t="n">
        <v>194</v>
      </c>
      <c r="K1508" s="3" t="inlineStr">
        <is>
          <t>In 2025, a total of 357 kWh (2024: 434 kWh) were charged for free by these family members.</t>
        </is>
      </c>
      <c r="L1508" s="2" t="inlineStr">
        <is>
          <t>pend</t>
        </is>
      </c>
      <c r="M1508" s="2" t="n"/>
      <c r="N1508" s="2" t="n"/>
      <c r="O1508" s="3" t="inlineStr">
        <is>
          <t>https://vanillabonds.com/dossier-data/pdf/fastned/fastned-2025-annual-report.pdf#page=194</t>
        </is>
      </c>
    </row>
    <row r="1509">
      <c r="A1509" s="2" t="inlineStr">
        <is>
          <t>F1508</t>
        </is>
      </c>
      <c r="B1509" s="2" t="inlineStr">
        <is>
          <t>governance</t>
        </is>
      </c>
      <c r="C1509" s="2" t="inlineStr">
        <is>
          <t>owner_stake</t>
        </is>
      </c>
      <c r="D1509" s="3" t="inlineStr">
        <is>
          <t>Owner's stake as stated: personal guarantee, pledged shares, family charter</t>
        </is>
      </c>
      <c r="E1509" s="2" t="n"/>
      <c r="F1509" s="2" t="n"/>
      <c r="G1509" s="2" t="n"/>
      <c r="H1509" s="3" t="inlineStr">
        <is>
          <t>Wilhelmina-Dok B.V. (Bart Lubbers) holds 36.7% of outstanding certificates of shares at end 2025 (2024: 36.7%).</t>
        </is>
      </c>
      <c r="I1509" s="2" t="inlineStr">
        <is>
          <t>S3</t>
        </is>
      </c>
      <c r="J1509" s="2" t="n">
        <v>149</v>
      </c>
      <c r="K1509" s="3" t="inlineStr">
        <is>
          <t>Wilhelmina-Dok B.V. (Bart Lubbers) 36.7 36.7</t>
        </is>
      </c>
      <c r="L1509" s="2" t="inlineStr">
        <is>
          <t>pend</t>
        </is>
      </c>
      <c r="M1509" s="2" t="n"/>
      <c r="N1509" s="2" t="n"/>
      <c r="O1509" s="3" t="inlineStr">
        <is>
          <t>https://vanillabonds.com/dossier-data/pdf/fastned/fastned-2025-annual-report.pdf#page=149</t>
        </is>
      </c>
    </row>
    <row r="1510">
      <c r="A1510" s="2" t="inlineStr">
        <is>
          <t>F1509</t>
        </is>
      </c>
      <c r="B1510" s="2" t="inlineStr">
        <is>
          <t>governance</t>
        </is>
      </c>
      <c r="C1510" s="2" t="inlineStr">
        <is>
          <t>owner_stake</t>
        </is>
      </c>
      <c r="D1510" s="3" t="inlineStr">
        <is>
          <t>Owner's stake as stated: personal guarantee, pledged shares, family charter</t>
        </is>
      </c>
      <c r="E1510" s="2" t="n"/>
      <c r="F1510" s="2" t="n"/>
      <c r="G1510" s="2" t="n"/>
      <c r="H1510" s="3" t="inlineStr">
        <is>
          <t>Carraig Aonair Holding B.V. (Michiel Langezaal) holds 21.3% of outstanding certificates of shares at end 2025 (2024: 21.3%).</t>
        </is>
      </c>
      <c r="I1510" s="2" t="inlineStr">
        <is>
          <t>S3</t>
        </is>
      </c>
      <c r="J1510" s="2" t="n">
        <v>149</v>
      </c>
      <c r="K1510" s="3" t="inlineStr">
        <is>
          <t>Carraig Aonair Holding B.V. (Michiel Langezaal) 21.3 21.3</t>
        </is>
      </c>
      <c r="L1510" s="2" t="inlineStr">
        <is>
          <t>pend</t>
        </is>
      </c>
      <c r="M1510" s="2" t="n"/>
      <c r="N1510" s="2" t="n"/>
      <c r="O1510" s="3" t="inlineStr">
        <is>
          <t>https://vanillabonds.com/dossier-data/pdf/fastned/fastned-2025-annual-report.pdf#page=149</t>
        </is>
      </c>
    </row>
    <row r="1511">
      <c r="A1511" s="2" t="inlineStr">
        <is>
          <t>F1510</t>
        </is>
      </c>
      <c r="B1511" s="2" t="inlineStr">
        <is>
          <t>governance</t>
        </is>
      </c>
      <c r="C1511" s="2" t="inlineStr">
        <is>
          <t>owner_stake</t>
        </is>
      </c>
      <c r="D1511" s="3" t="inlineStr">
        <is>
          <t>Owner's stake as stated: personal guarantee, pledged shares, family charter</t>
        </is>
      </c>
      <c r="E1511" s="2" t="n"/>
      <c r="F1511" s="2" t="n"/>
      <c r="G1511" s="2" t="n"/>
      <c r="H1511" s="3" t="inlineStr">
        <is>
          <t>Breesaap B.V. holds 5.8% of the shares in Fastned B.V.; Bart Lubbers has a 33% share in Breesaap B.V.</t>
        </is>
      </c>
      <c r="I1511" s="2" t="inlineStr">
        <is>
          <t>S3</t>
        </is>
      </c>
      <c r="J1511" s="2" t="n">
        <v>149</v>
      </c>
      <c r="K1511" s="3" t="inlineStr">
        <is>
          <t>Bart Lubbers has a 33% share in Breesaap B.V.</t>
        </is>
      </c>
      <c r="L1511" s="2" t="inlineStr">
        <is>
          <t>pend</t>
        </is>
      </c>
      <c r="M1511" s="2" t="n"/>
      <c r="N1511" s="2" t="n"/>
      <c r="O1511" s="3" t="inlineStr">
        <is>
          <t>https://vanillabonds.com/dossier-data/pdf/fastned/fastned-2025-annual-report.pdf#page=149</t>
        </is>
      </c>
    </row>
    <row r="1512">
      <c r="A1512" s="2" t="inlineStr">
        <is>
          <t>F1511</t>
        </is>
      </c>
      <c r="B1512" s="2" t="inlineStr">
        <is>
          <t>market</t>
        </is>
      </c>
      <c r="C1512" s="2" t="inlineStr">
        <is>
          <t>market_series</t>
        </is>
      </c>
      <c r="D1512" s="3" t="inlineStr">
        <is>
          <t>Market variable: variable; year; value; unit; source (a distribution adds n; median; spread; p10; p25; p75; p90)</t>
        </is>
      </c>
      <c r="E1512" s="2" t="n"/>
      <c r="F1512" s="2" t="n">
        <v>34.7</v>
      </c>
      <c r="G1512" s="2" t="n"/>
      <c r="H1512" s="3" t="inlineStr">
        <is>
          <t>variable: BEV share of new registrations, Belgium; year: 2025; value: 34.7; unit: %; source: ACEA (report footnote 4)</t>
        </is>
      </c>
      <c r="I1512" s="2" t="inlineStr">
        <is>
          <t>S3</t>
        </is>
      </c>
      <c r="J1512" s="2" t="n">
        <v>34</v>
      </c>
      <c r="K1512" s="2" t="inlineStr">
        <is>
          <t>Belgium 28.5 34.7</t>
        </is>
      </c>
      <c r="L1512" s="2" t="inlineStr">
        <is>
          <t>pend</t>
        </is>
      </c>
      <c r="M1512" s="2" t="n"/>
      <c r="N1512" s="2" t="n"/>
      <c r="O1512" s="3" t="inlineStr">
        <is>
          <t>https://vanillabonds.com/dossier-data/pdf/fastned/fastned-2025-annual-report.pdf#page=34</t>
        </is>
      </c>
    </row>
    <row r="1513">
      <c r="A1513" s="2" t="inlineStr">
        <is>
          <t>F1512</t>
        </is>
      </c>
      <c r="B1513" s="2" t="inlineStr">
        <is>
          <t>market</t>
        </is>
      </c>
      <c r="C1513" s="2" t="inlineStr">
        <is>
          <t>market_series</t>
        </is>
      </c>
      <c r="D1513" s="3" t="inlineStr">
        <is>
          <t>Market variable: variable; year; value; unit; source (a distribution adds n; median; spread; p10; p25; p75; p90)</t>
        </is>
      </c>
      <c r="E1513" s="2" t="n"/>
      <c r="F1513" s="2" t="n">
        <v>28.5</v>
      </c>
      <c r="G1513" s="2" t="n"/>
      <c r="H1513" s="3" t="inlineStr">
        <is>
          <t>variable: BEV share of new registrations, Belgium; year: 2024; value: 28.5; unit: %; source: ACEA (report footnote 4)</t>
        </is>
      </c>
      <c r="I1513" s="2" t="inlineStr">
        <is>
          <t>S3</t>
        </is>
      </c>
      <c r="J1513" s="2" t="n">
        <v>34</v>
      </c>
      <c r="K1513" s="2" t="inlineStr">
        <is>
          <t>Belgium 28.5 34.7</t>
        </is>
      </c>
      <c r="L1513" s="2" t="inlineStr">
        <is>
          <t>pend</t>
        </is>
      </c>
      <c r="M1513" s="2" t="n"/>
      <c r="N1513" s="2" t="n"/>
      <c r="O1513" s="3" t="inlineStr">
        <is>
          <t>https://vanillabonds.com/dossier-data/pdf/fastned/fastned-2025-annual-report.pdf#page=34</t>
        </is>
      </c>
    </row>
    <row r="1514">
      <c r="A1514" s="2" t="inlineStr">
        <is>
          <t>F1513</t>
        </is>
      </c>
      <c r="B1514" s="2" t="inlineStr">
        <is>
          <t>market</t>
        </is>
      </c>
      <c r="C1514" s="2" t="inlineStr">
        <is>
          <t>market_series</t>
        </is>
      </c>
      <c r="D1514" s="3" t="inlineStr">
        <is>
          <t>Market variable: variable; year; value; unit; source (a distribution adds n; median; spread; p10; p25; p75; p90)</t>
        </is>
      </c>
      <c r="E1514" s="2" t="n"/>
      <c r="F1514" s="2" t="n">
        <v>68.5</v>
      </c>
      <c r="G1514" s="2" t="n"/>
      <c r="H1514" s="3" t="inlineStr">
        <is>
          <t>variable: BEV share of new registrations, Denmark; year: 2025; value: 68.5; unit: %; source: ACEA (report footnote 4)</t>
        </is>
      </c>
      <c r="I1514" s="2" t="inlineStr">
        <is>
          <t>S3</t>
        </is>
      </c>
      <c r="J1514" s="2" t="n">
        <v>34</v>
      </c>
      <c r="K1514" s="2" t="inlineStr">
        <is>
          <t>Denmark 51.3 68.5</t>
        </is>
      </c>
      <c r="L1514" s="2" t="inlineStr">
        <is>
          <t>pend</t>
        </is>
      </c>
      <c r="M1514" s="2" t="n"/>
      <c r="N1514" s="2" t="n"/>
      <c r="O1514" s="3" t="inlineStr">
        <is>
          <t>https://vanillabonds.com/dossier-data/pdf/fastned/fastned-2025-annual-report.pdf#page=34</t>
        </is>
      </c>
    </row>
    <row r="1515">
      <c r="A1515" s="2" t="inlineStr">
        <is>
          <t>F1514</t>
        </is>
      </c>
      <c r="B1515" s="2" t="inlineStr">
        <is>
          <t>market</t>
        </is>
      </c>
      <c r="C1515" s="2" t="inlineStr">
        <is>
          <t>market_series</t>
        </is>
      </c>
      <c r="D1515" s="3" t="inlineStr">
        <is>
          <t>Market variable: variable; year; value; unit; source (a distribution adds n; median; spread; p10; p25; p75; p90)</t>
        </is>
      </c>
      <c r="E1515" s="2" t="n"/>
      <c r="F1515" s="2" t="n">
        <v>51.3</v>
      </c>
      <c r="G1515" s="2" t="n"/>
      <c r="H1515" s="3" t="inlineStr">
        <is>
          <t>variable: BEV share of new registrations, Denmark; year: 2024; value: 51.3; unit: %; source: ACEA (report footnote 4)</t>
        </is>
      </c>
      <c r="I1515" s="2" t="inlineStr">
        <is>
          <t>S3</t>
        </is>
      </c>
      <c r="J1515" s="2" t="n">
        <v>34</v>
      </c>
      <c r="K1515" s="2" t="inlineStr">
        <is>
          <t>Denmark 51.3 68.5</t>
        </is>
      </c>
      <c r="L1515" s="2" t="inlineStr">
        <is>
          <t>pend</t>
        </is>
      </c>
      <c r="M1515" s="2" t="n"/>
      <c r="N1515" s="2" t="n"/>
      <c r="O1515" s="3" t="inlineStr">
        <is>
          <t>https://vanillabonds.com/dossier-data/pdf/fastned/fastned-2025-annual-report.pdf#page=34</t>
        </is>
      </c>
    </row>
    <row r="1516">
      <c r="A1516" s="2" t="inlineStr">
        <is>
          <t>F1515</t>
        </is>
      </c>
      <c r="B1516" s="2" t="inlineStr">
        <is>
          <t>market</t>
        </is>
      </c>
      <c r="C1516" s="2" t="inlineStr">
        <is>
          <t>market_series</t>
        </is>
      </c>
      <c r="D1516" s="3" t="inlineStr">
        <is>
          <t>Market variable: variable; year; value; unit; source (a distribution adds n; median; spread; p10; p25; p75; p90)</t>
        </is>
      </c>
      <c r="E1516" s="2" t="n"/>
      <c r="F1516" s="2" t="n">
        <v>20</v>
      </c>
      <c r="G1516" s="2" t="n"/>
      <c r="H1516" s="3" t="inlineStr">
        <is>
          <t>variable: BEV share of new registrations, France; year: 2025; value: 20.0; unit: %; source: ACEA (report footnote 4)</t>
        </is>
      </c>
      <c r="I1516" s="2" t="inlineStr">
        <is>
          <t>S3</t>
        </is>
      </c>
      <c r="J1516" s="2" t="n">
        <v>34</v>
      </c>
      <c r="K1516" s="2" t="inlineStr">
        <is>
          <t>France 16.9 20.0</t>
        </is>
      </c>
      <c r="L1516" s="2" t="inlineStr">
        <is>
          <t>pend</t>
        </is>
      </c>
      <c r="M1516" s="2" t="n"/>
      <c r="N1516" s="2" t="n"/>
      <c r="O1516" s="3" t="inlineStr">
        <is>
          <t>https://vanillabonds.com/dossier-data/pdf/fastned/fastned-2025-annual-report.pdf#page=34</t>
        </is>
      </c>
    </row>
    <row r="1517">
      <c r="A1517" s="2" t="inlineStr">
        <is>
          <t>F1516</t>
        </is>
      </c>
      <c r="B1517" s="2" t="inlineStr">
        <is>
          <t>market</t>
        </is>
      </c>
      <c r="C1517" s="2" t="inlineStr">
        <is>
          <t>market_series</t>
        </is>
      </c>
      <c r="D1517" s="3" t="inlineStr">
        <is>
          <t>Market variable: variable; year; value; unit; source (a distribution adds n; median; spread; p10; p25; p75; p90)</t>
        </is>
      </c>
      <c r="E1517" s="2" t="n"/>
      <c r="F1517" s="2" t="n">
        <v>16.9</v>
      </c>
      <c r="G1517" s="2" t="n"/>
      <c r="H1517" s="3" t="inlineStr">
        <is>
          <t>variable: BEV share of new registrations, France; year: 2024; value: 16.9; unit: %; source: ACEA (report footnote 4)</t>
        </is>
      </c>
      <c r="I1517" s="2" t="inlineStr">
        <is>
          <t>S3</t>
        </is>
      </c>
      <c r="J1517" s="2" t="n">
        <v>34</v>
      </c>
      <c r="K1517" s="2" t="inlineStr">
        <is>
          <t>France 16.9 20.0</t>
        </is>
      </c>
      <c r="L1517" s="2" t="inlineStr">
        <is>
          <t>pend</t>
        </is>
      </c>
      <c r="M1517" s="2" t="n"/>
      <c r="N1517" s="2" t="n"/>
      <c r="O1517" s="3" t="inlineStr">
        <is>
          <t>https://vanillabonds.com/dossier-data/pdf/fastned/fastned-2025-annual-report.pdf#page=34</t>
        </is>
      </c>
    </row>
    <row r="1518">
      <c r="A1518" s="2" t="inlineStr">
        <is>
          <t>F1517</t>
        </is>
      </c>
      <c r="B1518" s="2" t="inlineStr">
        <is>
          <t>market</t>
        </is>
      </c>
      <c r="C1518" s="2" t="inlineStr">
        <is>
          <t>market_series</t>
        </is>
      </c>
      <c r="D1518" s="3" t="inlineStr">
        <is>
          <t>Market variable: variable; year; value; unit; source (a distribution adds n; median; spread; p10; p25; p75; p90)</t>
        </is>
      </c>
      <c r="E1518" s="2" t="n"/>
      <c r="F1518" s="2" t="n">
        <v>19.1</v>
      </c>
      <c r="G1518" s="2" t="n"/>
      <c r="H1518" s="3" t="inlineStr">
        <is>
          <t>variable: BEV share of new registrations, Germany; year: 2025; value: 19.1; unit: %; source: ACEA (report footnote 4)</t>
        </is>
      </c>
      <c r="I1518" s="2" t="inlineStr">
        <is>
          <t>S3</t>
        </is>
      </c>
      <c r="J1518" s="2" t="n">
        <v>34</v>
      </c>
      <c r="K1518" s="2" t="inlineStr">
        <is>
          <t>Germany 13.5 19.1</t>
        </is>
      </c>
      <c r="L1518" s="2" t="inlineStr">
        <is>
          <t>pend</t>
        </is>
      </c>
      <c r="M1518" s="2" t="n"/>
      <c r="N1518" s="2" t="n"/>
      <c r="O1518" s="3" t="inlineStr">
        <is>
          <t>https://vanillabonds.com/dossier-data/pdf/fastned/fastned-2025-annual-report.pdf#page=34</t>
        </is>
      </c>
    </row>
    <row r="1519">
      <c r="A1519" s="2" t="inlineStr">
        <is>
          <t>F1518</t>
        </is>
      </c>
      <c r="B1519" s="2" t="inlineStr">
        <is>
          <t>market</t>
        </is>
      </c>
      <c r="C1519" s="2" t="inlineStr">
        <is>
          <t>market_series</t>
        </is>
      </c>
      <c r="D1519" s="3" t="inlineStr">
        <is>
          <t>Market variable: variable; year; value; unit; source (a distribution adds n; median; spread; p10; p25; p75; p90)</t>
        </is>
      </c>
      <c r="E1519" s="2" t="n"/>
      <c r="F1519" s="2" t="n">
        <v>13.5</v>
      </c>
      <c r="G1519" s="2" t="n"/>
      <c r="H1519" s="3" t="inlineStr">
        <is>
          <t>variable: BEV share of new registrations, Germany; year: 2024; value: 13.5; unit: %; source: ACEA (report footnote 4)</t>
        </is>
      </c>
      <c r="I1519" s="2" t="inlineStr">
        <is>
          <t>S3</t>
        </is>
      </c>
      <c r="J1519" s="2" t="n">
        <v>34</v>
      </c>
      <c r="K1519" s="2" t="inlineStr">
        <is>
          <t>Germany 13.5 19.1</t>
        </is>
      </c>
      <c r="L1519" s="2" t="inlineStr">
        <is>
          <t>pend</t>
        </is>
      </c>
      <c r="M1519" s="2" t="n"/>
      <c r="N1519" s="2" t="n"/>
      <c r="O1519" s="3" t="inlineStr">
        <is>
          <t>https://vanillabonds.com/dossier-data/pdf/fastned/fastned-2025-annual-report.pdf#page=34</t>
        </is>
      </c>
    </row>
    <row r="1520">
      <c r="A1520" s="2" t="inlineStr">
        <is>
          <t>F1519</t>
        </is>
      </c>
      <c r="B1520" s="2" t="inlineStr">
        <is>
          <t>market</t>
        </is>
      </c>
      <c r="C1520" s="2" t="inlineStr">
        <is>
          <t>market_series</t>
        </is>
      </c>
      <c r="D1520" s="3" t="inlineStr">
        <is>
          <t>Market variable: variable; year; value; unit; source (a distribution adds n; median; spread; p10; p25; p75; p90)</t>
        </is>
      </c>
      <c r="E1520" s="2" t="n"/>
      <c r="F1520" s="2" t="n">
        <v>6.2</v>
      </c>
      <c r="G1520" s="2" t="n"/>
      <c r="H1520" s="3" t="inlineStr">
        <is>
          <t>variable: BEV share of new registrations, Italy; year: 2025; value: 6.2; unit: %; source: ACEA (report footnote 4)</t>
        </is>
      </c>
      <c r="I1520" s="2" t="inlineStr">
        <is>
          <t>S3</t>
        </is>
      </c>
      <c r="J1520" s="2" t="n">
        <v>34</v>
      </c>
      <c r="K1520" s="2" t="inlineStr">
        <is>
          <t>Italy 4.2 6.2</t>
        </is>
      </c>
      <c r="L1520" s="2" t="inlineStr">
        <is>
          <t>pend</t>
        </is>
      </c>
      <c r="M1520" s="2" t="n"/>
      <c r="N1520" s="2" t="n"/>
      <c r="O1520" s="3" t="inlineStr">
        <is>
          <t>https://vanillabonds.com/dossier-data/pdf/fastned/fastned-2025-annual-report.pdf#page=34</t>
        </is>
      </c>
    </row>
    <row r="1521">
      <c r="A1521" s="2" t="inlineStr">
        <is>
          <t>F1520</t>
        </is>
      </c>
      <c r="B1521" s="2" t="inlineStr">
        <is>
          <t>market</t>
        </is>
      </c>
      <c r="C1521" s="2" t="inlineStr">
        <is>
          <t>market_series</t>
        </is>
      </c>
      <c r="D1521" s="3" t="inlineStr">
        <is>
          <t>Market variable: variable; year; value; unit; source (a distribution adds n; median; spread; p10; p25; p75; p90)</t>
        </is>
      </c>
      <c r="E1521" s="2" t="n"/>
      <c r="F1521" s="2" t="n">
        <v>4.2</v>
      </c>
      <c r="G1521" s="2" t="n"/>
      <c r="H1521" s="3" t="inlineStr">
        <is>
          <t>variable: BEV share of new registrations, Italy; year: 2024; value: 4.2; unit: %; source: ACEA (report footnote 4)</t>
        </is>
      </c>
      <c r="I1521" s="2" t="inlineStr">
        <is>
          <t>S3</t>
        </is>
      </c>
      <c r="J1521" s="2" t="n">
        <v>34</v>
      </c>
      <c r="K1521" s="2" t="inlineStr">
        <is>
          <t>Italy 4.2 6.2</t>
        </is>
      </c>
      <c r="L1521" s="2" t="inlineStr">
        <is>
          <t>pend</t>
        </is>
      </c>
      <c r="M1521" s="2" t="n"/>
      <c r="N1521" s="2" t="n"/>
      <c r="O1521" s="3" t="inlineStr">
        <is>
          <t>https://vanillabonds.com/dossier-data/pdf/fastned/fastned-2025-annual-report.pdf#page=34</t>
        </is>
      </c>
    </row>
    <row r="1522">
      <c r="A1522" s="2" t="inlineStr">
        <is>
          <t>F1521</t>
        </is>
      </c>
      <c r="B1522" s="2" t="inlineStr">
        <is>
          <t>market</t>
        </is>
      </c>
      <c r="C1522" s="2" t="inlineStr">
        <is>
          <t>market_series</t>
        </is>
      </c>
      <c r="D1522" s="3" t="inlineStr">
        <is>
          <t>Market variable: variable; year; value; unit; source (a distribution adds n; median; spread; p10; p25; p75; p90)</t>
        </is>
      </c>
      <c r="E1522" s="2" t="n"/>
      <c r="F1522" s="2" t="n">
        <v>40.2</v>
      </c>
      <c r="G1522" s="2" t="n"/>
      <c r="H1522" s="3" t="inlineStr">
        <is>
          <t>variable: BEV share of new registrations, The Netherlands; year: 2025; value: 40.2; unit: %; source: ACEA (report footnote 4)</t>
        </is>
      </c>
      <c r="I1522" s="2" t="inlineStr">
        <is>
          <t>S3</t>
        </is>
      </c>
      <c r="J1522" s="2" t="n">
        <v>34</v>
      </c>
      <c r="K1522" s="2" t="inlineStr">
        <is>
          <t>The Netherlands 34.7 40.2</t>
        </is>
      </c>
      <c r="L1522" s="2" t="inlineStr">
        <is>
          <t>pend</t>
        </is>
      </c>
      <c r="M1522" s="2" t="n"/>
      <c r="N1522" s="2" t="n"/>
      <c r="O1522" s="3" t="inlineStr">
        <is>
          <t>https://vanillabonds.com/dossier-data/pdf/fastned/fastned-2025-annual-report.pdf#page=34</t>
        </is>
      </c>
    </row>
    <row r="1523">
      <c r="A1523" s="2" t="inlineStr">
        <is>
          <t>F1522</t>
        </is>
      </c>
      <c r="B1523" s="2" t="inlineStr">
        <is>
          <t>market</t>
        </is>
      </c>
      <c r="C1523" s="2" t="inlineStr">
        <is>
          <t>market_series</t>
        </is>
      </c>
      <c r="D1523" s="3" t="inlineStr">
        <is>
          <t>Market variable: variable; year; value; unit; source (a distribution adds n; median; spread; p10; p25; p75; p90)</t>
        </is>
      </c>
      <c r="E1523" s="2" t="n"/>
      <c r="F1523" s="2" t="n">
        <v>34.7</v>
      </c>
      <c r="G1523" s="2" t="n"/>
      <c r="H1523" s="3" t="inlineStr">
        <is>
          <t>variable: BEV share of new registrations, The Netherlands; year: 2024; value: 34.7; unit: %; source: ACEA (report footnote 4)</t>
        </is>
      </c>
      <c r="I1523" s="2" t="inlineStr">
        <is>
          <t>S3</t>
        </is>
      </c>
      <c r="J1523" s="2" t="n">
        <v>34</v>
      </c>
      <c r="K1523" s="2" t="inlineStr">
        <is>
          <t>The Netherlands 34.7 40.2</t>
        </is>
      </c>
      <c r="L1523" s="2" t="inlineStr">
        <is>
          <t>pend</t>
        </is>
      </c>
      <c r="M1523" s="2" t="n"/>
      <c r="N1523" s="2" t="n"/>
      <c r="O1523" s="3" t="inlineStr">
        <is>
          <t>https://vanillabonds.com/dossier-data/pdf/fastned/fastned-2025-annual-report.pdf#page=34</t>
        </is>
      </c>
    </row>
    <row r="1524">
      <c r="A1524" s="2" t="inlineStr">
        <is>
          <t>F1523</t>
        </is>
      </c>
      <c r="B1524" s="2" t="inlineStr">
        <is>
          <t>market</t>
        </is>
      </c>
      <c r="C1524" s="2" t="inlineStr">
        <is>
          <t>market_series</t>
        </is>
      </c>
      <c r="D1524" s="3" t="inlineStr">
        <is>
          <t>Market variable: variable; year; value; unit; source (a distribution adds n; median; spread; p10; p25; p75; p90)</t>
        </is>
      </c>
      <c r="E1524" s="2" t="n"/>
      <c r="F1524" s="2" t="n">
        <v>8.800000000000001</v>
      </c>
      <c r="G1524" s="2" t="n"/>
      <c r="H1524" s="3" t="inlineStr">
        <is>
          <t>variable: BEV share of new registrations, Spain; year: 2025; value: 8.8; unit: %; source: ACEA (report footnote 4)</t>
        </is>
      </c>
      <c r="I1524" s="2" t="inlineStr">
        <is>
          <t>S3</t>
        </is>
      </c>
      <c r="J1524" s="2" t="n">
        <v>34</v>
      </c>
      <c r="K1524" s="2" t="inlineStr">
        <is>
          <t>Spain 5.6 8.8</t>
        </is>
      </c>
      <c r="L1524" s="2" t="inlineStr">
        <is>
          <t>pend</t>
        </is>
      </c>
      <c r="M1524" s="2" t="n"/>
      <c r="N1524" s="2" t="n"/>
      <c r="O1524" s="3" t="inlineStr">
        <is>
          <t>https://vanillabonds.com/dossier-data/pdf/fastned/fastned-2025-annual-report.pdf#page=34</t>
        </is>
      </c>
    </row>
    <row r="1525">
      <c r="A1525" s="2" t="inlineStr">
        <is>
          <t>F1524</t>
        </is>
      </c>
      <c r="B1525" s="2" t="inlineStr">
        <is>
          <t>market</t>
        </is>
      </c>
      <c r="C1525" s="2" t="inlineStr">
        <is>
          <t>market_series</t>
        </is>
      </c>
      <c r="D1525" s="3" t="inlineStr">
        <is>
          <t>Market variable: variable; year; value; unit; source (a distribution adds n; median; spread; p10; p25; p75; p90)</t>
        </is>
      </c>
      <c r="E1525" s="2" t="n"/>
      <c r="F1525" s="2" t="n">
        <v>5.6</v>
      </c>
      <c r="G1525" s="2" t="n"/>
      <c r="H1525" s="3" t="inlineStr">
        <is>
          <t>variable: BEV share of new registrations, Spain; year: 2024; value: 5.6; unit: %; source: ACEA (report footnote 4)</t>
        </is>
      </c>
      <c r="I1525" s="2" t="inlineStr">
        <is>
          <t>S3</t>
        </is>
      </c>
      <c r="J1525" s="2" t="n">
        <v>34</v>
      </c>
      <c r="K1525" s="2" t="inlineStr">
        <is>
          <t>Spain 5.6 8.8</t>
        </is>
      </c>
      <c r="L1525" s="2" t="inlineStr">
        <is>
          <t>pend</t>
        </is>
      </c>
      <c r="M1525" s="2" t="n"/>
      <c r="N1525" s="2" t="n"/>
      <c r="O1525" s="3" t="inlineStr">
        <is>
          <t>https://vanillabonds.com/dossier-data/pdf/fastned/fastned-2025-annual-report.pdf#page=34</t>
        </is>
      </c>
    </row>
    <row r="1526">
      <c r="A1526" s="2" t="inlineStr">
        <is>
          <t>F1525</t>
        </is>
      </c>
      <c r="B1526" s="2" t="inlineStr">
        <is>
          <t>market</t>
        </is>
      </c>
      <c r="C1526" s="2" t="inlineStr">
        <is>
          <t>market_series</t>
        </is>
      </c>
      <c r="D1526" s="3" t="inlineStr">
        <is>
          <t>Market variable: variable; year; value; unit; source (a distribution adds n; median; spread; p10; p25; p75; p90)</t>
        </is>
      </c>
      <c r="E1526" s="2" t="n"/>
      <c r="F1526" s="2" t="n">
        <v>22.8</v>
      </c>
      <c r="G1526" s="2" t="n"/>
      <c r="H1526" s="3" t="inlineStr">
        <is>
          <t>variable: BEV share of new registrations, Switzerland; year: 2025; value: 22.8; unit: %; source: ACEA (report footnote 4)</t>
        </is>
      </c>
      <c r="I1526" s="2" t="inlineStr">
        <is>
          <t>S3</t>
        </is>
      </c>
      <c r="J1526" s="2" t="n">
        <v>34</v>
      </c>
      <c r="K1526" s="2" t="inlineStr">
        <is>
          <t>Switzerland 19.3 22.8</t>
        </is>
      </c>
      <c r="L1526" s="2" t="inlineStr">
        <is>
          <t>pend</t>
        </is>
      </c>
      <c r="M1526" s="2" t="n"/>
      <c r="N1526" s="2" t="n"/>
      <c r="O1526" s="3" t="inlineStr">
        <is>
          <t>https://vanillabonds.com/dossier-data/pdf/fastned/fastned-2025-annual-report.pdf#page=34</t>
        </is>
      </c>
    </row>
    <row r="1527">
      <c r="A1527" s="2" t="inlineStr">
        <is>
          <t>F1526</t>
        </is>
      </c>
      <c r="B1527" s="2" t="inlineStr">
        <is>
          <t>market</t>
        </is>
      </c>
      <c r="C1527" s="2" t="inlineStr">
        <is>
          <t>market_series</t>
        </is>
      </c>
      <c r="D1527" s="3" t="inlineStr">
        <is>
          <t>Market variable: variable; year; value; unit; source (a distribution adds n; median; spread; p10; p25; p75; p90)</t>
        </is>
      </c>
      <c r="E1527" s="2" t="n"/>
      <c r="F1527" s="2" t="n">
        <v>19.3</v>
      </c>
      <c r="G1527" s="2" t="n"/>
      <c r="H1527" s="3" t="inlineStr">
        <is>
          <t>variable: BEV share of new registrations, Switzerland; year: 2024; value: 19.3; unit: %; source: ACEA (report footnote 4)</t>
        </is>
      </c>
      <c r="I1527" s="2" t="inlineStr">
        <is>
          <t>S3</t>
        </is>
      </c>
      <c r="J1527" s="2" t="n">
        <v>34</v>
      </c>
      <c r="K1527" s="2" t="inlineStr">
        <is>
          <t>Switzerland 19.3 22.8</t>
        </is>
      </c>
      <c r="L1527" s="2" t="inlineStr">
        <is>
          <t>pend</t>
        </is>
      </c>
      <c r="M1527" s="2" t="n"/>
      <c r="N1527" s="2" t="n"/>
      <c r="O1527" s="3" t="inlineStr">
        <is>
          <t>https://vanillabonds.com/dossier-data/pdf/fastned/fastned-2025-annual-report.pdf#page=34</t>
        </is>
      </c>
    </row>
    <row r="1528">
      <c r="A1528" s="2" t="inlineStr">
        <is>
          <t>F1527</t>
        </is>
      </c>
      <c r="B1528" s="2" t="inlineStr">
        <is>
          <t>market</t>
        </is>
      </c>
      <c r="C1528" s="2" t="inlineStr">
        <is>
          <t>market_series</t>
        </is>
      </c>
      <c r="D1528" s="3" t="inlineStr">
        <is>
          <t>Market variable: variable; year; value; unit; source (a distribution adds n; median; spread; p10; p25; p75; p90)</t>
        </is>
      </c>
      <c r="E1528" s="2" t="n"/>
      <c r="F1528" s="2" t="n">
        <v>23.4</v>
      </c>
      <c r="G1528" s="2" t="n"/>
      <c r="H1528" s="3" t="inlineStr">
        <is>
          <t>variable: BEV share of new registrations, United Kingdom; year: 2025; value: 23.4; unit: %; source: ACEA (report footnote 4)</t>
        </is>
      </c>
      <c r="I1528" s="2" t="inlineStr">
        <is>
          <t>S3</t>
        </is>
      </c>
      <c r="J1528" s="2" t="n">
        <v>34</v>
      </c>
      <c r="K1528" s="2" t="inlineStr">
        <is>
          <t>United Kingdom 19.6 23.4</t>
        </is>
      </c>
      <c r="L1528" s="2" t="inlineStr">
        <is>
          <t>pend</t>
        </is>
      </c>
      <c r="M1528" s="2" t="n"/>
      <c r="N1528" s="2" t="n"/>
      <c r="O1528" s="3" t="inlineStr">
        <is>
          <t>https://vanillabonds.com/dossier-data/pdf/fastned/fastned-2025-annual-report.pdf#page=34</t>
        </is>
      </c>
    </row>
    <row r="1529">
      <c r="A1529" s="2" t="inlineStr">
        <is>
          <t>F1528</t>
        </is>
      </c>
      <c r="B1529" s="2" t="inlineStr">
        <is>
          <t>market</t>
        </is>
      </c>
      <c r="C1529" s="2" t="inlineStr">
        <is>
          <t>market_series</t>
        </is>
      </c>
      <c r="D1529" s="3" t="inlineStr">
        <is>
          <t>Market variable: variable; year; value; unit; source (a distribution adds n; median; spread; p10; p25; p75; p90)</t>
        </is>
      </c>
      <c r="E1529" s="2" t="n"/>
      <c r="F1529" s="2" t="n">
        <v>19.6</v>
      </c>
      <c r="G1529" s="2" t="n"/>
      <c r="H1529" s="3" t="inlineStr">
        <is>
          <t>variable: BEV share of new registrations, United Kingdom; year: 2024; value: 19.6; unit: %; source: ACEA (report footnote 4)</t>
        </is>
      </c>
      <c r="I1529" s="2" t="inlineStr">
        <is>
          <t>S3</t>
        </is>
      </c>
      <c r="J1529" s="2" t="n">
        <v>34</v>
      </c>
      <c r="K1529" s="2" t="inlineStr">
        <is>
          <t>United Kingdom 19.6 23.4</t>
        </is>
      </c>
      <c r="L1529" s="2" t="inlineStr">
        <is>
          <t>pend</t>
        </is>
      </c>
      <c r="M1529" s="2" t="n"/>
      <c r="N1529" s="2" t="n"/>
      <c r="O1529" s="3" t="inlineStr">
        <is>
          <t>https://vanillabonds.com/dossier-data/pdf/fastned/fastned-2025-annual-report.pdf#page=34</t>
        </is>
      </c>
    </row>
    <row r="1530">
      <c r="A1530" s="2" t="inlineStr">
        <is>
          <t>F1529</t>
        </is>
      </c>
      <c r="B1530" s="2" t="inlineStr">
        <is>
          <t>market</t>
        </is>
      </c>
      <c r="C1530" s="2" t="inlineStr">
        <is>
          <t>market_series</t>
        </is>
      </c>
      <c r="D1530" s="3" t="inlineStr">
        <is>
          <t>Market variable: variable; year; value; unit; source (a distribution adds n; median; spread; p10; p25; p75; p90)</t>
        </is>
      </c>
      <c r="E1530" s="2" t="n"/>
      <c r="F1530" s="2" t="n">
        <v>1.88</v>
      </c>
      <c r="G1530" s="2" t="n"/>
      <c r="H1530" s="3" t="inlineStr">
        <is>
          <t>variable: EU BEV registrations; year: 2025; value: 1.88; unit: million units; source: ACEA</t>
        </is>
      </c>
      <c r="I1530" s="2" t="inlineStr">
        <is>
          <t>S3</t>
        </is>
      </c>
      <c r="J1530" s="2" t="n">
        <v>34</v>
      </c>
      <c r="K1530" s="3" t="inlineStr">
        <is>
          <t>EU battery-electric vehicle (BEV) registrations reached around 1.88 million units in 2025</t>
        </is>
      </c>
      <c r="L1530" s="2" t="inlineStr">
        <is>
          <t>pend</t>
        </is>
      </c>
      <c r="M1530" s="2" t="n"/>
      <c r="N1530" s="2" t="n"/>
      <c r="O1530" s="3" t="inlineStr">
        <is>
          <t>https://vanillabonds.com/dossier-data/pdf/fastned/fastned-2025-annual-report.pdf#page=34</t>
        </is>
      </c>
    </row>
    <row r="1531">
      <c r="A1531" s="2" t="inlineStr">
        <is>
          <t>F1530</t>
        </is>
      </c>
      <c r="B1531" s="2" t="inlineStr">
        <is>
          <t>market</t>
        </is>
      </c>
      <c r="C1531" s="2" t="inlineStr">
        <is>
          <t>market_series</t>
        </is>
      </c>
      <c r="D1531" s="3" t="inlineStr">
        <is>
          <t>Market variable: variable; year; value; unit; source (a distribution adds n; median; spread; p10; p25; p75; p90)</t>
        </is>
      </c>
      <c r="E1531" s="2" t="n"/>
      <c r="F1531" s="2" t="n">
        <v>7.6</v>
      </c>
      <c r="G1531" s="2" t="n"/>
      <c r="H1531" s="3" t="inlineStr">
        <is>
          <t>variable: BEV stock in the EU; year: 2025; value: 7.6; unit: million vehicles (over); source: EAFO</t>
        </is>
      </c>
      <c r="I1531" s="2" t="inlineStr">
        <is>
          <t>S3</t>
        </is>
      </c>
      <c r="J1531" s="2" t="n">
        <v>34</v>
      </c>
      <c r="K1531" s="3" t="inlineStr">
        <is>
          <t>this stock rose to over 7.6 million in 2025</t>
        </is>
      </c>
      <c r="L1531" s="2" t="inlineStr">
        <is>
          <t>pend</t>
        </is>
      </c>
      <c r="M1531" s="2" t="n"/>
      <c r="N1531" s="2" t="n"/>
      <c r="O1531" s="3" t="inlineStr">
        <is>
          <t>https://vanillabonds.com/dossier-data/pdf/fastned/fastned-2025-annual-report.pdf#page=34</t>
        </is>
      </c>
    </row>
    <row r="1532">
      <c r="A1532" s="2" t="inlineStr">
        <is>
          <t>F1531</t>
        </is>
      </c>
      <c r="B1532" s="2" t="inlineStr">
        <is>
          <t>market</t>
        </is>
      </c>
      <c r="C1532" s="2" t="inlineStr">
        <is>
          <t>regulation_item</t>
        </is>
      </c>
      <c r="D1532" s="3" t="inlineStr">
        <is>
          <t>Regulation: measure; effective; effect on the company as stated; source</t>
        </is>
      </c>
      <c r="E1532" s="2" t="n"/>
      <c r="F1532" s="2" t="n"/>
      <c r="G1532" s="2" t="n"/>
      <c r="H1532" s="3" t="inlineStr">
        <is>
          <t>measure: Alternative Fuels Infrastructure Regulation (AFIR); effective: in force since 2024, moving to implementation; effect as stated: Member States must deliver minimum high-power charging along core highways, matching Fastned's route focus; source: management report</t>
        </is>
      </c>
      <c r="I1532" s="2" t="inlineStr">
        <is>
          <t>S3</t>
        </is>
      </c>
      <c r="J1532" s="2" t="n">
        <v>35</v>
      </c>
      <c r="K1532" s="3" t="inlineStr">
        <is>
          <t>The Alternative Fuels Infrastructure Regulation (AFIR), in force since 2024, is now moving to implementation, requiring Member States to deliver minimum levels of high-power charging</t>
        </is>
      </c>
      <c r="L1532" s="2" t="inlineStr">
        <is>
          <t>pend</t>
        </is>
      </c>
      <c r="M1532" s="2" t="n"/>
      <c r="N1532" s="2" t="n"/>
      <c r="O1532" s="3" t="inlineStr">
        <is>
          <t>https://vanillabonds.com/dossier-data/pdf/fastned/fastned-2025-annual-report.pdf#page=35</t>
        </is>
      </c>
    </row>
    <row r="1533">
      <c r="A1533" s="2" t="inlineStr">
        <is>
          <t>F1532</t>
        </is>
      </c>
      <c r="B1533" s="2" t="inlineStr">
        <is>
          <t>market</t>
        </is>
      </c>
      <c r="C1533" s="2" t="inlineStr">
        <is>
          <t>regulation_item</t>
        </is>
      </c>
      <c r="D1533" s="3" t="inlineStr">
        <is>
          <t>Regulation: measure; effective; effect on the company as stated; source</t>
        </is>
      </c>
      <c r="E1533" s="2" t="n"/>
      <c r="F1533" s="2" t="n"/>
      <c r="G1533" s="2" t="n"/>
      <c r="H1533" s="3" t="inlineStr">
        <is>
          <t>measure: EU phase-out of new internal-combustion car sales; effective: 2035, remains in place; effect as stated: policy driver of the fast-charging market; source: management report</t>
        </is>
      </c>
      <c r="I1533" s="2" t="inlineStr">
        <is>
          <t>S3</t>
        </is>
      </c>
      <c r="J1533" s="2" t="n">
        <v>35</v>
      </c>
      <c r="K1533" s="3" t="inlineStr">
        <is>
          <t>The EU’s decision to phase out new internal-combustion car sales by 2035 remains in place</t>
        </is>
      </c>
      <c r="L1533" s="2" t="inlineStr">
        <is>
          <t>pend</t>
        </is>
      </c>
      <c r="M1533" s="2" t="n"/>
      <c r="N1533" s="2" t="n"/>
      <c r="O1533" s="3" t="inlineStr">
        <is>
          <t>https://vanillabonds.com/dossier-data/pdf/fastned/fastned-2025-annual-report.pdf#page=35</t>
        </is>
      </c>
    </row>
    <row r="1534">
      <c r="A1534" s="2" t="inlineStr">
        <is>
          <t>F1533</t>
        </is>
      </c>
      <c r="B1534" s="2" t="inlineStr">
        <is>
          <t>market</t>
        </is>
      </c>
      <c r="C1534" s="2" t="inlineStr">
        <is>
          <t>regulation_item</t>
        </is>
      </c>
      <c r="D1534" s="3" t="inlineStr">
        <is>
          <t>Regulation: measure; effective; effect on the company as stated; source</t>
        </is>
      </c>
      <c r="E1534" s="2" t="n"/>
      <c r="F1534" s="2" t="n"/>
      <c r="G1534" s="2" t="n"/>
      <c r="H1534" s="3" t="inlineStr">
        <is>
          <t>measure: Dutch Wet ingroeiquotum en streefcijfers; effect as stated: commitment to at least one-third women and one-third men in leadership positions; source: management report</t>
        </is>
      </c>
      <c r="I1534" s="2" t="inlineStr">
        <is>
          <t>S3</t>
        </is>
      </c>
      <c r="J1534" s="2" t="n">
        <v>40</v>
      </c>
      <c r="K1534" s="3" t="inlineStr">
        <is>
          <t>Our first commitment is in line with the Dutch law, Wet ingroeiquotum en streefcijfers, where Fastned is committed to maintaining a minimum of one-third women and one-third men in leadership positions</t>
        </is>
      </c>
      <c r="L1534" s="2" t="inlineStr">
        <is>
          <t>pend</t>
        </is>
      </c>
      <c r="M1534" s="2" t="n"/>
      <c r="N1534" s="2" t="n"/>
      <c r="O1534" s="3" t="inlineStr">
        <is>
          <t>https://vanillabonds.com/dossier-data/pdf/fastned/fastned-2025-annual-report.pdf#page=40</t>
        </is>
      </c>
    </row>
    <row r="1535">
      <c r="A1535" s="2" t="inlineStr">
        <is>
          <t>F1534</t>
        </is>
      </c>
      <c r="B1535" s="2" t="inlineStr">
        <is>
          <t>market</t>
        </is>
      </c>
      <c r="C1535" s="2" t="inlineStr">
        <is>
          <t>regulation_item</t>
        </is>
      </c>
      <c r="D1535" s="3" t="inlineStr">
        <is>
          <t>Regulation: measure; effective; effect on the company as stated; source</t>
        </is>
      </c>
      <c r="E1535" s="2" t="n"/>
      <c r="F1535" s="2" t="n"/>
      <c r="G1535" s="2" t="n"/>
      <c r="H1535" s="3" t="inlineStr">
        <is>
          <t>measure: EU Taxonomy reporting; effect as stated: not mandatory as NFRD and CSRD do not apply; eligibility disclosed voluntarily and unaudited; source: management report</t>
        </is>
      </c>
      <c r="I1535" s="2" t="inlineStr">
        <is>
          <t>S3</t>
        </is>
      </c>
      <c r="J1535" s="2" t="n">
        <v>56</v>
      </c>
      <c r="K1535" s="3" t="inlineStr">
        <is>
          <t>As the Non-Financial Reporting Directive and the Corporate Sustainability Reporting Directive are not applicable, it is not mandatory for Fastned to report EU Taxonomy information.</t>
        </is>
      </c>
      <c r="L1535" s="2" t="inlineStr">
        <is>
          <t>pend</t>
        </is>
      </c>
      <c r="M1535" s="2" t="n"/>
      <c r="N1535" s="2" t="n"/>
      <c r="O1535" s="3" t="inlineStr">
        <is>
          <t>https://vanillabonds.com/dossier-data/pdf/fastned/fastned-2025-annual-report.pdf#page=56</t>
        </is>
      </c>
    </row>
    <row r="1536">
      <c r="A1536" s="2" t="inlineStr">
        <is>
          <t>F1535</t>
        </is>
      </c>
      <c r="B1536" s="2" t="inlineStr">
        <is>
          <t>market</t>
        </is>
      </c>
      <c r="C1536" s="2" t="inlineStr">
        <is>
          <t>regulation_item</t>
        </is>
      </c>
      <c r="D1536" s="3" t="inlineStr">
        <is>
          <t>Regulation: measure; effective; effect on the company as stated; source</t>
        </is>
      </c>
      <c r="E1536" s="2" t="n"/>
      <c r="F1536" s="2" t="n"/>
      <c r="G1536" s="2" t="n"/>
      <c r="H1536" s="3" t="inlineStr">
        <is>
          <t>measure: Biodiversity Net Gain (England); effect as stated: at least 10% net habitat improvement where more than 25 m2 of onsite habitat is removed; source: management report</t>
        </is>
      </c>
      <c r="I1536" s="2" t="inlineStr">
        <is>
          <t>S3</t>
        </is>
      </c>
      <c r="J1536" s="2" t="n">
        <v>67</v>
      </c>
      <c r="K1536" s="3" t="inlineStr">
        <is>
          <t>In England, we apply a Biodiversity Net Gain (BNG) principle in line with national legislation, aiming for at least a 10% net improvement in habitat quality</t>
        </is>
      </c>
      <c r="L1536" s="2" t="inlineStr">
        <is>
          <t>pend</t>
        </is>
      </c>
      <c r="M1536" s="2" t="n"/>
      <c r="N1536" s="2" t="n"/>
      <c r="O1536" s="3" t="inlineStr">
        <is>
          <t>https://vanillabonds.com/dossier-data/pdf/fastned/fastned-2025-annual-report.pdf#page=67</t>
        </is>
      </c>
    </row>
    <row r="1537">
      <c r="A1537" s="2" t="inlineStr">
        <is>
          <t>F1536</t>
        </is>
      </c>
      <c r="B1537" s="2" t="inlineStr">
        <is>
          <t>market</t>
        </is>
      </c>
      <c r="C1537" s="2" t="inlineStr">
        <is>
          <t>regulation_item</t>
        </is>
      </c>
      <c r="D1537" s="3" t="inlineStr">
        <is>
          <t>Regulation: measure; effective; effect on the company as stated; source</t>
        </is>
      </c>
      <c r="E1537" s="2" t="n"/>
      <c r="F1537" s="2" t="n"/>
      <c r="G1537" s="2" t="n"/>
      <c r="H1537" s="3" t="inlineStr">
        <is>
          <t>measure: French nature preservation laws; effect as stated: new developments must fully compensate altered green space, creating off-site planted areas; source: management report</t>
        </is>
      </c>
      <c r="I1537" s="2" t="inlineStr">
        <is>
          <t>S3</t>
        </is>
      </c>
      <c r="J1537" s="2" t="n">
        <v>70</v>
      </c>
      <c r="K1537" s="3" t="inlineStr">
        <is>
          <t>The increase in nature-oriented area off-site is driven by French nature preservation laws, which require new developments to fully compensate for any green space they alter.</t>
        </is>
      </c>
      <c r="L1537" s="2" t="inlineStr">
        <is>
          <t>pend</t>
        </is>
      </c>
      <c r="M1537" s="2" t="n"/>
      <c r="N1537" s="2" t="n"/>
      <c r="O1537" s="3" t="inlineStr">
        <is>
          <t>https://vanillabonds.com/dossier-data/pdf/fastned/fastned-2025-annual-report.pdf#page=70</t>
        </is>
      </c>
    </row>
    <row r="1538">
      <c r="A1538" s="2" t="inlineStr">
        <is>
          <t>F1537</t>
        </is>
      </c>
      <c r="B1538" s="2" t="inlineStr">
        <is>
          <t>market</t>
        </is>
      </c>
      <c r="C1538" s="2" t="inlineStr">
        <is>
          <t>regulation_item</t>
        </is>
      </c>
      <c r="D1538" s="3" t="inlineStr">
        <is>
          <t>Regulation: measure; effective; effect on the company as stated; source</t>
        </is>
      </c>
      <c r="E1538" s="2" t="n"/>
      <c r="F1538" s="2" t="n"/>
      <c r="G1538" s="2" t="n"/>
      <c r="H1538" s="3" t="inlineStr">
        <is>
          <t>measure: Dutch herplantplicht; effect as stated: trees removed for development are compensated by replanting; source: management report</t>
        </is>
      </c>
      <c r="I1538" s="2" t="inlineStr">
        <is>
          <t>S3</t>
        </is>
      </c>
      <c r="J1538" s="2" t="n">
        <v>71</v>
      </c>
      <c r="K1538" s="3" t="inlineStr">
        <is>
          <t>These efforts are in line with the Dutch herplantplicht principle, which requires that trees or forest areas removed for development are compensated through replanting</t>
        </is>
      </c>
      <c r="L1538" s="2" t="inlineStr">
        <is>
          <t>pend</t>
        </is>
      </c>
      <c r="M1538" s="2" t="n"/>
      <c r="N1538" s="2" t="n"/>
      <c r="O1538" s="3" t="inlineStr">
        <is>
          <t>https://vanillabonds.com/dossier-data/pdf/fastned/fastned-2025-annual-report.pdf#page=71</t>
        </is>
      </c>
    </row>
    <row r="1539">
      <c r="A1539" s="2" t="inlineStr">
        <is>
          <t>F1538</t>
        </is>
      </c>
      <c r="B1539" s="2" t="inlineStr">
        <is>
          <t>market</t>
        </is>
      </c>
      <c r="C1539" s="2" t="inlineStr">
        <is>
          <t>regulation_item</t>
        </is>
      </c>
      <c r="D1539" s="3" t="inlineStr">
        <is>
          <t>Regulation: measure; effective; effect on the company as stated; source</t>
        </is>
      </c>
      <c r="E1539" s="2" t="n"/>
      <c r="F1539" s="2" t="n"/>
      <c r="G1539" s="2" t="n"/>
      <c r="H1539" s="3" t="inlineStr">
        <is>
          <t>measure: NIS2 (with GDPR and ISO 27001:2022 frameworks in the GRC tool); effect as stated: initial focus of the internal control environment on NIS2 compliance; source: management report</t>
        </is>
      </c>
      <c r="I1539" s="2" t="inlineStr">
        <is>
          <t>S3</t>
        </is>
      </c>
      <c r="J1539" s="2" t="n">
        <v>76</v>
      </c>
      <c r="K1539" s="3" t="inlineStr">
        <is>
          <t>with an initial focus on achieving NIS2 compliance</t>
        </is>
      </c>
      <c r="L1539" s="2" t="inlineStr">
        <is>
          <t>pend</t>
        </is>
      </c>
      <c r="M1539" s="2" t="n"/>
      <c r="N1539" s="2" t="n"/>
      <c r="O1539" s="3" t="inlineStr">
        <is>
          <t>https://vanillabonds.com/dossier-data/pdf/fastned/fastned-2025-annual-report.pdf#page=76</t>
        </is>
      </c>
    </row>
    <row r="1540">
      <c r="A1540" s="2" t="inlineStr">
        <is>
          <t>F1539</t>
        </is>
      </c>
      <c r="B1540" s="2" t="inlineStr">
        <is>
          <t>market</t>
        </is>
      </c>
      <c r="C1540" s="2" t="inlineStr">
        <is>
          <t>regulation_item</t>
        </is>
      </c>
      <c r="D1540" s="3" t="inlineStr">
        <is>
          <t>Regulation: measure; effective; effect on the company as stated; source</t>
        </is>
      </c>
      <c r="E1540" s="2" t="n"/>
      <c r="F1540" s="2" t="n"/>
      <c r="G1540" s="2" t="n"/>
      <c r="H1540" s="3" t="inlineStr">
        <is>
          <t>measure: EU Omnibus simplification package; effective: February 2025; effect as stated: Fastned out of CSRD scope and adopts the voluntary SME standard (VSME); source: management report</t>
        </is>
      </c>
      <c r="I1540" s="2" t="inlineStr">
        <is>
          <t>S3</t>
        </is>
      </c>
      <c r="J1540" s="2" t="n">
        <v>82</v>
      </c>
      <c r="K1540" s="3" t="inlineStr">
        <is>
          <t>The published "Omnibus" simplification package (February 2025), allows Fastned to adopt the voluntary standards for SMEs (VSMEs).</t>
        </is>
      </c>
      <c r="L1540" s="2" t="inlineStr">
        <is>
          <t>pend</t>
        </is>
      </c>
      <c r="M1540" s="2" t="n"/>
      <c r="N1540" s="2" t="n"/>
      <c r="O1540" s="3" t="inlineStr">
        <is>
          <t>https://vanillabonds.com/dossier-data/pdf/fastned/fastned-2025-annual-report.pdf#page=82</t>
        </is>
      </c>
    </row>
    <row r="1541">
      <c r="A1541" s="2" t="inlineStr">
        <is>
          <t>F1540</t>
        </is>
      </c>
      <c r="B1541" s="2" t="inlineStr">
        <is>
          <t>market</t>
        </is>
      </c>
      <c r="C1541" s="2" t="inlineStr">
        <is>
          <t>regulation_item</t>
        </is>
      </c>
      <c r="D1541" s="3" t="inlineStr">
        <is>
          <t>Regulation: measure; effective; effect on the company as stated; source</t>
        </is>
      </c>
      <c r="E1541" s="2" t="n"/>
      <c r="F1541" s="2" t="n"/>
      <c r="G1541" s="2" t="n"/>
      <c r="H1541" s="3" t="inlineStr">
        <is>
          <t>measure: Dutch Corporate Governance Code; effect as stated: Fastned applies the Code but deviates from provisions 1.1.5, 1.3, 2.1.7, 2.2.1, 2.3.4, 4.5.2 and 4.5.8; source: corporate governance section</t>
        </is>
      </c>
      <c r="I1541" s="2" t="inlineStr">
        <is>
          <t>S3</t>
        </is>
      </c>
      <c r="J1541" s="2" t="n">
        <v>91</v>
      </c>
      <c r="K1541" s="3" t="inlineStr">
        <is>
          <t>it is expected that Fastned will deviate from a limited number of best practice provisions</t>
        </is>
      </c>
      <c r="L1541" s="2" t="inlineStr">
        <is>
          <t>pend</t>
        </is>
      </c>
      <c r="M1541" s="2" t="n"/>
      <c r="N1541" s="2" t="n"/>
      <c r="O1541" s="3" t="inlineStr">
        <is>
          <t>https://vanillabonds.com/dossier-data/pdf/fastned/fastned-2025-annual-report.pdf#page=91</t>
        </is>
      </c>
    </row>
    <row r="1542">
      <c r="A1542" s="2" t="inlineStr">
        <is>
          <t>F1541</t>
        </is>
      </c>
      <c r="B1542" s="2" t="inlineStr">
        <is>
          <t>market</t>
        </is>
      </c>
      <c r="C1542" s="2" t="inlineStr">
        <is>
          <t>regulation_item</t>
        </is>
      </c>
      <c r="D1542" s="3" t="inlineStr">
        <is>
          <t>Regulation: measure; effective; effect on the company as stated; source</t>
        </is>
      </c>
      <c r="E1542" s="2" t="n"/>
      <c r="F1542" s="2" t="n"/>
      <c r="G1542" s="2" t="n"/>
      <c r="H1542" s="3" t="inlineStr">
        <is>
          <t>measure: GDPR and national privacy laws; effect as stated: compliance in every country of presence, data protection officer appointed; source: corporate governance section</t>
        </is>
      </c>
      <c r="I1542" s="2" t="inlineStr">
        <is>
          <t>S3</t>
        </is>
      </c>
      <c r="J1542" s="2" t="n">
        <v>92</v>
      </c>
      <c r="K1542" s="3" t="inlineStr">
        <is>
          <t>Fastned complies with the General Data Protection Regulation (GDPR) and all applicable national privacy and data protection laws in every country where we are present.</t>
        </is>
      </c>
      <c r="L1542" s="2" t="inlineStr">
        <is>
          <t>pend</t>
        </is>
      </c>
      <c r="M1542" s="2" t="n"/>
      <c r="N1542" s="2" t="n"/>
      <c r="O1542" s="3" t="inlineStr">
        <is>
          <t>https://vanillabonds.com/dossier-data/pdf/fastned/fastned-2025-annual-report.pdf#page=92</t>
        </is>
      </c>
    </row>
    <row r="1543">
      <c r="A1543" s="2" t="inlineStr">
        <is>
          <t>F1542</t>
        </is>
      </c>
      <c r="B1543" s="2" t="inlineStr">
        <is>
          <t>market</t>
        </is>
      </c>
      <c r="C1543" s="2" t="inlineStr">
        <is>
          <t>regulation_item</t>
        </is>
      </c>
      <c r="D1543" s="3" t="inlineStr">
        <is>
          <t>Regulation: measure; effective; effect on the company as stated; source</t>
        </is>
      </c>
      <c r="E1543" s="2" t="n"/>
      <c r="F1543" s="2" t="n"/>
      <c r="G1543" s="2" t="n"/>
      <c r="H1543" s="3" t="inlineStr">
        <is>
          <t>measure: re-tendering of Dutch RWS highway charging sites (possible distance criteria, policy change); effective: concession ends 2028-2036; effect on the company as stated: could lose the right to operate at specific locations, no transition plan communicated; source: note 3</t>
        </is>
      </c>
      <c r="I1543" s="2" t="inlineStr">
        <is>
          <t>S3</t>
        </is>
      </c>
      <c r="J1543" s="2" t="n">
        <v>143</v>
      </c>
      <c r="K1543" s="3" t="inlineStr">
        <is>
          <t>significant uncertainty remains regarding the future regulatory framework and the re-tendering process for RWS sites</t>
        </is>
      </c>
      <c r="L1543" s="2" t="inlineStr">
        <is>
          <t>pend</t>
        </is>
      </c>
      <c r="M1543" s="2" t="n"/>
      <c r="N1543" s="2" t="n"/>
      <c r="O1543" s="3" t="inlineStr">
        <is>
          <t>https://vanillabonds.com/dossier-data/pdf/fastned/fastned-2025-annual-report.pdf#page=143</t>
        </is>
      </c>
    </row>
    <row r="1544">
      <c r="A1544" s="2" t="inlineStr">
        <is>
          <t>F1543</t>
        </is>
      </c>
      <c r="B1544" s="2" t="inlineStr">
        <is>
          <t>market</t>
        </is>
      </c>
      <c r="C1544" s="2" t="inlineStr">
        <is>
          <t>regulation_item</t>
        </is>
      </c>
      <c r="D1544" s="3" t="inlineStr">
        <is>
          <t>Regulation: measure; effective; effect on the company as stated; source</t>
        </is>
      </c>
      <c r="E1544" s="2" t="n"/>
      <c r="F1544" s="2" t="n"/>
      <c r="G1544" s="2" t="n"/>
      <c r="H1544" s="3" t="inlineStr">
        <is>
          <t>measure: French charging subsidy conditions (Agence de Services et de Paiement); effective: from commissioning; effect on the company as stated: keep subsidised facilities in operation at least six years and keep documentation three years for ASP audit; source: note 12</t>
        </is>
      </c>
      <c r="I1544" s="2" t="inlineStr">
        <is>
          <t>S3</t>
        </is>
      </c>
      <c r="J1544" s="2" t="n">
        <v>165</v>
      </c>
      <c r="K1544" s="3" t="inlineStr">
        <is>
          <t>the company must maintain the subsidized charging facilities in operation for a minimum of six years from their commissioning date</t>
        </is>
      </c>
      <c r="L1544" s="2" t="inlineStr">
        <is>
          <t>pend</t>
        </is>
      </c>
      <c r="M1544" s="2" t="n"/>
      <c r="N1544" s="2" t="n"/>
      <c r="O1544" s="3" t="inlineStr">
        <is>
          <t>https://vanillabonds.com/dossier-data/pdf/fastned/fastned-2025-annual-report.pdf#page=165</t>
        </is>
      </c>
    </row>
    <row r="1545">
      <c r="A1545" s="2" t="inlineStr">
        <is>
          <t>F1544</t>
        </is>
      </c>
      <c r="B1545" s="2" t="inlineStr">
        <is>
          <t>market</t>
        </is>
      </c>
      <c r="C1545" s="2" t="inlineStr">
        <is>
          <t>regulation_item</t>
        </is>
      </c>
      <c r="D1545" s="3" t="inlineStr">
        <is>
          <t>Regulation: measure; effective; effect on the company as stated; source</t>
        </is>
      </c>
      <c r="E1545" s="2" t="n"/>
      <c r="F1545" s="2" t="n"/>
      <c r="G1545" s="2" t="n"/>
      <c r="H1545" s="3" t="inlineStr">
        <is>
          <t>measure: Wet op het financieel toezicht (Wft) sections 1:1 and 5:25c; effect on the company as stated: the annual report comprises regulated information; source: Fastned annual report 2025 cautionary statement</t>
        </is>
      </c>
      <c r="I1545" s="2" t="inlineStr">
        <is>
          <t>S3</t>
        </is>
      </c>
      <c r="J1545" s="2" t="n">
        <v>232</v>
      </c>
      <c r="K1545" s="3" t="inlineStr">
        <is>
          <t>This report comprises regulated information within the meaning of Sections 1:1 and 5:25c of the Act on Financial Supervision</t>
        </is>
      </c>
      <c r="L1545" s="2" t="inlineStr">
        <is>
          <t>pend</t>
        </is>
      </c>
      <c r="M1545" s="2" t="n"/>
      <c r="N1545" s="2" t="n"/>
      <c r="O1545" s="3" t="inlineStr">
        <is>
          <t>https://vanillabonds.com/dossier-data/pdf/fastned/fastned-2025-annual-report.pdf#page=232</t>
        </is>
      </c>
    </row>
    <row r="1546">
      <c r="A1546" s="2" t="inlineStr">
        <is>
          <t>F1545</t>
        </is>
      </c>
      <c r="B1546" s="2" t="inlineStr">
        <is>
          <t>market</t>
        </is>
      </c>
      <c r="C1546" s="2" t="inlineStr">
        <is>
          <t>regulation_item</t>
        </is>
      </c>
      <c r="D1546" s="3" t="inlineStr">
        <is>
          <t>Regulation: measure; effective; effect on the company as stated; source</t>
        </is>
      </c>
      <c r="E1546" s="2" t="n"/>
      <c r="F1546" s="2" t="n"/>
      <c r="G1546" s="2" t="n"/>
      <c r="H1546" s="3" t="inlineStr">
        <is>
          <t>measure: Alternative Fuels Infrastructure Regulation (AFIR); effect on the company as stated: implementation of the regulation of the fast charging industry discussed with national governments and AFIR implications with eMSPs in 2025; source: Fastned annual report 2025 stakeholder table</t>
        </is>
      </c>
      <c r="I1546" s="2" t="inlineStr">
        <is>
          <t>S3</t>
        </is>
      </c>
      <c r="J1546" s="2" t="n">
        <v>235</v>
      </c>
      <c r="K1546" s="3" t="inlineStr">
        <is>
          <t>Implementation of the regulation of the fast charging industry Alternative Fuels Infrastructure Regulation (AFIR)</t>
        </is>
      </c>
      <c r="L1546" s="2" t="inlineStr">
        <is>
          <t>pend</t>
        </is>
      </c>
      <c r="M1546" s="2" t="n"/>
      <c r="N1546" s="2" t="n"/>
      <c r="O1546" s="3" t="inlineStr">
        <is>
          <t>https://vanillabonds.com/dossier-data/pdf/fastned/fastned-2025-annual-report.pdf#page=235</t>
        </is>
      </c>
    </row>
    <row r="1547">
      <c r="A1547" s="2" t="inlineStr">
        <is>
          <t>F1546</t>
        </is>
      </c>
      <c r="B1547" s="2" t="inlineStr">
        <is>
          <t>market</t>
        </is>
      </c>
      <c r="C1547" s="2" t="inlineStr">
        <is>
          <t>regulation_item</t>
        </is>
      </c>
      <c r="D1547" s="3" t="inlineStr">
        <is>
          <t>Regulation: measure; effective; effect on the company as stated; source</t>
        </is>
      </c>
      <c r="E1547" s="2" t="n"/>
      <c r="F1547" s="2" t="n"/>
      <c r="G1547" s="2" t="n"/>
      <c r="H1547" s="3" t="inlineStr">
        <is>
          <t>measure: EU Pay Transparency Directive; effect on the company as stated: internal reporting processes being redesigned to disclose gender pay gap figures, awaiting local legislation; source: Fastned annual report 2025 VSME table</t>
        </is>
      </c>
      <c r="I1547" s="2" t="inlineStr">
        <is>
          <t>S3</t>
        </is>
      </c>
      <c r="J1547" s="2" t="n">
        <v>239</v>
      </c>
      <c r="K1547" s="3" t="inlineStr">
        <is>
          <t>we are currently redesigning our internal reporting processes in line with the EU Pay Transparency Directive.</t>
        </is>
      </c>
      <c r="L1547" s="2" t="inlineStr">
        <is>
          <t>pend</t>
        </is>
      </c>
      <c r="M1547" s="2" t="n"/>
      <c r="N1547" s="2" t="n"/>
      <c r="O1547" s="3" t="inlineStr">
        <is>
          <t>https://vanillabonds.com/dossier-data/pdf/fastned/fastned-2025-annual-report.pdf#page=239</t>
        </is>
      </c>
    </row>
    <row r="1548">
      <c r="A1548" s="2" t="inlineStr">
        <is>
          <t>F1547</t>
        </is>
      </c>
      <c r="B1548" s="2" t="inlineStr">
        <is>
          <t>market</t>
        </is>
      </c>
      <c r="C1548" s="2" t="inlineStr">
        <is>
          <t>contract_term</t>
        </is>
      </c>
      <c r="D1548" s="3" t="inlineStr">
        <is>
          <t>Key contract: counterparty; share (of revenue or purchases, 0-1); duration; termination; indexation</t>
        </is>
      </c>
      <c r="E1548" s="2" t="n"/>
      <c r="F1548" s="2" t="n"/>
      <c r="G1548" s="2" t="n"/>
      <c r="H1548" s="3" t="inlineStr">
        <is>
          <t>counterparty: landowners (site leases); duration: typically 15 years or more, with room for expansion</t>
        </is>
      </c>
      <c r="I1548" s="2" t="inlineStr">
        <is>
          <t>S3</t>
        </is>
      </c>
      <c r="J1548" s="2" t="n">
        <v>14</v>
      </c>
      <c r="K1548" s="3" t="inlineStr">
        <is>
          <t>We typically sign leases of 15 years or more</t>
        </is>
      </c>
      <c r="L1548" s="2" t="inlineStr">
        <is>
          <t>pend</t>
        </is>
      </c>
      <c r="M1548" s="2" t="n"/>
      <c r="N1548" s="2" t="n"/>
      <c r="O1548" s="3" t="inlineStr">
        <is>
          <t>https://vanillabonds.com/dossier-data/pdf/fastned/fastned-2025-annual-report.pdf#page=14</t>
        </is>
      </c>
    </row>
    <row r="1549">
      <c r="A1549" s="2" t="inlineStr">
        <is>
          <t>F1548</t>
        </is>
      </c>
      <c r="B1549" s="2" t="inlineStr">
        <is>
          <t>market</t>
        </is>
      </c>
      <c r="C1549" s="2" t="inlineStr">
        <is>
          <t>contract_term</t>
        </is>
      </c>
      <c r="D1549" s="3" t="inlineStr">
        <is>
          <t>Key contract: counterparty; share (of revenue or purchases, 0-1); duration; termination; indexation</t>
        </is>
      </c>
      <c r="E1549" s="2" t="n"/>
      <c r="F1549" s="2" t="n"/>
      <c r="G1549" s="2" t="n"/>
      <c r="H1549" s="3" t="inlineStr">
        <is>
          <t>counterparty: German Highway authorities; service concession arrangements under which Fastned builds Autobahn sites, generating EUR 16.7m other revenue and a EUR 6.6m construction gross profit in 2025</t>
        </is>
      </c>
      <c r="I1549" s="2" t="inlineStr">
        <is>
          <t>S3</t>
        </is>
      </c>
      <c r="J1549" s="2" t="n">
        <v>46</v>
      </c>
      <c r="K1549" s="3" t="inlineStr">
        <is>
          <t>This is driven by the construction revenue from service concession arrangements with the German Highway authorities.</t>
        </is>
      </c>
      <c r="L1549" s="2" t="inlineStr">
        <is>
          <t>pend</t>
        </is>
      </c>
      <c r="M1549" s="2" t="n"/>
      <c r="N1549" s="2" t="n"/>
      <c r="O1549" s="3" t="inlineStr">
        <is>
          <t>https://vanillabonds.com/dossier-data/pdf/fastned/fastned-2025-annual-report.pdf#page=46</t>
        </is>
      </c>
    </row>
    <row r="1550">
      <c r="A1550" s="2" t="inlineStr">
        <is>
          <t>F1549</t>
        </is>
      </c>
      <c r="B1550" s="2" t="inlineStr">
        <is>
          <t>market</t>
        </is>
      </c>
      <c r="C1550" s="2" t="inlineStr">
        <is>
          <t>contract_term</t>
        </is>
      </c>
      <c r="D1550" s="3" t="inlineStr">
        <is>
          <t>Key contract: counterparty; share (of revenue or purchases, 0-1); duration; termination; indexation</t>
        </is>
      </c>
      <c r="E1550" s="2" t="n"/>
      <c r="F1550" s="2" t="n"/>
      <c r="G1550" s="2" t="n"/>
      <c r="H1550" s="3" t="inlineStr">
        <is>
          <t>counterparty: Scholt Energy (energy supplier) supporting the PPAs; terms: electricity purchased at a fixed price; four active PPAs in 2025</t>
        </is>
      </c>
      <c r="I1550" s="2" t="inlineStr">
        <is>
          <t>S3</t>
        </is>
      </c>
      <c r="J1550" s="2" t="n">
        <v>65</v>
      </c>
      <c r="K1550" s="3" t="inlineStr">
        <is>
          <t>The following agreements are supported by our energy supplier Scholt Energy, allowing Fastned to purchase electricity at a fixed price</t>
        </is>
      </c>
      <c r="L1550" s="2" t="inlineStr">
        <is>
          <t>pend</t>
        </is>
      </c>
      <c r="M1550" s="2" t="n"/>
      <c r="N1550" s="2" t="n"/>
      <c r="O1550" s="3" t="inlineStr">
        <is>
          <t>https://vanillabonds.com/dossier-data/pdf/fastned/fastned-2025-annual-report.pdf#page=65</t>
        </is>
      </c>
    </row>
    <row r="1551">
      <c r="A1551" s="2" t="inlineStr">
        <is>
          <t>F1550</t>
        </is>
      </c>
      <c r="B1551" s="2" t="inlineStr">
        <is>
          <t>market</t>
        </is>
      </c>
      <c r="C1551" s="2" t="inlineStr">
        <is>
          <t>contract_term</t>
        </is>
      </c>
      <c r="D1551" s="3" t="inlineStr">
        <is>
          <t>Key contract: counterparty; share (of revenue or purchases, 0-1); duration; termination; indexation</t>
        </is>
      </c>
      <c r="E1551" s="2" t="n"/>
      <c r="F1551" s="2" t="n"/>
      <c r="G1551" s="2" t="n"/>
      <c r="H1551" s="3" t="inlineStr">
        <is>
          <t>counterparty: Danish Road Directorate; Danish stations are park-and-charge sites where Fastned rents only the paved bays next to the chargers</t>
        </is>
      </c>
      <c r="I1551" s="2" t="inlineStr">
        <is>
          <t>S3</t>
        </is>
      </c>
      <c r="J1551" s="2" t="n">
        <v>69</v>
      </c>
      <c r="K1551" s="3" t="inlineStr">
        <is>
          <t>The surrounding pavement and landscape is owned by the Danish Road Directorate.</t>
        </is>
      </c>
      <c r="L1551" s="2" t="inlineStr">
        <is>
          <t>pend</t>
        </is>
      </c>
      <c r="M1551" s="2" t="n"/>
      <c r="N1551" s="2" t="n"/>
      <c r="O1551" s="3" t="inlineStr">
        <is>
          <t>https://vanillabonds.com/dossier-data/pdf/fastned/fastned-2025-annual-report.pdf#page=69</t>
        </is>
      </c>
    </row>
    <row r="1552">
      <c r="A1552" s="2" t="inlineStr">
        <is>
          <t>F1551</t>
        </is>
      </c>
      <c r="B1552" s="2" t="inlineStr">
        <is>
          <t>market</t>
        </is>
      </c>
      <c r="C1552" s="2" t="inlineStr">
        <is>
          <t>contract_term</t>
        </is>
      </c>
      <c r="D1552" s="3" t="inlineStr">
        <is>
          <t>Key contract: counterparty; share (of revenue or purchases, 0-1); duration; termination; indexation</t>
        </is>
      </c>
      <c r="E1552" s="2" t="n"/>
      <c r="F1552" s="2" t="n"/>
      <c r="G1552" s="2" t="n"/>
      <c r="H1552" s="3" t="inlineStr">
        <is>
          <t>counterparty: Places for London / Transport for London (JV Fast Places Ltd); terms: the JV manages a community fund directing a share of revenue to local communities</t>
        </is>
      </c>
      <c r="I1552" s="2" t="inlineStr">
        <is>
          <t>S3</t>
        </is>
      </c>
      <c r="J1552" s="2" t="n">
        <v>73</v>
      </c>
      <c r="K1552" s="3" t="inlineStr">
        <is>
          <t>The joint venture will also manage a “community fund,” directing a share of revenue back into local communities and the transition to electric mobility.</t>
        </is>
      </c>
      <c r="L1552" s="2" t="inlineStr">
        <is>
          <t>pend</t>
        </is>
      </c>
      <c r="M1552" s="2" t="n"/>
      <c r="N1552" s="2" t="n"/>
      <c r="O1552" s="3" t="inlineStr">
        <is>
          <t>https://vanillabonds.com/dossier-data/pdf/fastned/fastned-2025-annual-report.pdf#page=73</t>
        </is>
      </c>
    </row>
    <row r="1553">
      <c r="A1553" s="2" t="inlineStr">
        <is>
          <t>F1552</t>
        </is>
      </c>
      <c r="B1553" s="2" t="inlineStr">
        <is>
          <t>market</t>
        </is>
      </c>
      <c r="C1553" s="2" t="inlineStr">
        <is>
          <t>contract_term</t>
        </is>
      </c>
      <c r="D1553" s="3" t="inlineStr">
        <is>
          <t>Key contract: counterparty; share (of revenue or purchases, 0-1); duration; termination; indexation</t>
        </is>
      </c>
      <c r="E1553" s="2" t="n"/>
      <c r="F1553" s="2" t="n"/>
      <c r="G1553" s="2" t="n"/>
      <c r="H1553" s="3" t="inlineStr">
        <is>
          <t>counterparty: Die Autobahn GmbH des Bundes (German Highway Tender, 34 HPC sites, awarded 2023); duration: 8 years with option to extend by up to 2 years; indexation: operator fee adjusted annually on German labour and producer price indices</t>
        </is>
      </c>
      <c r="I1553" s="2" t="inlineStr">
        <is>
          <t>S3</t>
        </is>
      </c>
      <c r="J1553" s="2" t="n">
        <v>155</v>
      </c>
      <c r="K1553" s="3" t="inlineStr">
        <is>
          <t>The contract is expected to last 8 years, with an option to extend for a maximum of 2 further years.</t>
        </is>
      </c>
      <c r="L1553" s="2" t="inlineStr">
        <is>
          <t>pend</t>
        </is>
      </c>
      <c r="M1553" s="2" t="n"/>
      <c r="N1553" s="2" t="n"/>
      <c r="O1553" s="3" t="inlineStr">
        <is>
          <t>https://vanillabonds.com/dossier-data/pdf/fastned/fastned-2025-annual-report.pdf#page=155</t>
        </is>
      </c>
    </row>
    <row r="1554">
      <c r="A1554" s="2" t="inlineStr">
        <is>
          <t>F1553</t>
        </is>
      </c>
      <c r="B1554" s="2" t="inlineStr">
        <is>
          <t>market</t>
        </is>
      </c>
      <c r="C1554" s="2" t="inlineStr">
        <is>
          <t>contract_term</t>
        </is>
      </c>
      <c r="D1554" s="3" t="inlineStr">
        <is>
          <t>Key contract: counterparty; share (of revenue or purchases, 0-1); duration; termination; indexation</t>
        </is>
      </c>
      <c r="E1554" s="2" t="n"/>
      <c r="F1554" s="2" t="n"/>
      <c r="G1554" s="2" t="n"/>
      <c r="H1554" s="3" t="inlineStr">
        <is>
          <t>counterparty: German government (service concession arrangement for high-power charging sites on German highways, highway tender, with guaranteed payments and signed acceptance letters)</t>
        </is>
      </c>
      <c r="I1554" s="2" t="inlineStr">
        <is>
          <t>S3</t>
        </is>
      </c>
      <c r="J1554" s="2" t="n">
        <v>224</v>
      </c>
      <c r="K1554" s="3" t="inlineStr">
        <is>
          <t>We verified the reconciliation of the guaranteed payments, which serve as input for the recognition of the construction revenues, with the underlying agreement.</t>
        </is>
      </c>
      <c r="L1554" s="2" t="inlineStr">
        <is>
          <t>pend</t>
        </is>
      </c>
      <c r="M1554" s="2" t="n"/>
      <c r="N1554" s="2" t="n"/>
      <c r="O1554" s="3" t="inlineStr">
        <is>
          <t>https://vanillabonds.com/dossier-data/pdf/fastned/fastned-2025-annual-report.pdf#page=224</t>
        </is>
      </c>
    </row>
    <row r="1555">
      <c r="A1555" s="2" t="inlineStr">
        <is>
          <t>F1554</t>
        </is>
      </c>
      <c r="B1555" s="2" t="inlineStr">
        <is>
          <t>market</t>
        </is>
      </c>
      <c r="C1555" s="2" t="inlineStr">
        <is>
          <t>price_cost_series</t>
        </is>
      </c>
      <c r="D1555" s="3" t="inlineStr">
        <is>
          <t>Price or input-cost series: variable; year; value; unit; source</t>
        </is>
      </c>
      <c r="E1555" s="2" t="n"/>
      <c r="F1555" s="2" t="n">
        <v>0.53</v>
      </c>
      <c r="G1555" s="2" t="n"/>
      <c r="H1555" s="3" t="inlineStr">
        <is>
          <t>variable: gross profit margin per kWh; year: 2025; value: 0.53; unit: EUR/kWh; source: company Financial Review</t>
        </is>
      </c>
      <c r="I1555" s="2" t="inlineStr">
        <is>
          <t>S3</t>
        </is>
      </c>
      <c r="J1555" s="2" t="n">
        <v>46</v>
      </c>
      <c r="K1555" s="3" t="inlineStr">
        <is>
          <t>higher gross profit margins per kWh (€0.53 vs €0.49 in 2024)</t>
        </is>
      </c>
      <c r="L1555" s="2" t="inlineStr">
        <is>
          <t>pend</t>
        </is>
      </c>
      <c r="M1555" s="2" t="n"/>
      <c r="N1555" s="2" t="n"/>
      <c r="O1555" s="3" t="inlineStr">
        <is>
          <t>https://vanillabonds.com/dossier-data/pdf/fastned/fastned-2025-annual-report.pdf#page=46</t>
        </is>
      </c>
    </row>
    <row r="1556">
      <c r="A1556" s="2" t="inlineStr">
        <is>
          <t>F1555</t>
        </is>
      </c>
      <c r="B1556" s="2" t="inlineStr">
        <is>
          <t>market</t>
        </is>
      </c>
      <c r="C1556" s="2" t="inlineStr">
        <is>
          <t>price_cost_series</t>
        </is>
      </c>
      <c r="D1556" s="3" t="inlineStr">
        <is>
          <t>Price or input-cost series: variable; year; value; unit; source</t>
        </is>
      </c>
      <c r="E1556" s="2" t="n"/>
      <c r="F1556" s="2" t="n">
        <v>0.49</v>
      </c>
      <c r="G1556" s="2" t="n"/>
      <c r="H1556" s="3" t="inlineStr">
        <is>
          <t>variable: gross profit margin per kWh; year: 2024; value: 0.49; unit: EUR/kWh; source: company Financial Review</t>
        </is>
      </c>
      <c r="I1556" s="2" t="inlineStr">
        <is>
          <t>S3</t>
        </is>
      </c>
      <c r="J1556" s="2" t="n">
        <v>46</v>
      </c>
      <c r="K1556" s="3" t="inlineStr">
        <is>
          <t>higher gross profit margins per kWh (€0.53 vs €0.49 in 2024)</t>
        </is>
      </c>
      <c r="L1556" s="2" t="inlineStr">
        <is>
          <t>pend</t>
        </is>
      </c>
      <c r="M1556" s="2" t="n"/>
      <c r="N1556" s="2" t="n"/>
      <c r="O1556" s="3" t="inlineStr">
        <is>
          <t>https://vanillabonds.com/dossier-data/pdf/fastned/fastned-2025-annual-report.pdf#page=46</t>
        </is>
      </c>
    </row>
    <row r="1557">
      <c r="A1557" s="2" t="inlineStr">
        <is>
          <t>F1556</t>
        </is>
      </c>
      <c r="B1557" s="2" t="inlineStr">
        <is>
          <t>market</t>
        </is>
      </c>
      <c r="C1557" s="2" t="inlineStr">
        <is>
          <t>price_cost_series</t>
        </is>
      </c>
      <c r="D1557" s="3" t="inlineStr">
        <is>
          <t>Price or input-cost series: variable; year; value; unit; source</t>
        </is>
      </c>
      <c r="E1557" s="2" t="n"/>
      <c r="F1557" s="2" t="n">
        <v>22.6</v>
      </c>
      <c r="G1557" s="2" t="n"/>
      <c r="H1557" s="3" t="inlineStr">
        <is>
          <t>variable: network operation cost per charger; year: 2025; value: 22.6; unit: EUR thousand; source: company Financial Review (+19% vs 2024, higher grid fees)</t>
        </is>
      </c>
      <c r="I1557" s="2" t="inlineStr">
        <is>
          <t>S3</t>
        </is>
      </c>
      <c r="J1557" s="2" t="n">
        <v>46</v>
      </c>
      <c r="K1557" s="3" t="inlineStr">
        <is>
          <t>Network operation costs per charger, the more relevant metric, increased by 19% to € 22.6 thousand.</t>
        </is>
      </c>
      <c r="L1557" s="2" t="inlineStr">
        <is>
          <t>pend</t>
        </is>
      </c>
      <c r="M1557" s="2" t="n"/>
      <c r="N1557" s="2" t="n"/>
      <c r="O1557" s="3" t="inlineStr">
        <is>
          <t>https://vanillabonds.com/dossier-data/pdf/fastned/fastned-2025-annual-report.pdf#page=46</t>
        </is>
      </c>
    </row>
    <row r="1558">
      <c r="A1558" s="2" t="inlineStr">
        <is>
          <t>F1557</t>
        </is>
      </c>
      <c r="B1558" s="2" t="inlineStr">
        <is>
          <t>market</t>
        </is>
      </c>
      <c r="C1558" s="2" t="inlineStr">
        <is>
          <t>price_cost_series</t>
        </is>
      </c>
      <c r="D1558" s="3" t="inlineStr">
        <is>
          <t>Price or input-cost series: variable; year; value; unit; source</t>
        </is>
      </c>
      <c r="E1558" s="2" t="n"/>
      <c r="F1558" s="2" t="n">
        <v>27.6</v>
      </c>
      <c r="G1558" s="2" t="n"/>
      <c r="H1558" s="3" t="inlineStr">
        <is>
          <t>variable: cost of sales electricity; year: 2025; value: 27.6; unit: EUR m; source: Fastned annual report 2025, note 7</t>
        </is>
      </c>
      <c r="I1558" s="2" t="inlineStr">
        <is>
          <t>S3</t>
        </is>
      </c>
      <c r="J1558" s="2" t="n">
        <v>156</v>
      </c>
      <c r="K1558" s="2" t="inlineStr">
        <is>
          <t>Sales of electricity 27,646 17,848</t>
        </is>
      </c>
      <c r="L1558" s="2" t="inlineStr">
        <is>
          <t>pend</t>
        </is>
      </c>
      <c r="M1558" s="2" t="n"/>
      <c r="N1558" s="2" t="n"/>
      <c r="O1558" s="3" t="inlineStr">
        <is>
          <t>https://vanillabonds.com/dossier-data/pdf/fastned/fastned-2025-annual-report.pdf#page=156</t>
        </is>
      </c>
    </row>
    <row r="1559">
      <c r="A1559" s="2" t="inlineStr">
        <is>
          <t>F1558</t>
        </is>
      </c>
      <c r="B1559" s="2" t="inlineStr">
        <is>
          <t>market</t>
        </is>
      </c>
      <c r="C1559" s="2" t="inlineStr">
        <is>
          <t>price_cost_series</t>
        </is>
      </c>
      <c r="D1559" s="3" t="inlineStr">
        <is>
          <t>Price or input-cost series: variable; year; value; unit; source</t>
        </is>
      </c>
      <c r="E1559" s="2" t="n"/>
      <c r="F1559" s="2" t="n">
        <v>17.8</v>
      </c>
      <c r="G1559" s="2" t="n"/>
      <c r="H1559" s="3" t="inlineStr">
        <is>
          <t>variable: cost of sales electricity; year: 2024; value: 17.8; unit: EUR m; source: Fastned annual report 2025, note 7</t>
        </is>
      </c>
      <c r="I1559" s="2" t="inlineStr">
        <is>
          <t>S3</t>
        </is>
      </c>
      <c r="J1559" s="2" t="n">
        <v>156</v>
      </c>
      <c r="K1559" s="2" t="inlineStr">
        <is>
          <t>Sales of electricity 27,646 17,848</t>
        </is>
      </c>
      <c r="L1559" s="2" t="inlineStr">
        <is>
          <t>pend</t>
        </is>
      </c>
      <c r="M1559" s="2" t="n"/>
      <c r="N1559" s="2" t="n"/>
      <c r="O1559" s="3" t="inlineStr">
        <is>
          <t>https://vanillabonds.com/dossier-data/pdf/fastned/fastned-2025-annual-report.pdf#page=156</t>
        </is>
      </c>
    </row>
    <row r="1560">
      <c r="A1560" s="2" t="inlineStr">
        <is>
          <t>F1559</t>
        </is>
      </c>
      <c r="B1560" s="2" t="inlineStr">
        <is>
          <t>market</t>
        </is>
      </c>
      <c r="C1560" s="2" t="inlineStr">
        <is>
          <t>price_cost_series</t>
        </is>
      </c>
      <c r="D1560" s="3" t="inlineStr">
        <is>
          <t>Price or input-cost series: variable; year; value; unit; source</t>
        </is>
      </c>
      <c r="E1560" s="2" t="n"/>
      <c r="F1560" s="2" t="n">
        <v>18.6</v>
      </c>
      <c r="G1560" s="2" t="n"/>
      <c r="H1560" s="3" t="inlineStr">
        <is>
          <t>variable: grid fees; year: 2025; value: 18.6; unit: EUR m; source: Fastned annual report 2025, note 8.3</t>
        </is>
      </c>
      <c r="I1560" s="2" t="inlineStr">
        <is>
          <t>S3</t>
        </is>
      </c>
      <c r="J1560" s="2" t="n">
        <v>157</v>
      </c>
      <c r="K1560" s="2" t="inlineStr">
        <is>
          <t>Grid Fees 18,552 13,676</t>
        </is>
      </c>
      <c r="L1560" s="2" t="inlineStr">
        <is>
          <t>pend</t>
        </is>
      </c>
      <c r="M1560" s="2" t="n"/>
      <c r="N1560" s="2" t="n"/>
      <c r="O1560" s="3" t="inlineStr">
        <is>
          <t>https://vanillabonds.com/dossier-data/pdf/fastned/fastned-2025-annual-report.pdf#page=157</t>
        </is>
      </c>
    </row>
    <row r="1561">
      <c r="A1561" s="2" t="inlineStr">
        <is>
          <t>F1560</t>
        </is>
      </c>
      <c r="B1561" s="2" t="inlineStr">
        <is>
          <t>market</t>
        </is>
      </c>
      <c r="C1561" s="2" t="inlineStr">
        <is>
          <t>price_cost_series</t>
        </is>
      </c>
      <c r="D1561" s="3" t="inlineStr">
        <is>
          <t>Price or input-cost series: variable; year; value; unit; source</t>
        </is>
      </c>
      <c r="E1561" s="2" t="n"/>
      <c r="F1561" s="2" t="n">
        <v>13.7</v>
      </c>
      <c r="G1561" s="2" t="n"/>
      <c r="H1561" s="3" t="inlineStr">
        <is>
          <t>variable: grid fees; year: 2024; value: 13.7; unit: EUR m; source: Fastned annual report 2025, note 8.3</t>
        </is>
      </c>
      <c r="I1561" s="2" t="inlineStr">
        <is>
          <t>S3</t>
        </is>
      </c>
      <c r="J1561" s="2" t="n">
        <v>157</v>
      </c>
      <c r="K1561" s="2" t="inlineStr">
        <is>
          <t>Grid Fees 18,552 13,676</t>
        </is>
      </c>
      <c r="L1561" s="2" t="inlineStr">
        <is>
          <t>pend</t>
        </is>
      </c>
      <c r="M1561" s="2" t="n"/>
      <c r="N1561" s="2" t="n"/>
      <c r="O1561" s="3" t="inlineStr">
        <is>
          <t>https://vanillabonds.com/dossier-data/pdf/fastned/fastned-2025-annual-report.pdf#page=157</t>
        </is>
      </c>
    </row>
    <row r="1562">
      <c r="A1562" s="2" t="inlineStr">
        <is>
          <t>F1561</t>
        </is>
      </c>
      <c r="B1562" s="2" t="inlineStr">
        <is>
          <t>market</t>
        </is>
      </c>
      <c r="C1562" s="2" t="inlineStr">
        <is>
          <t>permit</t>
        </is>
      </c>
      <c r="D1562" s="3" t="inlineStr">
        <is>
          <t>Certification, licence, permit or patent: item; issuer; expiry; register</t>
        </is>
      </c>
      <c r="E1562" s="2" t="n"/>
      <c r="F1562" s="2" t="n"/>
      <c r="G1562" s="2" t="n"/>
      <c r="H1562" s="3" t="inlineStr">
        <is>
          <t>item: B Corp certification, score 90.2; issuer: B Lab (B Corp); first certified 2024; expiry: recertification aimed for 2027</t>
        </is>
      </c>
      <c r="I1562" s="2" t="inlineStr">
        <is>
          <t>S3</t>
        </is>
      </c>
      <c r="J1562" s="2" t="n">
        <v>57</v>
      </c>
      <c r="K1562" s="3" t="inlineStr">
        <is>
          <t>Fastned certified as a B Corp for the first time in 2024 with a score of 90.2.</t>
        </is>
      </c>
      <c r="L1562" s="2" t="inlineStr">
        <is>
          <t>pend</t>
        </is>
      </c>
      <c r="M1562" s="2" t="n"/>
      <c r="N1562" s="2" t="n"/>
      <c r="O1562" s="3" t="inlineStr">
        <is>
          <t>https://vanillabonds.com/dossier-data/pdf/fastned/fastned-2025-annual-report.pdf#page=57</t>
        </is>
      </c>
    </row>
    <row r="1563">
      <c r="A1563" s="2" t="inlineStr">
        <is>
          <t>F1562</t>
        </is>
      </c>
      <c r="B1563" s="2" t="inlineStr">
        <is>
          <t>market</t>
        </is>
      </c>
      <c r="C1563" s="2" t="inlineStr">
        <is>
          <t>permit</t>
        </is>
      </c>
      <c r="D1563" s="3" t="inlineStr">
        <is>
          <t>Certification, licence, permit or patent: item; issuer; expiry; register</t>
        </is>
      </c>
      <c r="E1563" s="2" t="n"/>
      <c r="F1563" s="2" t="n"/>
      <c r="G1563" s="2" t="n"/>
      <c r="H1563" s="3" t="inlineStr">
        <is>
          <t>item: CO2 Performance Ladder certification, level 2 of 3 under handbook 4.0; certified since 2023, recertified late 2025, annual recertification</t>
        </is>
      </c>
      <c r="I1563" s="2" t="inlineStr">
        <is>
          <t>S3</t>
        </is>
      </c>
      <c r="J1563" s="2" t="n">
        <v>64</v>
      </c>
      <c r="K1563" s="3" t="inlineStr">
        <is>
          <t>In late 2025, Fastned underwent a successful recertification for the CO2 Performance Ladder, this time using the new handbook 4.0.</t>
        </is>
      </c>
      <c r="L1563" s="2" t="inlineStr">
        <is>
          <t>pend</t>
        </is>
      </c>
      <c r="M1563" s="2" t="n"/>
      <c r="N1563" s="2" t="n"/>
      <c r="O1563" s="3" t="inlineStr">
        <is>
          <t>https://vanillabonds.com/dossier-data/pdf/fastned/fastned-2025-annual-report.pdf#page=64</t>
        </is>
      </c>
    </row>
    <row r="1564">
      <c r="A1564" s="2" t="inlineStr">
        <is>
          <t>F1563</t>
        </is>
      </c>
      <c r="B1564" s="2" t="inlineStr">
        <is>
          <t>market</t>
        </is>
      </c>
      <c r="C1564" s="2" t="inlineStr">
        <is>
          <t>permit</t>
        </is>
      </c>
      <c r="D1564" s="3" t="inlineStr">
        <is>
          <t>Certification, licence, permit or patent: item; issuer; expiry; register</t>
        </is>
      </c>
      <c r="E1564" s="2" t="n"/>
      <c r="F1564" s="2" t="n"/>
      <c r="G1564" s="2" t="n"/>
      <c r="H1564" s="3" t="inlineStr">
        <is>
          <t>item: ChargeSafe accessibility inspection of UK stations against draft PAS1899 BSI standard; issuer: ChargeSafe; 2025</t>
        </is>
      </c>
      <c r="I1564" s="2" t="inlineStr">
        <is>
          <t>S3</t>
        </is>
      </c>
      <c r="J1564" s="2" t="n">
        <v>73</v>
      </c>
      <c r="K1564" s="3" t="inlineStr">
        <is>
          <t>In 2025, Fastned’s UK stations were again professionally reviewed by ChargeSafe</t>
        </is>
      </c>
      <c r="L1564" s="2" t="inlineStr">
        <is>
          <t>pend</t>
        </is>
      </c>
      <c r="M1564" s="2" t="n"/>
      <c r="N1564" s="2" t="n"/>
      <c r="O1564" s="3" t="inlineStr">
        <is>
          <t>https://vanillabonds.com/dossier-data/pdf/fastned/fastned-2025-annual-report.pdf#page=73</t>
        </is>
      </c>
    </row>
    <row r="1565">
      <c r="A1565" s="2" t="inlineStr">
        <is>
          <t>F1564</t>
        </is>
      </c>
      <c r="B1565" s="2" t="inlineStr">
        <is>
          <t>market</t>
        </is>
      </c>
      <c r="C1565" s="2" t="inlineStr">
        <is>
          <t>permit</t>
        </is>
      </c>
      <c r="D1565" s="3" t="inlineStr">
        <is>
          <t>Certification, licence, permit or patent: item; issuer; expiry; register</t>
        </is>
      </c>
      <c r="E1565" s="2" t="n"/>
      <c r="F1565" s="2" t="n"/>
      <c r="G1565" s="2" t="n"/>
      <c r="H1565" s="3" t="inlineStr">
        <is>
          <t>item: Rijkswaterstaat (RWS) highway charging concessions granted 2013, generally 15-year; issuer: Rijkswaterstaat (Dutch government); expiry: 2028-2036</t>
        </is>
      </c>
      <c r="I1565" s="2" t="inlineStr">
        <is>
          <t>S3</t>
        </is>
      </c>
      <c r="J1565" s="2" t="n">
        <v>142</v>
      </c>
      <c r="K1565" s="3" t="inlineStr">
        <is>
          <t>A significant portion of the Group’s network in the Netherlands operates under concessions granted by Rijkswaterstaat (RWS) in 2013.</t>
        </is>
      </c>
      <c r="L1565" s="2" t="inlineStr">
        <is>
          <t>pend</t>
        </is>
      </c>
      <c r="M1565" s="2" t="n"/>
      <c r="N1565" s="2" t="n"/>
      <c r="O1565" s="3" t="inlineStr">
        <is>
          <t>https://vanillabonds.com/dossier-data/pdf/fastned/fastned-2025-annual-report.pdf#page=142</t>
        </is>
      </c>
    </row>
    <row r="1566">
      <c r="A1566" s="2" t="inlineStr">
        <is>
          <t>F1565</t>
        </is>
      </c>
      <c r="B1566" s="2" t="inlineStr">
        <is>
          <t>market</t>
        </is>
      </c>
      <c r="C1566" s="2" t="inlineStr">
        <is>
          <t>permit</t>
        </is>
      </c>
      <c r="D1566" s="3" t="inlineStr">
        <is>
          <t>Certification, licence, permit or patent: item; issuer; expiry; register</t>
        </is>
      </c>
      <c r="E1566" s="2" t="n"/>
      <c r="F1566" s="2" t="n"/>
      <c r="G1566" s="2" t="n"/>
      <c r="H1566" s="3" t="inlineStr">
        <is>
          <t>item: Dutch charging-station concessions granted in 2013 (15-year duration, significant portion of the Dutch network); expiry: 2028 to 2036</t>
        </is>
      </c>
      <c r="I1566" s="2" t="inlineStr">
        <is>
          <t>S3</t>
        </is>
      </c>
      <c r="J1566" s="2" t="n">
        <v>225</v>
      </c>
      <c r="K1566" s="3" t="inlineStr">
        <is>
          <t>A significant portion of the group’s network in the Netherlands operates under concessions granted in 2013.</t>
        </is>
      </c>
      <c r="L1566" s="2" t="inlineStr">
        <is>
          <t>pend</t>
        </is>
      </c>
      <c r="M1566" s="2" t="n"/>
      <c r="N1566" s="2" t="n"/>
      <c r="O1566" s="3" t="inlineStr">
        <is>
          <t>https://vanillabonds.com/dossier-data/pdf/fastned/fastned-2025-annual-report.pdf#page=225</t>
        </is>
      </c>
    </row>
    <row r="1567">
      <c r="A1567" s="2" t="inlineStr">
        <is>
          <t>F1566</t>
        </is>
      </c>
      <c r="B1567" s="2" t="inlineStr">
        <is>
          <t>market</t>
        </is>
      </c>
      <c r="C1567" s="2" t="inlineStr">
        <is>
          <t>permit</t>
        </is>
      </c>
      <c r="D1567" s="3" t="inlineStr">
        <is>
          <t>Certification, licence, permit or patent: item; issuer; expiry; register</t>
        </is>
      </c>
      <c r="E1567" s="2" t="n"/>
      <c r="F1567" s="2" t="n"/>
      <c r="G1567" s="2" t="n"/>
      <c r="H1567" s="3" t="inlineStr">
        <is>
          <t>item: CO2 Performance Ladder (CO2-Prestatieladder) certification; issuer: not named; register: certification update reported in the climate section</t>
        </is>
      </c>
      <c r="I1567" s="2" t="inlineStr">
        <is>
          <t>S3</t>
        </is>
      </c>
      <c r="J1567" s="2" t="n">
        <v>237</v>
      </c>
      <c r="K1567" s="3" t="inlineStr">
        <is>
          <t>CO2 Performance Ladder (Prestatieladder) certification update</t>
        </is>
      </c>
      <c r="L1567" s="2" t="inlineStr">
        <is>
          <t>pend</t>
        </is>
      </c>
      <c r="M1567" s="2" t="n"/>
      <c r="N1567" s="2" t="n"/>
      <c r="O1567" s="3" t="inlineStr">
        <is>
          <t>https://vanillabonds.com/dossier-data/pdf/fastned/fastned-2025-annual-report.pdf#page=237</t>
        </is>
      </c>
    </row>
    <row r="1568">
      <c r="A1568" s="2" t="inlineStr">
        <is>
          <t>F1567</t>
        </is>
      </c>
      <c r="B1568" s="2" t="inlineStr">
        <is>
          <t>financials</t>
        </is>
      </c>
      <c r="C1568" s="2" t="inlineStr">
        <is>
          <t>addback_item</t>
        </is>
      </c>
      <c r="D1568" s="3" t="inlineStr">
        <is>
          <t>EBITDA add-back: item; amount; justification as given by the company</t>
        </is>
      </c>
      <c r="E1568" s="2" t="inlineStr">
        <is>
          <t>FY2023</t>
        </is>
      </c>
      <c r="F1568" s="2" t="n">
        <v>2.7</v>
      </c>
      <c r="G1568" s="2" t="n"/>
      <c r="H1568" s="3" t="inlineStr">
        <is>
          <t>item: options awarded to staff excluded from underlying EBITDA; amount: 2.7; justification as given by the company: exceptional item</t>
        </is>
      </c>
      <c r="I1568" s="2" t="inlineStr">
        <is>
          <t>S3</t>
        </is>
      </c>
      <c r="J1568" s="2" t="n">
        <v>46</v>
      </c>
      <c r="K1568" s="2" t="inlineStr">
        <is>
          <t>Options awarded to staff — — (2.7)</t>
        </is>
      </c>
      <c r="L1568" s="2" t="inlineStr">
        <is>
          <t>pend</t>
        </is>
      </c>
      <c r="M1568" s="2" t="n"/>
      <c r="N1568" s="2" t="n"/>
      <c r="O1568" s="3" t="inlineStr">
        <is>
          <t>https://vanillabonds.com/dossier-data/pdf/fastned/fastned-2025-annual-report.pdf#page=46</t>
        </is>
      </c>
    </row>
    <row r="1569">
      <c r="A1569" s="2" t="inlineStr">
        <is>
          <t>F1568</t>
        </is>
      </c>
      <c r="B1569" s="2" t="inlineStr">
        <is>
          <t>financials</t>
        </is>
      </c>
      <c r="C1569" s="2" t="inlineStr">
        <is>
          <t>addback_item</t>
        </is>
      </c>
      <c r="D1569" s="3" t="inlineStr">
        <is>
          <t>EBITDA add-back: item; amount; justification as given by the company</t>
        </is>
      </c>
      <c r="E1569" s="2" t="inlineStr">
        <is>
          <t>FY2024</t>
        </is>
      </c>
      <c r="F1569" s="2" t="n">
        <v>1.5</v>
      </c>
      <c r="G1569" s="2" t="n"/>
      <c r="H1569" s="3" t="inlineStr">
        <is>
          <t>item: impairment losses excluded from underlying EBITDA; amount: 1.5; justification as given by the company: exceptional item</t>
        </is>
      </c>
      <c r="I1569" s="2" t="inlineStr">
        <is>
          <t>S3</t>
        </is>
      </c>
      <c r="J1569" s="2" t="n">
        <v>46</v>
      </c>
      <c r="K1569" s="2" t="inlineStr">
        <is>
          <t>Impairment losses and gains — (1.5) —</t>
        </is>
      </c>
      <c r="L1569" s="2" t="inlineStr">
        <is>
          <t>pend</t>
        </is>
      </c>
      <c r="M1569" s="2" t="n"/>
      <c r="N1569" s="2" t="n"/>
      <c r="O1569" s="3" t="inlineStr">
        <is>
          <t>https://vanillabonds.com/dossier-data/pdf/fastned/fastned-2025-annual-report.pdf#page=46</t>
        </is>
      </c>
    </row>
    <row r="1570">
      <c r="A1570" s="2" t="inlineStr">
        <is>
          <t>F1569</t>
        </is>
      </c>
      <c r="B1570" s="2" t="inlineStr">
        <is>
          <t>financials</t>
        </is>
      </c>
      <c r="C1570" s="2" t="inlineStr">
        <is>
          <t>one_off</t>
        </is>
      </c>
      <c r="D1570" s="3" t="inlineStr">
        <is>
          <t>One-off item: item; amount; recurrence (years in which it recurred)</t>
        </is>
      </c>
      <c r="E1570" s="2" t="inlineStr">
        <is>
          <t>FY2023</t>
        </is>
      </c>
      <c r="F1570" s="2" t="n">
        <v>-3.2</v>
      </c>
      <c r="G1570" s="2" t="n"/>
      <c r="H1570" s="3" t="inlineStr">
        <is>
          <t>item: exceptional items (net); amount: -3.2; recurrence: 2025 (6.5), 2024 (-1.3)</t>
        </is>
      </c>
      <c r="I1570" s="2" t="inlineStr">
        <is>
          <t>S3</t>
        </is>
      </c>
      <c r="J1570" s="2" t="n">
        <v>45</v>
      </c>
      <c r="K1570" s="2" t="inlineStr">
        <is>
          <t>Exceptional items 6.5 (1.3) (3.2)</t>
        </is>
      </c>
      <c r="L1570" s="2" t="inlineStr">
        <is>
          <t>pend</t>
        </is>
      </c>
      <c r="M1570" s="2" t="n"/>
      <c r="N1570" s="2" t="n"/>
      <c r="O1570" s="3" t="inlineStr">
        <is>
          <t>https://vanillabonds.com/dossier-data/pdf/fastned/fastned-2025-annual-report.pdf#page=45</t>
        </is>
      </c>
    </row>
    <row r="1571">
      <c r="A1571" s="2" t="inlineStr">
        <is>
          <t>F1570</t>
        </is>
      </c>
      <c r="B1571" s="2" t="inlineStr">
        <is>
          <t>financials</t>
        </is>
      </c>
      <c r="C1571" s="2" t="inlineStr">
        <is>
          <t>one_off</t>
        </is>
      </c>
      <c r="D1571" s="3" t="inlineStr">
        <is>
          <t>One-off item: item; amount; recurrence (years in which it recurred)</t>
        </is>
      </c>
      <c r="E1571" s="2" t="inlineStr">
        <is>
          <t>FY2024</t>
        </is>
      </c>
      <c r="F1571" s="2" t="n">
        <v>-1.3</v>
      </c>
      <c r="G1571" s="2" t="n"/>
      <c r="H1571" s="3" t="inlineStr">
        <is>
          <t>item: exceptional items (net); amount: -1.3; recurrence: 2025 (6.5), 2023 (-3.2)</t>
        </is>
      </c>
      <c r="I1571" s="2" t="inlineStr">
        <is>
          <t>S3</t>
        </is>
      </c>
      <c r="J1571" s="2" t="n">
        <v>45</v>
      </c>
      <c r="K1571" s="2" t="inlineStr">
        <is>
          <t>Exceptional items 6.5 (1.3) (3.2)</t>
        </is>
      </c>
      <c r="L1571" s="2" t="inlineStr">
        <is>
          <t>pend</t>
        </is>
      </c>
      <c r="M1571" s="2" t="n"/>
      <c r="N1571" s="2" t="n"/>
      <c r="O1571" s="3" t="inlineStr">
        <is>
          <t>https://vanillabonds.com/dossier-data/pdf/fastned/fastned-2025-annual-report.pdf#page=45</t>
        </is>
      </c>
    </row>
    <row r="1572">
      <c r="A1572" s="2" t="inlineStr">
        <is>
          <t>F1571</t>
        </is>
      </c>
      <c r="B1572" s="2" t="inlineStr">
        <is>
          <t>financials</t>
        </is>
      </c>
      <c r="C1572" s="2" t="inlineStr">
        <is>
          <t>one_off</t>
        </is>
      </c>
      <c r="D1572" s="3" t="inlineStr">
        <is>
          <t>One-off item: item; amount; recurrence (years in which it recurred)</t>
        </is>
      </c>
      <c r="E1572" s="2" t="inlineStr">
        <is>
          <t>FY2024</t>
        </is>
      </c>
      <c r="F1572" s="2" t="n">
        <v>1.5</v>
      </c>
      <c r="G1572" s="2" t="n"/>
      <c r="H1572" s="3" t="inlineStr">
        <is>
          <t>item: exceptional administrative expenses (impairment of ABB chargers and option plan costs); amount: 1.5; recurrence: 2025 (0.0)</t>
        </is>
      </c>
      <c r="I1572" s="2" t="inlineStr">
        <is>
          <t>S3</t>
        </is>
      </c>
      <c r="J1572" s="2" t="n">
        <v>114</v>
      </c>
      <c r="K1572" s="3" t="inlineStr">
        <is>
          <t>(8,243) (12,203) (24,143) (1,528) (46,117)</t>
        </is>
      </c>
      <c r="L1572" s="2" t="inlineStr">
        <is>
          <t>pend</t>
        </is>
      </c>
      <c r="M1572" s="2" t="n"/>
      <c r="N1572" s="2" t="n"/>
      <c r="O1572" s="3" t="inlineStr">
        <is>
          <t>https://vanillabonds.com/dossier-data/pdf/fastned/fastned-2025-annual-report.pdf#page=114</t>
        </is>
      </c>
    </row>
    <row r="1573">
      <c r="A1573" s="2" t="inlineStr">
        <is>
          <t>F1572</t>
        </is>
      </c>
      <c r="B1573" s="2" t="inlineStr">
        <is>
          <t>financials</t>
        </is>
      </c>
      <c r="C1573" s="2" t="inlineStr">
        <is>
          <t>one_off</t>
        </is>
      </c>
      <c r="D1573" s="3" t="inlineStr">
        <is>
          <t>One-off item: item; amount; recurrence (years in which it recurred)</t>
        </is>
      </c>
      <c r="E1573" s="2" t="inlineStr">
        <is>
          <t>FY2024</t>
        </is>
      </c>
      <c r="F1573" s="2" t="n">
        <v>1.5</v>
      </c>
      <c r="G1573" s="2" t="n"/>
      <c r="H1573" s="3" t="inlineStr">
        <is>
          <t>item: impairment of ABB chargers; amount: 1.5; recurrence: 2025 (0.2)</t>
        </is>
      </c>
      <c r="I1573" s="2" t="inlineStr">
        <is>
          <t>S3</t>
        </is>
      </c>
      <c r="J1573" s="2" t="n">
        <v>157</v>
      </c>
      <c r="K1573" s="3" t="inlineStr">
        <is>
          <t>an impairment loss of €0.2 million (2024: €1.5 million) related to ABB chargers was recognized due to a review of recoverable amounts.</t>
        </is>
      </c>
      <c r="L1573" s="2" t="inlineStr">
        <is>
          <t>pend</t>
        </is>
      </c>
      <c r="M1573" s="2" t="n"/>
      <c r="N1573" s="2" t="n"/>
      <c r="O1573" s="3" t="inlineStr">
        <is>
          <t>https://vanillabonds.com/dossier-data/pdf/fastned/fastned-2025-annual-report.pdf#page=157</t>
        </is>
      </c>
    </row>
    <row r="1574">
      <c r="A1574" s="2" t="inlineStr">
        <is>
          <t>F1573</t>
        </is>
      </c>
      <c r="B1574" s="2" t="inlineStr">
        <is>
          <t>financials</t>
        </is>
      </c>
      <c r="C1574" s="2" t="inlineStr">
        <is>
          <t>one_off</t>
        </is>
      </c>
      <c r="D1574" s="3" t="inlineStr">
        <is>
          <t>One-off item: item; amount; recurrence (years in which it recurred)</t>
        </is>
      </c>
      <c r="E1574" s="2" t="inlineStr">
        <is>
          <t>FY2024</t>
        </is>
      </c>
      <c r="F1574" s="2" t="n">
        <v>1.5</v>
      </c>
      <c r="G1574" s="2" t="n"/>
      <c r="H1574" s="3" t="inlineStr">
        <is>
          <t>item: impairment of non-operational ABB chargers (parent company PP&amp;E note); amount: 1.5; recurrence: 2024, no significant additional impairment in 2025</t>
        </is>
      </c>
      <c r="I1574" s="2" t="inlineStr">
        <is>
          <t>S3</t>
        </is>
      </c>
      <c r="J1574" s="2" t="n">
        <v>205</v>
      </c>
      <c r="K1574" s="3" t="inlineStr">
        <is>
          <t>During 2025, no significant additional impairment losses were recognised on charging equipment (2024: €1.5 million).</t>
        </is>
      </c>
      <c r="L1574" s="2" t="inlineStr">
        <is>
          <t>pend</t>
        </is>
      </c>
      <c r="M1574" s="2" t="n"/>
      <c r="N1574" s="2" t="n"/>
      <c r="O1574" s="3" t="inlineStr">
        <is>
          <t>https://vanillabonds.com/dossier-data/pdf/fastned/fastned-2025-annual-report.pdf#page=205</t>
        </is>
      </c>
    </row>
    <row r="1575">
      <c r="A1575" s="2" t="inlineStr">
        <is>
          <t>F1574</t>
        </is>
      </c>
      <c r="B1575" s="2" t="inlineStr">
        <is>
          <t>financials</t>
        </is>
      </c>
      <c r="C1575" s="2" t="inlineStr">
        <is>
          <t>one_off</t>
        </is>
      </c>
      <c r="D1575" s="3" t="inlineStr">
        <is>
          <t>One-off item: item; amount; recurrence (years in which it recurred)</t>
        </is>
      </c>
      <c r="E1575" s="2" t="inlineStr">
        <is>
          <t>FY2025</t>
        </is>
      </c>
      <c r="F1575" s="2" t="n">
        <v>6.5</v>
      </c>
      <c r="G1575" s="2" t="n"/>
      <c r="H1575" s="3" t="inlineStr">
        <is>
          <t>item: exceptional items (net gain), mainly construction of sites in Germany for the highway authority; amount: 6.5; recurrence: 2024 (-1.3), 2023 (-3.2)</t>
        </is>
      </c>
      <c r="I1575" s="2" t="inlineStr">
        <is>
          <t>S3</t>
        </is>
      </c>
      <c r="J1575" s="2" t="n">
        <v>46</v>
      </c>
      <c r="K1575" s="3" t="inlineStr">
        <is>
          <t>Exceptional items during the period were €6.5 million, mainly related to the construction of sites in Germany for the highway authority, see note 6.</t>
        </is>
      </c>
      <c r="L1575" s="2" t="inlineStr">
        <is>
          <t>pend</t>
        </is>
      </c>
      <c r="M1575" s="2" t="n"/>
      <c r="N1575" s="2" t="n"/>
      <c r="O1575" s="3" t="inlineStr">
        <is>
          <t>https://vanillabonds.com/dossier-data/pdf/fastned/fastned-2025-annual-report.pdf#page=46</t>
        </is>
      </c>
    </row>
    <row r="1576">
      <c r="A1576" s="2" t="inlineStr">
        <is>
          <t>F1575</t>
        </is>
      </c>
      <c r="B1576" s="2" t="inlineStr">
        <is>
          <t>financials</t>
        </is>
      </c>
      <c r="C1576" s="2" t="inlineStr">
        <is>
          <t>one_off</t>
        </is>
      </c>
      <c r="D1576" s="3" t="inlineStr">
        <is>
          <t>One-off item: item; amount; recurrence (years in which it recurred)</t>
        </is>
      </c>
      <c r="E1576" s="2" t="inlineStr">
        <is>
          <t>FY2025</t>
        </is>
      </c>
      <c r="F1576" s="2" t="n">
        <v>6.6</v>
      </c>
      <c r="G1576" s="2" t="n"/>
      <c r="H1576" s="3" t="inlineStr">
        <is>
          <t>item: gross profit from station construction (exceptional item); amount: 6.6; recurrence: 2024 (0.1)</t>
        </is>
      </c>
      <c r="I1576" s="2" t="inlineStr">
        <is>
          <t>S3</t>
        </is>
      </c>
      <c r="J1576" s="2" t="n">
        <v>46</v>
      </c>
      <c r="K1576" s="3" t="inlineStr">
        <is>
          <t>Gross profit from station construction 6.6 0.1 —</t>
        </is>
      </c>
      <c r="L1576" s="2" t="inlineStr">
        <is>
          <t>pend</t>
        </is>
      </c>
      <c r="M1576" s="2" t="n"/>
      <c r="N1576" s="2" t="n"/>
      <c r="O1576" s="3" t="inlineStr">
        <is>
          <t>https://vanillabonds.com/dossier-data/pdf/fastned/fastned-2025-annual-report.pdf#page=46</t>
        </is>
      </c>
    </row>
    <row r="1577">
      <c r="A1577" s="2" t="inlineStr">
        <is>
          <t>F1576</t>
        </is>
      </c>
      <c r="B1577" s="2" t="inlineStr">
        <is>
          <t>financials</t>
        </is>
      </c>
      <c r="C1577" s="2" t="inlineStr">
        <is>
          <t>one_off</t>
        </is>
      </c>
      <c r="D1577" s="3" t="inlineStr">
        <is>
          <t>One-off item: item; amount; recurrence (years in which it recurred)</t>
        </is>
      </c>
      <c r="E1577" s="2" t="inlineStr">
        <is>
          <t>FY2025</t>
        </is>
      </c>
      <c r="F1577" s="2" t="n">
        <v>6.6</v>
      </c>
      <c r="G1577" s="2" t="n"/>
      <c r="H1577" s="3" t="inlineStr">
        <is>
          <t>item: gross profit on station construction for third parties (German Highway Tender), presented as exceptional item; amount: 6.6; recurrence: 2024 (0.1)</t>
        </is>
      </c>
      <c r="I1577" s="2" t="inlineStr">
        <is>
          <t>S3</t>
        </is>
      </c>
      <c r="J1577" s="2" t="n">
        <v>114</v>
      </c>
      <c r="K1577" s="2" t="inlineStr">
        <is>
          <t>Gross Profit 96,241 — — 6,599 102,841</t>
        </is>
      </c>
      <c r="L1577" s="2" t="inlineStr">
        <is>
          <t>pend</t>
        </is>
      </c>
      <c r="M1577" s="2" t="n"/>
      <c r="N1577" s="2" t="n"/>
      <c r="O1577" s="3" t="inlineStr">
        <is>
          <t>https://vanillabonds.com/dossier-data/pdf/fastned/fastned-2025-annual-report.pdf#page=114</t>
        </is>
      </c>
    </row>
    <row r="1578">
      <c r="A1578" s="2" t="inlineStr">
        <is>
          <t>F1577</t>
        </is>
      </c>
      <c r="B1578" s="2" t="inlineStr">
        <is>
          <t>financials</t>
        </is>
      </c>
      <c r="C1578" s="2" t="inlineStr">
        <is>
          <t>one_off</t>
        </is>
      </c>
      <c r="D1578" s="3" t="inlineStr">
        <is>
          <t>One-off item: item; amount; recurrence (years in which it recurred)</t>
        </is>
      </c>
      <c r="E1578" s="2" t="inlineStr">
        <is>
          <t>FY2025</t>
        </is>
      </c>
      <c r="F1578" s="2" t="n">
        <v>0.2</v>
      </c>
      <c r="G1578" s="2" t="n"/>
      <c r="H1578" s="3" t="inlineStr">
        <is>
          <t>item: impairment of ABB chargers after review of recoverable amounts; amount: 0.2; recurrence: 2024 (1.5)</t>
        </is>
      </c>
      <c r="I1578" s="2" t="inlineStr">
        <is>
          <t>S3</t>
        </is>
      </c>
      <c r="J1578" s="2" t="n">
        <v>157</v>
      </c>
      <c r="K1578" s="3" t="inlineStr">
        <is>
          <t>an impairment loss of €0.2 million (2024: €1.5 million) related to ABB chargers was recognized due to a review of recoverable amounts.</t>
        </is>
      </c>
      <c r="L1578" s="2" t="inlineStr">
        <is>
          <t>pend</t>
        </is>
      </c>
      <c r="M1578" s="2" t="n"/>
      <c r="N1578" s="2" t="n"/>
      <c r="O1578" s="3" t="inlineStr">
        <is>
          <t>https://vanillabonds.com/dossier-data/pdf/fastned/fastned-2025-annual-report.pdf#page=157</t>
        </is>
      </c>
    </row>
    <row r="1579">
      <c r="A1579" s="2" t="inlineStr">
        <is>
          <t>F1578</t>
        </is>
      </c>
      <c r="B1579" s="2" t="inlineStr">
        <is>
          <t>financials</t>
        </is>
      </c>
      <c r="C1579" s="2" t="inlineStr">
        <is>
          <t>offbalance_item</t>
        </is>
      </c>
      <c r="D1579" s="3" t="inlineStr">
        <is>
          <t>Off-balance item: kind (lease, factoring, guarantee given, pension deficit, earn-out, litigation provision); amount; counterparty</t>
        </is>
      </c>
      <c r="E1579" s="2" t="inlineStr">
        <is>
          <t>FY2024</t>
        </is>
      </c>
      <c r="F1579" s="2" t="n">
        <v>15</v>
      </c>
      <c r="G1579" s="2" t="n"/>
      <c r="H1579" s="3" t="inlineStr">
        <is>
          <t>kind: guarantee given; amount: 15.0; counterparty: bank guarantees drawn under the Fastned B.V. bank guarantee facility</t>
        </is>
      </c>
      <c r="I1579" s="2" t="inlineStr">
        <is>
          <t>S3</t>
        </is>
      </c>
      <c r="J1579" s="2" t="n">
        <v>183</v>
      </c>
      <c r="K1579" s="3" t="inlineStr">
        <is>
          <t>of which €15.9 million (2024: €15.0 million)</t>
        </is>
      </c>
      <c r="L1579" s="2" t="inlineStr">
        <is>
          <t>pend</t>
        </is>
      </c>
      <c r="M1579" s="2" t="n"/>
      <c r="N1579" s="2" t="n"/>
      <c r="O1579" s="3" t="inlineStr">
        <is>
          <t>https://vanillabonds.com/dossier-data/pdf/fastned/fastned-2025-annual-report.pdf#page=183</t>
        </is>
      </c>
    </row>
    <row r="1580">
      <c r="A1580" s="2" t="inlineStr">
        <is>
          <t>F1579</t>
        </is>
      </c>
      <c r="B1580" s="2" t="inlineStr">
        <is>
          <t>financials</t>
        </is>
      </c>
      <c r="C1580" s="2" t="inlineStr">
        <is>
          <t>offbalance_item</t>
        </is>
      </c>
      <c r="D1580" s="3" t="inlineStr">
        <is>
          <t>Off-balance item: kind (lease, factoring, guarantee given, pension deficit, earn-out, litigation provision); amount; counterparty</t>
        </is>
      </c>
      <c r="E1580" s="2" t="inlineStr">
        <is>
          <t>FY2024</t>
        </is>
      </c>
      <c r="F1580" s="2" t="n">
        <v>15</v>
      </c>
      <c r="G1580" s="2" t="n"/>
      <c r="H1580" s="3" t="inlineStr">
        <is>
          <t>kind: guarantee given (bank guarantees drawn under the EUR 17m facility); amount: 15.0; counterparty: beneficiaries not named</t>
        </is>
      </c>
      <c r="I1580" s="2" t="inlineStr">
        <is>
          <t>S3</t>
        </is>
      </c>
      <c r="J1580" s="2" t="n">
        <v>212</v>
      </c>
      <c r="K1580" s="3" t="inlineStr">
        <is>
          <t>Fastned B.V. has a bank guarantee facility amounting to €17 million at 31 December 2025 (2024: €17.0 million), of which €15.9 million (2024: €15.0 million) have been drawn.</t>
        </is>
      </c>
      <c r="L1580" s="2" t="inlineStr">
        <is>
          <t>pend</t>
        </is>
      </c>
      <c r="M1580" s="2" t="n"/>
      <c r="N1580" s="2" t="n"/>
      <c r="O1580" s="3" t="inlineStr">
        <is>
          <t>https://vanillabonds.com/dossier-data/pdf/fastned/fastned-2025-annual-report.pdf#page=212</t>
        </is>
      </c>
    </row>
    <row r="1581">
      <c r="A1581" s="2" t="inlineStr">
        <is>
          <t>F1580</t>
        </is>
      </c>
      <c r="B1581" s="2" t="inlineStr">
        <is>
          <t>financials</t>
        </is>
      </c>
      <c r="C1581" s="2" t="inlineStr">
        <is>
          <t>offbalance_item</t>
        </is>
      </c>
      <c r="D1581" s="3" t="inlineStr">
        <is>
          <t>Off-balance item: kind (lease, factoring, guarantee given, pension deficit, earn-out, litigation provision); amount; counterparty</t>
        </is>
      </c>
      <c r="E1581" s="2" t="inlineStr">
        <is>
          <t>FY2025</t>
        </is>
      </c>
      <c r="F1581" s="2" t="n">
        <v>0</v>
      </c>
      <c r="G1581" s="2" t="n"/>
      <c r="H1581" s="3" t="inlineStr">
        <is>
          <t>kind: pension deficit; amount: 0.0 (defined contribution plans only, plan assets and liabilities not on the balance sheet, cost €1.3m in 2025, 2024: €0.9m); counterparty: separately administered funds in NL, BE, DK and UK</t>
        </is>
      </c>
      <c r="I1581" s="2" t="inlineStr">
        <is>
          <t>S3</t>
        </is>
      </c>
      <c r="J1581" s="2" t="n">
        <v>157</v>
      </c>
      <c r="K1581" s="3" t="inlineStr">
        <is>
          <t>The assets and liabilities of such plans are not included in the balance sheet of the Group.</t>
        </is>
      </c>
      <c r="L1581" s="2" t="inlineStr">
        <is>
          <t>pend</t>
        </is>
      </c>
      <c r="M1581" s="2" t="n"/>
      <c r="N1581" s="2" t="n"/>
      <c r="O1581" s="3" t="inlineStr">
        <is>
          <t>https://vanillabonds.com/dossier-data/pdf/fastned/fastned-2025-annual-report.pdf#page=157</t>
        </is>
      </c>
    </row>
    <row r="1582">
      <c r="A1582" s="2" t="inlineStr">
        <is>
          <t>F1581</t>
        </is>
      </c>
      <c r="B1582" s="2" t="inlineStr">
        <is>
          <t>financials</t>
        </is>
      </c>
      <c r="C1582" s="2" t="inlineStr">
        <is>
          <t>offbalance_item</t>
        </is>
      </c>
      <c r="D1582" s="3" t="inlineStr">
        <is>
          <t>Off-balance item: kind (lease, factoring, guarantee given, pension deficit, earn-out, litigation provision); amount; counterparty</t>
        </is>
      </c>
      <c r="E1582" s="2" t="inlineStr">
        <is>
          <t>FY2025</t>
        </is>
      </c>
      <c r="F1582" s="2" t="n">
        <v>0.8</v>
      </c>
      <c r="G1582" s="2" t="n"/>
      <c r="H1582" s="3" t="inlineStr">
        <is>
          <t>kind: lease (short-term and low-value lease commitments not on balance sheet); amount: 0.8 (2024: 0.7); counterparty: various lessors</t>
        </is>
      </c>
      <c r="I1582" s="2" t="inlineStr">
        <is>
          <t>S3</t>
        </is>
      </c>
      <c r="J1582" s="2" t="n">
        <v>169</v>
      </c>
      <c r="K1582" s="3" t="inlineStr">
        <is>
          <t>As of December 31, 2025, the Group is committed to €788 thousand (2024: €703 thousand) for short term and low value leases.</t>
        </is>
      </c>
      <c r="L1582" s="2" t="inlineStr">
        <is>
          <t>pend</t>
        </is>
      </c>
      <c r="M1582" s="2" t="n"/>
      <c r="N1582" s="2" t="n"/>
      <c r="O1582" s="3" t="inlineStr">
        <is>
          <t>https://vanillabonds.com/dossier-data/pdf/fastned/fastned-2025-annual-report.pdf#page=169</t>
        </is>
      </c>
    </row>
    <row r="1583">
      <c r="A1583" s="2" t="inlineStr">
        <is>
          <t>F1582</t>
        </is>
      </c>
      <c r="B1583" s="2" t="inlineStr">
        <is>
          <t>financials</t>
        </is>
      </c>
      <c r="C1583" s="2" t="inlineStr">
        <is>
          <t>offbalance_item</t>
        </is>
      </c>
      <c r="D1583" s="3" t="inlineStr">
        <is>
          <t>Off-balance item: kind (lease, factoring, guarantee given, pension deficit, earn-out, litigation provision); amount; counterparty</t>
        </is>
      </c>
      <c r="E1583" s="2" t="inlineStr">
        <is>
          <t>FY2025</t>
        </is>
      </c>
      <c r="F1583" s="2" t="n">
        <v>15.9</v>
      </c>
      <c r="G1583" s="2" t="n"/>
      <c r="H1583" s="3" t="inlineStr">
        <is>
          <t>kind: guarantee given; amount: 15.9; counterparty: bank guarantees drawn under the Fastned B.V. bank guarantee facility (beneficiaries not named)</t>
        </is>
      </c>
      <c r="I1583" s="2" t="inlineStr">
        <is>
          <t>S3</t>
        </is>
      </c>
      <c r="J1583" s="2" t="n">
        <v>183</v>
      </c>
      <c r="K1583" s="3" t="inlineStr">
        <is>
          <t>of which €15.9 million (2024: €15.0 million)</t>
        </is>
      </c>
      <c r="L1583" s="2" t="inlineStr">
        <is>
          <t>pend</t>
        </is>
      </c>
      <c r="M1583" s="2" t="n"/>
      <c r="N1583" s="2" t="n"/>
      <c r="O1583" s="3" t="inlineStr">
        <is>
          <t>https://vanillabonds.com/dossier-data/pdf/fastned/fastned-2025-annual-report.pdf#page=183</t>
        </is>
      </c>
    </row>
    <row r="1584">
      <c r="A1584" s="2" t="inlineStr">
        <is>
          <t>F1583</t>
        </is>
      </c>
      <c r="B1584" s="2" t="inlineStr">
        <is>
          <t>financials</t>
        </is>
      </c>
      <c r="C1584" s="2" t="inlineStr">
        <is>
          <t>offbalance_item</t>
        </is>
      </c>
      <c r="D1584" s="3" t="inlineStr">
        <is>
          <t>Off-balance item: kind (lease, factoring, guarantee given, pension deficit, earn-out, litigation provision); amount; counterparty</t>
        </is>
      </c>
      <c r="E1584" s="2" t="inlineStr">
        <is>
          <t>FY2025</t>
        </is>
      </c>
      <c r="F1584" s="2" t="n">
        <v>64.7</v>
      </c>
      <c r="G1584" s="2" t="n"/>
      <c r="H1584" s="3" t="inlineStr">
        <is>
          <t>kind: purchase commitment (Power Purchase Agreements, unrecognised); amount: 64.7; counterparty: renewable electricity producers; €4.7m due within one year, €21.5m in 1-5 years, €38.5m after 5 years, based on current estimates</t>
        </is>
      </c>
      <c r="I1584" s="2" t="inlineStr">
        <is>
          <t>S3</t>
        </is>
      </c>
      <c r="J1584" s="2" t="n">
        <v>190</v>
      </c>
      <c r="K1584" s="3" t="inlineStr">
        <is>
          <t>The Group has energy purchase commitments of € 64.7 million under Power Purchase Agreements relating to 2025 and later years.</t>
        </is>
      </c>
      <c r="L1584" s="2" t="inlineStr">
        <is>
          <t>pend</t>
        </is>
      </c>
      <c r="M1584" s="2" t="n"/>
      <c r="N1584" s="2" t="n"/>
      <c r="O1584" s="3" t="inlineStr">
        <is>
          <t>https://vanillabonds.com/dossier-data/pdf/fastned/fastned-2025-annual-report.pdf#page=190</t>
        </is>
      </c>
    </row>
    <row r="1585">
      <c r="A1585" s="2" t="inlineStr">
        <is>
          <t>F1584</t>
        </is>
      </c>
      <c r="B1585" s="2" t="inlineStr">
        <is>
          <t>financials</t>
        </is>
      </c>
      <c r="C1585" s="2" t="inlineStr">
        <is>
          <t>offbalance_item</t>
        </is>
      </c>
      <c r="D1585" s="3" t="inlineStr">
        <is>
          <t>Off-balance item: kind (lease, factoring, guarantee given, pension deficit, earn-out, litigation provision); amount; counterparty</t>
        </is>
      </c>
      <c r="E1585" s="2" t="inlineStr">
        <is>
          <t>FY2025</t>
        </is>
      </c>
      <c r="F1585" s="2" t="n">
        <v>15.9</v>
      </c>
      <c r="G1585" s="2" t="n"/>
      <c r="H1585" s="3" t="inlineStr">
        <is>
          <t>kind: guarantee given (bank guarantees drawn under the EUR 17m facility); amount: 15.9; counterparty: beneficiaries not named</t>
        </is>
      </c>
      <c r="I1585" s="2" t="inlineStr">
        <is>
          <t>S3</t>
        </is>
      </c>
      <c r="J1585" s="2" t="n">
        <v>212</v>
      </c>
      <c r="K1585" s="3" t="inlineStr">
        <is>
          <t>Fastned B.V. has a bank guarantee facility amounting to €17 million at 31 December 2025 (2024: €17.0 million), of which €15.9 million (2024: €15.0 million) have been drawn.</t>
        </is>
      </c>
      <c r="L1585" s="2" t="inlineStr">
        <is>
          <t>pend</t>
        </is>
      </c>
      <c r="M1585" s="2" t="n"/>
      <c r="N1585" s="2" t="n"/>
      <c r="O1585" s="3" t="inlineStr">
        <is>
          <t>https://vanillabonds.com/dossier-data/pdf/fastned/fastned-2025-annual-report.pdf#page=212</t>
        </is>
      </c>
    </row>
    <row r="1586">
      <c r="A1586" s="2" t="inlineStr">
        <is>
          <t>F1585</t>
        </is>
      </c>
      <c r="B1586" s="2" t="inlineStr">
        <is>
          <t>financials</t>
        </is>
      </c>
      <c r="C1586" s="2" t="inlineStr">
        <is>
          <t>audit_adjustment</t>
        </is>
      </c>
      <c r="D1586" s="3" t="inlineStr">
        <is>
          <t>Audit facts: adjustments (number); management_letter_points (number); restatements; key_audit_matters</t>
        </is>
      </c>
      <c r="E1586" s="2" t="inlineStr">
        <is>
          <t>FY2024</t>
        </is>
      </c>
      <c r="F1586" s="2" t="n"/>
      <c r="G1586" s="2" t="n"/>
      <c r="H1586" s="3" t="inlineStr">
        <is>
          <t>restatements: 2024 comparatives restated for the renewable energy units accounting policy change (revenue -3.0, cost of sales +3.0, inventory +4.4, no effect on loss or equity)</t>
        </is>
      </c>
      <c r="I1586" s="2" t="inlineStr">
        <is>
          <t>S3</t>
        </is>
      </c>
      <c r="J1586" s="2" t="n">
        <v>139</v>
      </c>
      <c r="K1586" s="2" t="inlineStr">
        <is>
          <t>Revenue 86,736 (2,957) 83,779</t>
        </is>
      </c>
      <c r="L1586" s="2" t="inlineStr">
        <is>
          <t>pend</t>
        </is>
      </c>
      <c r="M1586" s="2" t="n"/>
      <c r="N1586" s="2" t="n"/>
      <c r="O1586" s="3" t="inlineStr">
        <is>
          <t>https://vanillabonds.com/dossier-data/pdf/fastned/fastned-2025-annual-report.pdf#page=139</t>
        </is>
      </c>
    </row>
    <row r="1587">
      <c r="A1587" s="2" t="inlineStr">
        <is>
          <t>F1586</t>
        </is>
      </c>
      <c r="B1587" s="2" t="inlineStr">
        <is>
          <t>financials</t>
        </is>
      </c>
      <c r="C1587" s="2" t="inlineStr">
        <is>
          <t>audit_adjustment</t>
        </is>
      </c>
      <c r="D1587" s="3" t="inlineStr">
        <is>
          <t>Audit facts: adjustments (number); management_letter_points (number); restatements; key_audit_matters</t>
        </is>
      </c>
      <c r="E1587" s="2" t="inlineStr">
        <is>
          <t>FY2024</t>
        </is>
      </c>
      <c r="F1587" s="2" t="n"/>
      <c r="G1587" s="2" t="n"/>
      <c r="H1587" s="3" t="inlineStr">
        <is>
          <t>restatements: 2024 comparatives restated for the change in accounting policy on renewable energy units; in the parent company statements revenue -2.4m and cost of sales +2.4m, inventory +2.3m, no effect on the loss</t>
        </is>
      </c>
      <c r="I1587" s="2" t="inlineStr">
        <is>
          <t>S3</t>
        </is>
      </c>
      <c r="J1587" s="2" t="n">
        <v>200</v>
      </c>
      <c r="K1587" s="2" t="inlineStr">
        <is>
          <t>Revenue 55,108 (2,403) 52,705</t>
        </is>
      </c>
      <c r="L1587" s="2" t="inlineStr">
        <is>
          <t>pend</t>
        </is>
      </c>
      <c r="M1587" s="2" t="n"/>
      <c r="N1587" s="2" t="n"/>
      <c r="O1587" s="3" t="inlineStr">
        <is>
          <t>https://vanillabonds.com/dossier-data/pdf/fastned/fastned-2025-annual-report.pdf#page=200</t>
        </is>
      </c>
    </row>
    <row r="1588">
      <c r="A1588" s="2" t="inlineStr">
        <is>
          <t>F1587</t>
        </is>
      </c>
      <c r="B1588" s="2" t="inlineStr">
        <is>
          <t>financials</t>
        </is>
      </c>
      <c r="C1588" s="2" t="inlineStr">
        <is>
          <t>audit_adjustment</t>
        </is>
      </c>
      <c r="D1588" s="3" t="inlineStr">
        <is>
          <t>Audit facts: adjustments (number); management_letter_points (number); restatements; key_audit_matters</t>
        </is>
      </c>
      <c r="E1588" s="2" t="inlineStr">
        <is>
          <t>FY2025</t>
        </is>
      </c>
      <c r="F1588" s="2" t="n"/>
      <c r="G1588" s="2" t="n"/>
      <c r="H1588" s="3" t="inlineStr">
        <is>
          <t>key_audit_matters: estimates in station construction revenue as part of service concessions (German highway tender); change in accounting policy of renewable energy units; estimates in property, plant and equipment (useful lives, impairment)</t>
        </is>
      </c>
      <c r="I1588" s="2" t="inlineStr">
        <is>
          <t>S3</t>
        </is>
      </c>
      <c r="J1588" s="2" t="n">
        <v>223</v>
      </c>
      <c r="K1588" s="3" t="inlineStr">
        <is>
          <t>we have concluded the revenue recognition from Renewable Energy Units and estimates in construction revenues to be key audit matters within revenue recognition.</t>
        </is>
      </c>
      <c r="L1588" s="2" t="inlineStr">
        <is>
          <t>pend</t>
        </is>
      </c>
      <c r="M1588" s="2" t="n"/>
      <c r="N1588" s="2" t="n"/>
      <c r="O1588" s="3" t="inlineStr">
        <is>
          <t>https://vanillabonds.com/dossier-data/pdf/fastned/fastned-2025-annual-report.pdf#page=223</t>
        </is>
      </c>
    </row>
    <row r="1589">
      <c r="A1589" s="2" t="inlineStr">
        <is>
          <t>F1588</t>
        </is>
      </c>
      <c r="B1589" s="2" t="inlineStr">
        <is>
          <t>financials</t>
        </is>
      </c>
      <c r="C1589" s="2" t="inlineStr">
        <is>
          <t>filing_days</t>
        </is>
      </c>
      <c r="D1589" s="3" t="inlineStr">
        <is>
          <t>Days from year end to filing of the accounts</t>
        </is>
      </c>
      <c r="E1589" s="2" t="inlineStr">
        <is>
          <t>FY2025</t>
        </is>
      </c>
      <c r="F1589" s="2" t="n">
        <v>78</v>
      </c>
      <c r="G1589" s="2" t="n"/>
      <c r="H1589" s="3" t="inlineStr">
        <is>
          <t>annual report published 19 March 2026, 78 days after the 31 December 2025 year end (auditor's report date is outside these pages)</t>
        </is>
      </c>
      <c r="I1589" s="2" t="inlineStr">
        <is>
          <t>S3</t>
        </is>
      </c>
      <c r="J1589" s="2" t="n">
        <v>1</v>
      </c>
      <c r="K1589" s="2" t="inlineStr">
        <is>
          <t>Published 19 March 2026</t>
        </is>
      </c>
      <c r="L1589" s="2" t="inlineStr">
        <is>
          <t>pend</t>
        </is>
      </c>
      <c r="M1589" s="2" t="n"/>
      <c r="N1589" s="2" t="inlineStr">
        <is>
          <t>conflict: S3·p1 78 vs S3·p228 77</t>
        </is>
      </c>
      <c r="O1589" s="3" t="inlineStr">
        <is>
          <t>https://vanillabonds.com/dossier-data/pdf/fastned/fastned-2025-annual-report.pdf#page=1</t>
        </is>
      </c>
    </row>
    <row r="1590">
      <c r="A1590" s="2" t="inlineStr">
        <is>
          <t>F1589</t>
        </is>
      </c>
      <c r="B1590" s="2" t="inlineStr">
        <is>
          <t>financials</t>
        </is>
      </c>
      <c r="C1590" s="2" t="inlineStr">
        <is>
          <t>filing_days</t>
        </is>
      </c>
      <c r="D1590" s="3" t="inlineStr">
        <is>
          <t>Days from year end to filing of the accounts</t>
        </is>
      </c>
      <c r="E1590" s="2" t="inlineStr">
        <is>
          <t>FY2025</t>
        </is>
      </c>
      <c r="F1590" s="2" t="n">
        <v>77</v>
      </c>
      <c r="G1590" s="2" t="n"/>
      <c r="H1590" s="3" t="inlineStr">
        <is>
          <t>Year end 31 December 2025 to the auditor's report dated 18 March 2026 (Amstelveen): 77 days</t>
        </is>
      </c>
      <c r="I1590" s="2" t="inlineStr">
        <is>
          <t>S3</t>
        </is>
      </c>
      <c r="J1590" s="2" t="n">
        <v>228</v>
      </c>
      <c r="K1590" s="2" t="inlineStr">
        <is>
          <t>Amstelveen, 18 March 2026</t>
        </is>
      </c>
      <c r="L1590" s="2" t="inlineStr">
        <is>
          <t>pend</t>
        </is>
      </c>
      <c r="M1590" s="2" t="n"/>
      <c r="N1590" s="2" t="inlineStr">
        <is>
          <t>conflict: S3·p1 78 vs S3·p228 77</t>
        </is>
      </c>
      <c r="O1590" s="3" t="inlineStr">
        <is>
          <t>https://vanillabonds.com/dossier-data/pdf/fastned/fastned-2025-annual-report.pdf#page=228</t>
        </is>
      </c>
    </row>
    <row r="1591">
      <c r="A1591" s="2" t="inlineStr">
        <is>
          <t>F1590</t>
        </is>
      </c>
      <c r="B1591" s="2" t="inlineStr">
        <is>
          <t>financials</t>
        </is>
      </c>
      <c r="C1591" s="2" t="inlineStr">
        <is>
          <t>tax_item</t>
        </is>
      </c>
      <c r="D1591" s="3" t="inlineStr">
        <is>
          <t>Tax item: position, open assessment, dispute, ruling, payment-behaviour statement</t>
        </is>
      </c>
      <c r="E1591" s="2" t="n"/>
      <c r="F1591" s="2" t="n"/>
      <c r="G1591" s="2" t="n"/>
      <c r="H1591" s="3" t="inlineStr">
        <is>
          <t>Income tax expense nil in 2025, a EUR 0.4m credit in 2024 and a EUR 0.4m expense in 2023 (Financial Review).</t>
        </is>
      </c>
      <c r="I1591" s="2" t="inlineStr">
        <is>
          <t>S3</t>
        </is>
      </c>
      <c r="J1591" s="2" t="n">
        <v>45</v>
      </c>
      <c r="K1591" s="2" t="inlineStr">
        <is>
          <t>Income tax expense — 0.4 (0.4)</t>
        </is>
      </c>
      <c r="L1591" s="2" t="inlineStr">
        <is>
          <t>pend</t>
        </is>
      </c>
      <c r="M1591" s="2" t="n"/>
      <c r="N1591" s="2" t="n"/>
      <c r="O1591" s="3" t="inlineStr">
        <is>
          <t>https://vanillabonds.com/dossier-data/pdf/fastned/fastned-2025-annual-report.pdf#page=45</t>
        </is>
      </c>
    </row>
    <row r="1592">
      <c r="A1592" s="2" t="inlineStr">
        <is>
          <t>F1591</t>
        </is>
      </c>
      <c r="B1592" s="2" t="inlineStr">
        <is>
          <t>financials</t>
        </is>
      </c>
      <c r="C1592" s="2" t="inlineStr">
        <is>
          <t>tax_item</t>
        </is>
      </c>
      <c r="D1592" s="3" t="inlineStr">
        <is>
          <t>Tax item: position, open assessment, dispute, ruling, payment-behaviour statement</t>
        </is>
      </c>
      <c r="E1592" s="2" t="n"/>
      <c r="F1592" s="2" t="n"/>
      <c r="G1592" s="2" t="n"/>
      <c r="H1592" s="3" t="inlineStr">
        <is>
          <t>Tax losses carried forward at end 2025: €27.7m in the Netherlands (2024: €23.3m) and €81.1m in other countries (2024: €54.8m), plus €50.9m unrecognised temporary differences; no deferred tax assets recognised.</t>
        </is>
      </c>
      <c r="I1592" s="2" t="inlineStr">
        <is>
          <t>S3</t>
        </is>
      </c>
      <c r="J1592" s="2" t="n">
        <v>142</v>
      </c>
      <c r="K1592" s="3" t="inlineStr">
        <is>
          <t>At year-end 2025, the Group has € 27.7 million (2024: €23.3 million) of tax losses in the Netherlands</t>
        </is>
      </c>
      <c r="L1592" s="2" t="inlineStr">
        <is>
          <t>pend</t>
        </is>
      </c>
      <c r="M1592" s="2" t="n"/>
      <c r="N1592" s="2" t="n"/>
      <c r="O1592" s="3" t="inlineStr">
        <is>
          <t>https://vanillabonds.com/dossier-data/pdf/fastned/fastned-2025-annual-report.pdf#page=142</t>
        </is>
      </c>
    </row>
    <row r="1593">
      <c r="A1593" s="2" t="inlineStr">
        <is>
          <t>F1592</t>
        </is>
      </c>
      <c r="B1593" s="2" t="inlineStr">
        <is>
          <t>financials</t>
        </is>
      </c>
      <c r="C1593" s="2" t="inlineStr">
        <is>
          <t>tax_item</t>
        </is>
      </c>
      <c r="D1593" s="3" t="inlineStr">
        <is>
          <t>Tax item: position, open assessment, dispute, ruling, payment-behaviour statement</t>
        </is>
      </c>
      <c r="E1593" s="2" t="n"/>
      <c r="F1593" s="2" t="n"/>
      <c r="G1593" s="2" t="n"/>
      <c r="H1593" s="3" t="inlineStr">
        <is>
          <t>If all unrecognised deferred tax assets were recognised, profit and equity would increase by approximately €28.1m (company estimate).</t>
        </is>
      </c>
      <c r="I1593" s="2" t="inlineStr">
        <is>
          <t>S3</t>
        </is>
      </c>
      <c r="J1593" s="2" t="n">
        <v>142</v>
      </c>
      <c r="K1593" s="3" t="inlineStr">
        <is>
          <t>profit and equity would have increased by approximately €28.1 million depending on the timing of the utilisation of the tax losses</t>
        </is>
      </c>
      <c r="L1593" s="2" t="inlineStr">
        <is>
          <t>pend</t>
        </is>
      </c>
      <c r="M1593" s="2" t="n"/>
      <c r="N1593" s="2" t="n"/>
      <c r="O1593" s="3" t="inlineStr">
        <is>
          <t>https://vanillabonds.com/dossier-data/pdf/fastned/fastned-2025-annual-report.pdf#page=142</t>
        </is>
      </c>
    </row>
    <row r="1594">
      <c r="A1594" s="2" t="inlineStr">
        <is>
          <t>F1593</t>
        </is>
      </c>
      <c r="B1594" s="2" t="inlineStr">
        <is>
          <t>financials</t>
        </is>
      </c>
      <c r="C1594" s="2" t="inlineStr">
        <is>
          <t>tax_item</t>
        </is>
      </c>
      <c r="D1594" s="3" t="inlineStr">
        <is>
          <t>Tax item: position, open assessment, dispute, ruling, payment-behaviour statement</t>
        </is>
      </c>
      <c r="E1594" s="2" t="n"/>
      <c r="F1594" s="2" t="n"/>
      <c r="G1594" s="2" t="n"/>
      <c r="H1594" s="3" t="inlineStr">
        <is>
          <t>Germany shows an estimated taxable profit of €1.5m for 2025, fully offset by available tax losses; income tax charge €5k in 2025 (2024: credit €359k from reversal of a 2023 Dutch fiscal unity estimate).</t>
        </is>
      </c>
      <c r="I1594" s="2" t="inlineStr">
        <is>
          <t>S3</t>
        </is>
      </c>
      <c r="J1594" s="2" t="n">
        <v>158</v>
      </c>
      <c r="K1594" s="3" t="inlineStr">
        <is>
          <t>Germany is presenting an estimated taxable profit of € 1.5 million in 2025. This will be fully offset by available tax losses.</t>
        </is>
      </c>
      <c r="L1594" s="2" t="inlineStr">
        <is>
          <t>pend</t>
        </is>
      </c>
      <c r="M1594" s="2" t="n"/>
      <c r="N1594" s="2" t="n"/>
      <c r="O1594" s="3" t="inlineStr">
        <is>
          <t>https://vanillabonds.com/dossier-data/pdf/fastned/fastned-2025-annual-report.pdf#page=158</t>
        </is>
      </c>
    </row>
    <row r="1595">
      <c r="A1595" s="2" t="inlineStr">
        <is>
          <t>F1594</t>
        </is>
      </c>
      <c r="B1595" s="2" t="inlineStr">
        <is>
          <t>financials</t>
        </is>
      </c>
      <c r="C1595" s="2" t="inlineStr">
        <is>
          <t>tax_item</t>
        </is>
      </c>
      <c r="D1595" s="3" t="inlineStr">
        <is>
          <t>Tax item: position, open assessment, dispute, ruling, payment-behaviour statement</t>
        </is>
      </c>
      <c r="E1595" s="2" t="n"/>
      <c r="F1595" s="2" t="n"/>
      <c r="G1595" s="2" t="n"/>
      <c r="H1595" s="3" t="inlineStr">
        <is>
          <t>Dutch tax losses (€27.7m) carry forward indefinitely since 2022 but are deductible per year only up to €1m plus 50% of taxable profit above €1m.</t>
        </is>
      </c>
      <c r="I1595" s="2" t="inlineStr">
        <is>
          <t>S3</t>
        </is>
      </c>
      <c r="J1595" s="2" t="n">
        <v>159</v>
      </c>
      <c r="K1595" s="3" t="inlineStr">
        <is>
          <t>losses can only be fully deducted on an annual basis up to an amount of €1 million plus 50% of the taxable profit that exceeds €1 million</t>
        </is>
      </c>
      <c r="L1595" s="2" t="inlineStr">
        <is>
          <t>pend</t>
        </is>
      </c>
      <c r="M1595" s="2" t="n"/>
      <c r="N1595" s="2" t="n"/>
      <c r="O1595" s="3" t="inlineStr">
        <is>
          <t>https://vanillabonds.com/dossier-data/pdf/fastned/fastned-2025-annual-report.pdf#page=159</t>
        </is>
      </c>
    </row>
    <row r="1596">
      <c r="A1596" s="2" t="inlineStr">
        <is>
          <t>F1595</t>
        </is>
      </c>
      <c r="B1596" s="2" t="inlineStr">
        <is>
          <t>financials</t>
        </is>
      </c>
      <c r="C1596" s="2" t="inlineStr">
        <is>
          <t>tax_item</t>
        </is>
      </c>
      <c r="D1596" s="3" t="inlineStr">
        <is>
          <t>Tax item: position, open assessment, dispute, ruling, payment-behaviour statement</t>
        </is>
      </c>
      <c r="E1596" s="2" t="n"/>
      <c r="F1596" s="2" t="n"/>
      <c r="G1596" s="2" t="n"/>
      <c r="H1596" s="3" t="inlineStr">
        <is>
          <t>€50.9m of costs have been capitalised in the Dutch taxable profit computation and are depreciated over 5 years (unrecognised temporary differences).</t>
        </is>
      </c>
      <c r="I1596" s="2" t="inlineStr">
        <is>
          <t>S3</t>
        </is>
      </c>
      <c r="J1596" s="2" t="n">
        <v>159</v>
      </c>
      <c r="K1596" s="3" t="inlineStr">
        <is>
          <t>As of 2025, € 50.9 million of costs have been capitalised in the computation of taxable profit in the Netherlands, and are being depreciated over 5 years.</t>
        </is>
      </c>
      <c r="L1596" s="2" t="inlineStr">
        <is>
          <t>pend</t>
        </is>
      </c>
      <c r="M1596" s="2" t="n"/>
      <c r="N1596" s="2" t="n"/>
      <c r="O1596" s="3" t="inlineStr">
        <is>
          <t>https://vanillabonds.com/dossier-data/pdf/fastned/fastned-2025-annual-report.pdf#page=159</t>
        </is>
      </c>
    </row>
    <row r="1597">
      <c r="A1597" s="2" t="inlineStr">
        <is>
          <t>F1596</t>
        </is>
      </c>
      <c r="B1597" s="2" t="inlineStr">
        <is>
          <t>financials</t>
        </is>
      </c>
      <c r="C1597" s="2" t="inlineStr">
        <is>
          <t>tax_item</t>
        </is>
      </c>
      <c r="D1597" s="3" t="inlineStr">
        <is>
          <t>Tax item: position, open assessment, dispute, ruling, payment-behaviour statement</t>
        </is>
      </c>
      <c r="E1597" s="2" t="n"/>
      <c r="F1597" s="2" t="n"/>
      <c r="G1597" s="2" t="n"/>
      <c r="H1597" s="3" t="inlineStr">
        <is>
          <t>Tax losses outside NL at end 2025: Germany €5.5m, UK €38.1m, Belgium €7.0m, France €15.9m, Switzerland €7.2m (7-year limit), Denmark €2.5m, Italy €1.7m, Spain €2.7m, Austria €0.3m, Poland €4k (5-year limit); others without time limit.</t>
        </is>
      </c>
      <c r="I1597" s="2" t="inlineStr">
        <is>
          <t>S3</t>
        </is>
      </c>
      <c r="J1597" s="2" t="n">
        <v>159</v>
      </c>
      <c r="K1597" s="3" t="inlineStr">
        <is>
          <t>Outside the Netherlands, accumulated tax losses were approximately €5.5 million in Germany (2024: €5.5 million), € 38.1 million in UK (2024: €26.4 million)</t>
        </is>
      </c>
      <c r="L1597" s="2" t="inlineStr">
        <is>
          <t>pend</t>
        </is>
      </c>
      <c r="M1597" s="2" t="n"/>
      <c r="N1597" s="2" t="n"/>
      <c r="O1597" s="3" t="inlineStr">
        <is>
          <t>https://vanillabonds.com/dossier-data/pdf/fastned/fastned-2025-annual-report.pdf#page=159</t>
        </is>
      </c>
    </row>
    <row r="1598">
      <c r="A1598" s="2" t="inlineStr">
        <is>
          <t>F1597</t>
        </is>
      </c>
      <c r="B1598" s="2" t="inlineStr">
        <is>
          <t>financials</t>
        </is>
      </c>
      <c r="C1598" s="2" t="inlineStr">
        <is>
          <t>tax_item</t>
        </is>
      </c>
      <c r="D1598" s="3" t="inlineStr">
        <is>
          <t>Tax item: position, open assessment, dispute, ruling, payment-behaviour statement</t>
        </is>
      </c>
      <c r="E1598" s="2" t="n"/>
      <c r="F1598" s="2" t="n"/>
      <c r="G1598" s="2" t="n"/>
      <c r="H1598" s="3" t="inlineStr">
        <is>
          <t>Total accumulated tax losses by country €108.8m at end 2025, of which €30.7m arose in 2025 (2024 and 2025 amounts are estimates, not finalised).</t>
        </is>
      </c>
      <c r="I1598" s="2" t="inlineStr">
        <is>
          <t>S3</t>
        </is>
      </c>
      <c r="J1598" s="2" t="n">
        <v>160</v>
      </c>
      <c r="K1598" s="3" t="inlineStr">
        <is>
          <t>5,539 14,354 12,544 23,998 30,650 108,804</t>
        </is>
      </c>
      <c r="L1598" s="2" t="inlineStr">
        <is>
          <t>pend</t>
        </is>
      </c>
      <c r="M1598" s="2" t="n"/>
      <c r="N1598" s="2" t="n"/>
      <c r="O1598" s="3" t="inlineStr">
        <is>
          <t>https://vanillabonds.com/dossier-data/pdf/fastned/fastned-2025-annual-report.pdf#page=160</t>
        </is>
      </c>
    </row>
    <row r="1599">
      <c r="A1599" s="2" t="inlineStr">
        <is>
          <t>F1598</t>
        </is>
      </c>
      <c r="B1599" s="2" t="inlineStr">
        <is>
          <t>financials</t>
        </is>
      </c>
      <c r="C1599" s="2" t="inlineStr">
        <is>
          <t>tax_item</t>
        </is>
      </c>
      <c r="D1599" s="3" t="inlineStr">
        <is>
          <t>Tax item: position, open assessment, dispute, ruling, payment-behaviour statement</t>
        </is>
      </c>
      <c r="E1599" s="2" t="n"/>
      <c r="F1599" s="2" t="n"/>
      <c r="G1599" s="2" t="n"/>
      <c r="H1599" s="3" t="inlineStr">
        <is>
          <t>Effective tax rate nil in 2025 (2024: 0%) as no deferred tax asset is recognised on losses; Dutch rate 19% up to €200k and 25.8% above; other rates 11-33%.</t>
        </is>
      </c>
      <c r="I1599" s="2" t="inlineStr">
        <is>
          <t>S3</t>
        </is>
      </c>
      <c r="J1599" s="2" t="n">
        <v>161</v>
      </c>
      <c r="K1599" s="3" t="inlineStr">
        <is>
          <t>the Group’s effective tax rate is nil (2024: 0%)</t>
        </is>
      </c>
      <c r="L1599" s="2" t="inlineStr">
        <is>
          <t>pend</t>
        </is>
      </c>
      <c r="M1599" s="2" t="n"/>
      <c r="N1599" s="2" t="n"/>
      <c r="O1599" s="3" t="inlineStr">
        <is>
          <t>https://vanillabonds.com/dossier-data/pdf/fastned/fastned-2025-annual-report.pdf#page=161</t>
        </is>
      </c>
    </row>
    <row r="1600">
      <c r="A1600" s="2" t="inlineStr">
        <is>
          <t>F1599</t>
        </is>
      </c>
      <c r="B1600" s="2" t="inlineStr">
        <is>
          <t>financials</t>
        </is>
      </c>
      <c r="C1600" s="2" t="inlineStr">
        <is>
          <t>tax_item</t>
        </is>
      </c>
      <c r="D1600" s="3" t="inlineStr">
        <is>
          <t>Tax item: position, open assessment, dispute, ruling, payment-behaviour statement</t>
        </is>
      </c>
      <c r="E1600" s="2" t="n"/>
      <c r="F1600" s="2" t="n"/>
      <c r="G1600" s="2" t="n"/>
      <c r="H1600" s="3" t="inlineStr">
        <is>
          <t>Transfer pricing: the parent recharges centrally incurred costs (management, finance, IT, support) to subsidiaries on a cost-plus basis under intercompany agreements and the Group's transfer pricing policies; EUR 5.8m in 2025 (2024: EUR 3.4m).</t>
        </is>
      </c>
      <c r="I1600" s="2" t="inlineStr">
        <is>
          <t>S3</t>
        </is>
      </c>
      <c r="J1600" s="2" t="n">
        <v>199</v>
      </c>
      <c r="K1600" s="3" t="inlineStr">
        <is>
          <t>Recharges are determined on a cost-plus basis, in accordance with the underlying intercompany agreements and the Group’s transfer pricing policies.</t>
        </is>
      </c>
      <c r="L1600" s="2" t="inlineStr">
        <is>
          <t>pend</t>
        </is>
      </c>
      <c r="M1600" s="2" t="n"/>
      <c r="N1600" s="2" t="n"/>
      <c r="O1600" s="3" t="inlineStr">
        <is>
          <t>https://vanillabonds.com/dossier-data/pdf/fastned/fastned-2025-annual-report.pdf#page=199</t>
        </is>
      </c>
    </row>
    <row r="1601">
      <c r="A1601" s="2" t="inlineStr">
        <is>
          <t>F1600</t>
        </is>
      </c>
      <c r="B1601" s="2" t="inlineStr">
        <is>
          <t>financials</t>
        </is>
      </c>
      <c r="C1601" s="2" t="inlineStr">
        <is>
          <t>segment</t>
        </is>
      </c>
      <c r="D1601" s="3" t="inlineStr">
        <is>
          <t>Segment: segment; revenue; ebitda; assets</t>
        </is>
      </c>
      <c r="E1601" s="2" t="inlineStr">
        <is>
          <t>FY2023</t>
        </is>
      </c>
      <c r="F1601" s="2" t="n">
        <v>60.5</v>
      </c>
      <c r="G1601" s="2" t="n"/>
      <c r="H1601" s="2" t="inlineStr">
        <is>
          <t>segment: charging; revenue: 60.5</t>
        </is>
      </c>
      <c r="I1601" s="2" t="inlineStr">
        <is>
          <t>S3</t>
        </is>
      </c>
      <c r="J1601" s="2" t="n">
        <v>45</v>
      </c>
      <c r="K1601" s="3" t="inlineStr">
        <is>
          <t>Revenues related to charging 122.4 83.4 60.5 47</t>
        </is>
      </c>
      <c r="L1601" s="2" t="inlineStr">
        <is>
          <t>pend</t>
        </is>
      </c>
      <c r="M1601" s="2" t="n"/>
      <c r="N1601" s="2" t="n"/>
      <c r="O1601" s="3" t="inlineStr">
        <is>
          <t>https://vanillabonds.com/dossier-data/pdf/fastned/fastned-2025-annual-report.pdf#page=45</t>
        </is>
      </c>
    </row>
    <row r="1602">
      <c r="A1602" s="2" t="inlineStr">
        <is>
          <t>F1601</t>
        </is>
      </c>
      <c r="B1602" s="2" t="inlineStr">
        <is>
          <t>financials</t>
        </is>
      </c>
      <c r="C1602" s="2" t="inlineStr">
        <is>
          <t>segment</t>
        </is>
      </c>
      <c r="D1602" s="3" t="inlineStr">
        <is>
          <t>Segment: segment; revenue; ebitda; assets</t>
        </is>
      </c>
      <c r="E1602" s="2" t="inlineStr">
        <is>
          <t>FY2024</t>
        </is>
      </c>
      <c r="F1602" s="2" t="n">
        <v>83.40000000000001</v>
      </c>
      <c r="G1602" s="2" t="n"/>
      <c r="H1602" s="2" t="inlineStr">
        <is>
          <t>segment: charging; revenue: 83.4</t>
        </is>
      </c>
      <c r="I1602" s="2" t="inlineStr">
        <is>
          <t>S3</t>
        </is>
      </c>
      <c r="J1602" s="2" t="n">
        <v>45</v>
      </c>
      <c r="K1602" s="3" t="inlineStr">
        <is>
          <t>Revenues related to charging 122.4 83.4 60.5 47</t>
        </is>
      </c>
      <c r="L1602" s="2" t="inlineStr">
        <is>
          <t>pend</t>
        </is>
      </c>
      <c r="M1602" s="2" t="n"/>
      <c r="N1602" s="2" t="n"/>
      <c r="O1602" s="3" t="inlineStr">
        <is>
          <t>https://vanillabonds.com/dossier-data/pdf/fastned/fastned-2025-annual-report.pdf#page=45</t>
        </is>
      </c>
    </row>
    <row r="1603">
      <c r="A1603" s="2" t="inlineStr">
        <is>
          <t>F1602</t>
        </is>
      </c>
      <c r="B1603" s="2" t="inlineStr">
        <is>
          <t>financials</t>
        </is>
      </c>
      <c r="C1603" s="2" t="inlineStr">
        <is>
          <t>segment</t>
        </is>
      </c>
      <c r="D1603" s="3" t="inlineStr">
        <is>
          <t>Segment: segment; revenue; ebitda; assets</t>
        </is>
      </c>
      <c r="E1603" s="2" t="inlineStr">
        <is>
          <t>FY2024</t>
        </is>
      </c>
      <c r="F1603" s="2" t="n">
        <v>0.4</v>
      </c>
      <c r="G1603" s="2" t="n"/>
      <c r="H1603" s="3" t="inlineStr">
        <is>
          <t>segment: other revenue (station construction); revenue: 0.4</t>
        </is>
      </c>
      <c r="I1603" s="2" t="inlineStr">
        <is>
          <t>S3</t>
        </is>
      </c>
      <c r="J1603" s="2" t="n">
        <v>45</v>
      </c>
      <c r="K1603" s="2" t="inlineStr">
        <is>
          <t>Other revenue 16.7 0.4 —</t>
        </is>
      </c>
      <c r="L1603" s="2" t="inlineStr">
        <is>
          <t>pend</t>
        </is>
      </c>
      <c r="M1603" s="2" t="n"/>
      <c r="N1603" s="2" t="n"/>
      <c r="O1603" s="3" t="inlineStr">
        <is>
          <t>https://vanillabonds.com/dossier-data/pdf/fastned/fastned-2025-annual-report.pdf#page=45</t>
        </is>
      </c>
    </row>
    <row r="1604">
      <c r="A1604" s="2" t="inlineStr">
        <is>
          <t>F1603</t>
        </is>
      </c>
      <c r="B1604" s="2" t="inlineStr">
        <is>
          <t>financials</t>
        </is>
      </c>
      <c r="C1604" s="2" t="inlineStr">
        <is>
          <t>segment</t>
        </is>
      </c>
      <c r="D1604" s="3" t="inlineStr">
        <is>
          <t>Segment: segment; revenue; ebitda; assets</t>
        </is>
      </c>
      <c r="E1604" s="2" t="inlineStr">
        <is>
          <t>FY2024</t>
        </is>
      </c>
      <c r="F1604" s="2" t="n">
        <v>50.9</v>
      </c>
      <c r="G1604" s="2" t="n"/>
      <c r="H1604" s="3" t="inlineStr">
        <is>
          <t>segment: Netherlands; revenue: 50.9; ebitda: 12.3; assets: 100.8 (non-current)</t>
        </is>
      </c>
      <c r="I1604" s="2" t="inlineStr">
        <is>
          <t>S3</t>
        </is>
      </c>
      <c r="J1604" s="2" t="n">
        <v>153</v>
      </c>
      <c r="K1604" s="3" t="inlineStr">
        <is>
          <t>Total revenue 50,872 8,681 5,822 9,946 7,242 1,217 83,779</t>
        </is>
      </c>
      <c r="L1604" s="2" t="inlineStr">
        <is>
          <t>pend</t>
        </is>
      </c>
      <c r="M1604" s="2" t="n"/>
      <c r="N1604" s="2" t="n"/>
      <c r="O1604" s="3" t="inlineStr">
        <is>
          <t>https://vanillabonds.com/dossier-data/pdf/fastned/fastned-2025-annual-report.pdf#page=153</t>
        </is>
      </c>
    </row>
    <row r="1605">
      <c r="A1605" s="2" t="inlineStr">
        <is>
          <t>F1604</t>
        </is>
      </c>
      <c r="B1605" s="2" t="inlineStr">
        <is>
          <t>financials</t>
        </is>
      </c>
      <c r="C1605" s="2" t="inlineStr">
        <is>
          <t>segment</t>
        </is>
      </c>
      <c r="D1605" s="3" t="inlineStr">
        <is>
          <t>Segment: segment; revenue; ebitda; assets</t>
        </is>
      </c>
      <c r="E1605" s="2" t="inlineStr">
        <is>
          <t>FY2024</t>
        </is>
      </c>
      <c r="F1605" s="2" t="n">
        <v>8.699999999999999</v>
      </c>
      <c r="G1605" s="2" t="n"/>
      <c r="H1605" s="3" t="inlineStr">
        <is>
          <t>segment: Germany (incl. 0.4 station construction); revenue: 8.7; ebitda: -1.1; assets: 32.8 (non-current)</t>
        </is>
      </c>
      <c r="I1605" s="2" t="inlineStr">
        <is>
          <t>S3</t>
        </is>
      </c>
      <c r="J1605" s="2" t="n">
        <v>153</v>
      </c>
      <c r="K1605" s="3" t="inlineStr">
        <is>
          <t>Total revenue 50,872 8,681 5,822 9,946 7,242 1,217 83,779</t>
        </is>
      </c>
      <c r="L1605" s="2" t="inlineStr">
        <is>
          <t>pend</t>
        </is>
      </c>
      <c r="M1605" s="2" t="n"/>
      <c r="N1605" s="2" t="n"/>
      <c r="O1605" s="3" t="inlineStr">
        <is>
          <t>https://vanillabonds.com/dossier-data/pdf/fastned/fastned-2025-annual-report.pdf#page=153</t>
        </is>
      </c>
    </row>
    <row r="1606">
      <c r="A1606" s="2" t="inlineStr">
        <is>
          <t>F1605</t>
        </is>
      </c>
      <c r="B1606" s="2" t="inlineStr">
        <is>
          <t>financials</t>
        </is>
      </c>
      <c r="C1606" s="2" t="inlineStr">
        <is>
          <t>segment</t>
        </is>
      </c>
      <c r="D1606" s="3" t="inlineStr">
        <is>
          <t>Segment: segment; revenue; ebitda; assets</t>
        </is>
      </c>
      <c r="E1606" s="2" t="inlineStr">
        <is>
          <t>FY2024</t>
        </is>
      </c>
      <c r="F1606" s="2" t="n">
        <v>5.8</v>
      </c>
      <c r="G1606" s="2" t="n"/>
      <c r="H1606" s="3" t="inlineStr">
        <is>
          <t>segment: United Kingdom; revenue: 5.8; ebitda: -2.8; assets: 38.2 (non-current)</t>
        </is>
      </c>
      <c r="I1606" s="2" t="inlineStr">
        <is>
          <t>S3</t>
        </is>
      </c>
      <c r="J1606" s="2" t="n">
        <v>153</v>
      </c>
      <c r="K1606" s="3" t="inlineStr">
        <is>
          <t>Total revenue 50,872 8,681 5,822 9,946 7,242 1,217 83,779</t>
        </is>
      </c>
      <c r="L1606" s="2" t="inlineStr">
        <is>
          <t>pend</t>
        </is>
      </c>
      <c r="M1606" s="2" t="n"/>
      <c r="N1606" s="2" t="n"/>
      <c r="O1606" s="3" t="inlineStr">
        <is>
          <t>https://vanillabonds.com/dossier-data/pdf/fastned/fastned-2025-annual-report.pdf#page=153</t>
        </is>
      </c>
    </row>
    <row r="1607">
      <c r="A1607" s="2" t="inlineStr">
        <is>
          <t>F1606</t>
        </is>
      </c>
      <c r="B1607" s="2" t="inlineStr">
        <is>
          <t>financials</t>
        </is>
      </c>
      <c r="C1607" s="2" t="inlineStr">
        <is>
          <t>segment</t>
        </is>
      </c>
      <c r="D1607" s="3" t="inlineStr">
        <is>
          <t>Segment: segment; revenue; ebitda; assets</t>
        </is>
      </c>
      <c r="E1607" s="2" t="inlineStr">
        <is>
          <t>FY2024</t>
        </is>
      </c>
      <c r="F1607" s="2" t="n">
        <v>9.9</v>
      </c>
      <c r="G1607" s="2" t="n"/>
      <c r="H1607" s="3" t="inlineStr">
        <is>
          <t>segment: Belgium; revenue: 9.9; ebitda: 1.6; assets: 36.9 (non-current)</t>
        </is>
      </c>
      <c r="I1607" s="2" t="inlineStr">
        <is>
          <t>S3</t>
        </is>
      </c>
      <c r="J1607" s="2" t="n">
        <v>153</v>
      </c>
      <c r="K1607" s="3" t="inlineStr">
        <is>
          <t>Total revenue 50,872 8,681 5,822 9,946 7,242 1,217 83,779</t>
        </is>
      </c>
      <c r="L1607" s="2" t="inlineStr">
        <is>
          <t>pend</t>
        </is>
      </c>
      <c r="M1607" s="2" t="n"/>
      <c r="N1607" s="2" t="n"/>
      <c r="O1607" s="3" t="inlineStr">
        <is>
          <t>https://vanillabonds.com/dossier-data/pdf/fastned/fastned-2025-annual-report.pdf#page=153</t>
        </is>
      </c>
    </row>
    <row r="1608">
      <c r="A1608" s="2" t="inlineStr">
        <is>
          <t>F1607</t>
        </is>
      </c>
      <c r="B1608" s="2" t="inlineStr">
        <is>
          <t>financials</t>
        </is>
      </c>
      <c r="C1608" s="2" t="inlineStr">
        <is>
          <t>segment</t>
        </is>
      </c>
      <c r="D1608" s="3" t="inlineStr">
        <is>
          <t>Segment: segment; revenue; ebitda; assets</t>
        </is>
      </c>
      <c r="E1608" s="2" t="inlineStr">
        <is>
          <t>FY2024</t>
        </is>
      </c>
      <c r="F1608" s="2" t="n">
        <v>7.2</v>
      </c>
      <c r="G1608" s="2" t="n"/>
      <c r="H1608" s="3" t="inlineStr">
        <is>
          <t>segment: France; revenue: 7.2; ebitda: -0.1; assets: 50.1 (non-current)</t>
        </is>
      </c>
      <c r="I1608" s="2" t="inlineStr">
        <is>
          <t>S3</t>
        </is>
      </c>
      <c r="J1608" s="2" t="n">
        <v>153</v>
      </c>
      <c r="K1608" s="3" t="inlineStr">
        <is>
          <t>Total revenue 50,872 8,681 5,822 9,946 7,242 1,217 83,779</t>
        </is>
      </c>
      <c r="L1608" s="2" t="inlineStr">
        <is>
          <t>pend</t>
        </is>
      </c>
      <c r="M1608" s="2" t="n"/>
      <c r="N1608" s="2" t="n"/>
      <c r="O1608" s="3" t="inlineStr">
        <is>
          <t>https://vanillabonds.com/dossier-data/pdf/fastned/fastned-2025-annual-report.pdf#page=153</t>
        </is>
      </c>
    </row>
    <row r="1609">
      <c r="A1609" s="2" t="inlineStr">
        <is>
          <t>F1608</t>
        </is>
      </c>
      <c r="B1609" s="2" t="inlineStr">
        <is>
          <t>financials</t>
        </is>
      </c>
      <c r="C1609" s="2" t="inlineStr">
        <is>
          <t>segment</t>
        </is>
      </c>
      <c r="D1609" s="3" t="inlineStr">
        <is>
          <t>Segment: segment; revenue; ebitda; assets</t>
        </is>
      </c>
      <c r="E1609" s="2" t="inlineStr">
        <is>
          <t>FY2024</t>
        </is>
      </c>
      <c r="F1609" s="2" t="n">
        <v>1.2</v>
      </c>
      <c r="G1609" s="2" t="n"/>
      <c r="H1609" s="3" t="inlineStr">
        <is>
          <t>segment: Other Europe; revenue: 1.2; ebitda: -2.5; assets: 16.4 (non-current)</t>
        </is>
      </c>
      <c r="I1609" s="2" t="inlineStr">
        <is>
          <t>S3</t>
        </is>
      </c>
      <c r="J1609" s="2" t="n">
        <v>153</v>
      </c>
      <c r="K1609" s="3" t="inlineStr">
        <is>
          <t>Total revenue 50,872 8,681 5,822 9,946 7,242 1,217 83,779</t>
        </is>
      </c>
      <c r="L1609" s="2" t="inlineStr">
        <is>
          <t>pend</t>
        </is>
      </c>
      <c r="M1609" s="2" t="n"/>
      <c r="N1609" s="2" t="n"/>
      <c r="O1609" s="3" t="inlineStr">
        <is>
          <t>https://vanillabonds.com/dossier-data/pdf/fastned/fastned-2025-annual-report.pdf#page=153</t>
        </is>
      </c>
    </row>
    <row r="1610">
      <c r="A1610" s="2" t="inlineStr">
        <is>
          <t>F1609</t>
        </is>
      </c>
      <c r="B1610" s="2" t="inlineStr">
        <is>
          <t>financials</t>
        </is>
      </c>
      <c r="C1610" s="2" t="inlineStr">
        <is>
          <t>segment</t>
        </is>
      </c>
      <c r="D1610" s="3" t="inlineStr">
        <is>
          <t>Segment: segment; revenue; ebitda; assets</t>
        </is>
      </c>
      <c r="E1610" s="2" t="inlineStr">
        <is>
          <t>FY2025</t>
        </is>
      </c>
      <c r="F1610" s="2" t="n">
        <v>122.4</v>
      </c>
      <c r="G1610" s="2" t="n"/>
      <c r="H1610" s="2" t="inlineStr">
        <is>
          <t>segment: charging; revenue: 122.4</t>
        </is>
      </c>
      <c r="I1610" s="2" t="inlineStr">
        <is>
          <t>S3</t>
        </is>
      </c>
      <c r="J1610" s="2" t="n">
        <v>45</v>
      </c>
      <c r="K1610" s="3" t="inlineStr">
        <is>
          <t>Revenues related to charging 122.4 83.4 60.5 47</t>
        </is>
      </c>
      <c r="L1610" s="2" t="inlineStr">
        <is>
          <t>pend</t>
        </is>
      </c>
      <c r="M1610" s="2" t="n"/>
      <c r="N1610" s="2" t="n"/>
      <c r="O1610" s="3" t="inlineStr">
        <is>
          <t>https://vanillabonds.com/dossier-data/pdf/fastned/fastned-2025-annual-report.pdf#page=45</t>
        </is>
      </c>
    </row>
    <row r="1611">
      <c r="A1611" s="2" t="inlineStr">
        <is>
          <t>F1610</t>
        </is>
      </c>
      <c r="B1611" s="2" t="inlineStr">
        <is>
          <t>financials</t>
        </is>
      </c>
      <c r="C1611" s="2" t="inlineStr">
        <is>
          <t>segment</t>
        </is>
      </c>
      <c r="D1611" s="3" t="inlineStr">
        <is>
          <t>Segment: segment; revenue; ebitda; assets</t>
        </is>
      </c>
      <c r="E1611" s="2" t="inlineStr">
        <is>
          <t>FY2025</t>
        </is>
      </c>
      <c r="F1611" s="2" t="n">
        <v>16.7</v>
      </c>
      <c r="G1611" s="2" t="n"/>
      <c r="H1611" s="3" t="inlineStr">
        <is>
          <t>segment: other revenue (station construction under service concessions, German highway authorities); revenue: 16.7</t>
        </is>
      </c>
      <c r="I1611" s="2" t="inlineStr">
        <is>
          <t>S3</t>
        </is>
      </c>
      <c r="J1611" s="2" t="n">
        <v>45</v>
      </c>
      <c r="K1611" s="2" t="inlineStr">
        <is>
          <t>Other revenue 16.7 0.4 —</t>
        </is>
      </c>
      <c r="L1611" s="2" t="inlineStr">
        <is>
          <t>pend</t>
        </is>
      </c>
      <c r="M1611" s="2" t="n"/>
      <c r="N1611" s="2" t="n"/>
      <c r="O1611" s="3" t="inlineStr">
        <is>
          <t>https://vanillabonds.com/dossier-data/pdf/fastned/fastned-2025-annual-report.pdf#page=45</t>
        </is>
      </c>
    </row>
    <row r="1612">
      <c r="A1612" s="2" t="inlineStr">
        <is>
          <t>F1611</t>
        </is>
      </c>
      <c r="B1612" s="2" t="inlineStr">
        <is>
          <t>financials</t>
        </is>
      </c>
      <c r="C1612" s="2" t="inlineStr">
        <is>
          <t>segment</t>
        </is>
      </c>
      <c r="D1612" s="3" t="inlineStr">
        <is>
          <t>Segment: segment; revenue; ebitda; assets</t>
        </is>
      </c>
      <c r="E1612" s="2" t="inlineStr">
        <is>
          <t>FY2025</t>
        </is>
      </c>
      <c r="F1612" s="2" t="n">
        <v>72.8</v>
      </c>
      <c r="G1612" s="2" t="n"/>
      <c r="H1612" s="3" t="inlineStr">
        <is>
          <t>segment: Netherlands; revenue: 72.8; ebitda: 17.5; assets: 106.6 (non-current)</t>
        </is>
      </c>
      <c r="I1612" s="2" t="inlineStr">
        <is>
          <t>S3</t>
        </is>
      </c>
      <c r="J1612" s="2" t="n">
        <v>152</v>
      </c>
      <c r="K1612" s="3" t="inlineStr">
        <is>
          <t>Total revenue 72,805 26,792 8,080 16,049 12,696 2,754 139,177</t>
        </is>
      </c>
      <c r="L1612" s="2" t="inlineStr">
        <is>
          <t>pend</t>
        </is>
      </c>
      <c r="M1612" s="2" t="n"/>
      <c r="N1612" s="2" t="n"/>
      <c r="O1612" s="3" t="inlineStr">
        <is>
          <t>https://vanillabonds.com/dossier-data/pdf/fastned/fastned-2025-annual-report.pdf#page=152</t>
        </is>
      </c>
    </row>
    <row r="1613">
      <c r="A1613" s="2" t="inlineStr">
        <is>
          <t>F1612</t>
        </is>
      </c>
      <c r="B1613" s="2" t="inlineStr">
        <is>
          <t>financials</t>
        </is>
      </c>
      <c r="C1613" s="2" t="inlineStr">
        <is>
          <t>segment</t>
        </is>
      </c>
      <c r="D1613" s="3" t="inlineStr">
        <is>
          <t>Segment: segment; revenue; ebitda; assets</t>
        </is>
      </c>
      <c r="E1613" s="2" t="inlineStr">
        <is>
          <t>FY2025</t>
        </is>
      </c>
      <c r="F1613" s="2" t="n">
        <v>26.8</v>
      </c>
      <c r="G1613" s="2" t="n"/>
      <c r="H1613" s="3" t="inlineStr">
        <is>
          <t>segment: Germany (incl. 16.7 station construction); revenue: 26.8; ebitda: 3.9; assets: 41.5 (non-current)</t>
        </is>
      </c>
      <c r="I1613" s="2" t="inlineStr">
        <is>
          <t>S3</t>
        </is>
      </c>
      <c r="J1613" s="2" t="n">
        <v>152</v>
      </c>
      <c r="K1613" s="3" t="inlineStr">
        <is>
          <t>Total revenue 72,805 26,792 8,080 16,049 12,696 2,754 139,177</t>
        </is>
      </c>
      <c r="L1613" s="2" t="inlineStr">
        <is>
          <t>pend</t>
        </is>
      </c>
      <c r="M1613" s="2" t="n"/>
      <c r="N1613" s="2" t="n"/>
      <c r="O1613" s="3" t="inlineStr">
        <is>
          <t>https://vanillabonds.com/dossier-data/pdf/fastned/fastned-2025-annual-report.pdf#page=152</t>
        </is>
      </c>
    </row>
    <row r="1614">
      <c r="A1614" s="2" t="inlineStr">
        <is>
          <t>F1613</t>
        </is>
      </c>
      <c r="B1614" s="2" t="inlineStr">
        <is>
          <t>financials</t>
        </is>
      </c>
      <c r="C1614" s="2" t="inlineStr">
        <is>
          <t>segment</t>
        </is>
      </c>
      <c r="D1614" s="3" t="inlineStr">
        <is>
          <t>Segment: segment; revenue; ebitda; assets</t>
        </is>
      </c>
      <c r="E1614" s="2" t="inlineStr">
        <is>
          <t>FY2025</t>
        </is>
      </c>
      <c r="F1614" s="2" t="n">
        <v>8.1</v>
      </c>
      <c r="G1614" s="2" t="n"/>
      <c r="H1614" s="3" t="inlineStr">
        <is>
          <t>segment: United Kingdom; revenue: 8.1; ebitda: -2.8; assets: 54.8 (non-current)</t>
        </is>
      </c>
      <c r="I1614" s="2" t="inlineStr">
        <is>
          <t>S3</t>
        </is>
      </c>
      <c r="J1614" s="2" t="n">
        <v>152</v>
      </c>
      <c r="K1614" s="3" t="inlineStr">
        <is>
          <t>Total revenue 72,805 26,792 8,080 16,049 12,696 2,754 139,177</t>
        </is>
      </c>
      <c r="L1614" s="2" t="inlineStr">
        <is>
          <t>pend</t>
        </is>
      </c>
      <c r="M1614" s="2" t="n"/>
      <c r="N1614" s="2" t="n"/>
      <c r="O1614" s="3" t="inlineStr">
        <is>
          <t>https://vanillabonds.com/dossier-data/pdf/fastned/fastned-2025-annual-report.pdf#page=152</t>
        </is>
      </c>
    </row>
    <row r="1615">
      <c r="A1615" s="2" t="inlineStr">
        <is>
          <t>F1614</t>
        </is>
      </c>
      <c r="B1615" s="2" t="inlineStr">
        <is>
          <t>financials</t>
        </is>
      </c>
      <c r="C1615" s="2" t="inlineStr">
        <is>
          <t>segment</t>
        </is>
      </c>
      <c r="D1615" s="3" t="inlineStr">
        <is>
          <t>Segment: segment; revenue; ebitda; assets</t>
        </is>
      </c>
      <c r="E1615" s="2" t="inlineStr">
        <is>
          <t>FY2025</t>
        </is>
      </c>
      <c r="F1615" s="2" t="n">
        <v>16</v>
      </c>
      <c r="G1615" s="2" t="n"/>
      <c r="H1615" s="3" t="inlineStr">
        <is>
          <t>segment: Belgium; revenue: 16.0; ebitda: 1.8; assets: 60.1 (non-current)</t>
        </is>
      </c>
      <c r="I1615" s="2" t="inlineStr">
        <is>
          <t>S3</t>
        </is>
      </c>
      <c r="J1615" s="2" t="n">
        <v>152</v>
      </c>
      <c r="K1615" s="3" t="inlineStr">
        <is>
          <t>Total revenue 72,805 26,792 8,080 16,049 12,696 2,754 139,177</t>
        </is>
      </c>
      <c r="L1615" s="2" t="inlineStr">
        <is>
          <t>pend</t>
        </is>
      </c>
      <c r="M1615" s="2" t="n"/>
      <c r="N1615" s="2" t="n"/>
      <c r="O1615" s="3" t="inlineStr">
        <is>
          <t>https://vanillabonds.com/dossier-data/pdf/fastned/fastned-2025-annual-report.pdf#page=152</t>
        </is>
      </c>
    </row>
    <row r="1616">
      <c r="A1616" s="2" t="inlineStr">
        <is>
          <t>F1615</t>
        </is>
      </c>
      <c r="B1616" s="2" t="inlineStr">
        <is>
          <t>financials</t>
        </is>
      </c>
      <c r="C1616" s="2" t="inlineStr">
        <is>
          <t>segment</t>
        </is>
      </c>
      <c r="D1616" s="3" t="inlineStr">
        <is>
          <t>Segment: segment; revenue; ebitda; assets</t>
        </is>
      </c>
      <c r="E1616" s="2" t="inlineStr">
        <is>
          <t>FY2025</t>
        </is>
      </c>
      <c r="F1616" s="2" t="n">
        <v>12.7</v>
      </c>
      <c r="G1616" s="2" t="n"/>
      <c r="H1616" s="3" t="inlineStr">
        <is>
          <t>segment: France; revenue: 12.7; ebitda: -1.0; assets: 64.8 (non-current)</t>
        </is>
      </c>
      <c r="I1616" s="2" t="inlineStr">
        <is>
          <t>S3</t>
        </is>
      </c>
      <c r="J1616" s="2" t="n">
        <v>152</v>
      </c>
      <c r="K1616" s="3" t="inlineStr">
        <is>
          <t>Total revenue 72,805 26,792 8,080 16,049 12,696 2,754 139,177</t>
        </is>
      </c>
      <c r="L1616" s="2" t="inlineStr">
        <is>
          <t>pend</t>
        </is>
      </c>
      <c r="M1616" s="2" t="n"/>
      <c r="N1616" s="2" t="n"/>
      <c r="O1616" s="3" t="inlineStr">
        <is>
          <t>https://vanillabonds.com/dossier-data/pdf/fastned/fastned-2025-annual-report.pdf#page=152</t>
        </is>
      </c>
    </row>
    <row r="1617">
      <c r="A1617" s="2" t="inlineStr">
        <is>
          <t>F1616</t>
        </is>
      </c>
      <c r="B1617" s="2" t="inlineStr">
        <is>
          <t>financials</t>
        </is>
      </c>
      <c r="C1617" s="2" t="inlineStr">
        <is>
          <t>segment</t>
        </is>
      </c>
      <c r="D1617" s="3" t="inlineStr">
        <is>
          <t>Segment: segment; revenue; ebitda; assets</t>
        </is>
      </c>
      <c r="E1617" s="2" t="inlineStr">
        <is>
          <t>FY2025</t>
        </is>
      </c>
      <c r="F1617" s="2" t="n">
        <v>2.8</v>
      </c>
      <c r="G1617" s="2" t="n"/>
      <c r="H1617" s="3" t="inlineStr">
        <is>
          <t>segment: Other Europe (CH, IT, ES, DK, AT); revenue: 2.8; ebitda: -4.6; assets: 41.2 (non-current)</t>
        </is>
      </c>
      <c r="I1617" s="2" t="inlineStr">
        <is>
          <t>S3</t>
        </is>
      </c>
      <c r="J1617" s="2" t="n">
        <v>152</v>
      </c>
      <c r="K1617" s="3" t="inlineStr">
        <is>
          <t>Total revenue 72,805 26,792 8,080 16,049 12,696 2,754 139,177</t>
        </is>
      </c>
      <c r="L1617" s="2" t="inlineStr">
        <is>
          <t>pend</t>
        </is>
      </c>
      <c r="M1617" s="2" t="n"/>
      <c r="N1617" s="2" t="n"/>
      <c r="O1617" s="3" t="inlineStr">
        <is>
          <t>https://vanillabonds.com/dossier-data/pdf/fastned/fastned-2025-annual-report.pdf#page=152</t>
        </is>
      </c>
    </row>
    <row r="1618">
      <c r="A1618" s="2" t="inlineStr">
        <is>
          <t>F1617</t>
        </is>
      </c>
      <c r="B1618" s="2" t="inlineStr">
        <is>
          <t>financials</t>
        </is>
      </c>
      <c r="C1618" s="2" t="inlineStr">
        <is>
          <t>tax_paid</t>
        </is>
      </c>
      <c r="D1618" s="2" t="inlineStr">
        <is>
          <t>Income taxes paid (cash flow statement)</t>
        </is>
      </c>
      <c r="E1618" s="2" t="inlineStr">
        <is>
          <t>FY2024</t>
        </is>
      </c>
      <c r="F1618" s="2" t="n">
        <v>0</v>
      </c>
      <c r="G1618" s="2" t="inlineStr">
        <is>
          <t>EUR m</t>
        </is>
      </c>
      <c r="H1618" s="2" t="inlineStr">
        <is>
          <t>No income taxes paid or received</t>
        </is>
      </c>
      <c r="I1618" s="2" t="inlineStr">
        <is>
          <t>S3</t>
        </is>
      </c>
      <c r="J1618" s="2" t="n">
        <v>120</v>
      </c>
      <c r="K1618" s="2" t="inlineStr">
        <is>
          <t>Income taxes (paid)/received (5) —</t>
        </is>
      </c>
      <c r="L1618" s="2" t="inlineStr">
        <is>
          <t>pend</t>
        </is>
      </c>
      <c r="M1618" s="2" t="n"/>
      <c r="N1618" s="2" t="n"/>
      <c r="O1618" s="3" t="inlineStr">
        <is>
          <t>https://vanillabonds.com/dossier-data/pdf/fastned/fastned-2025-annual-report.pdf#page=120</t>
        </is>
      </c>
    </row>
    <row r="1619">
      <c r="A1619" s="2" t="inlineStr">
        <is>
          <t>F1618</t>
        </is>
      </c>
      <c r="B1619" s="2" t="inlineStr">
        <is>
          <t>financials</t>
        </is>
      </c>
      <c r="C1619" s="2" t="inlineStr">
        <is>
          <t>tax_paid</t>
        </is>
      </c>
      <c r="D1619" s="2" t="inlineStr">
        <is>
          <t>Income taxes paid (cash flow statement)</t>
        </is>
      </c>
      <c r="E1619" s="2" t="inlineStr">
        <is>
          <t>FY2025</t>
        </is>
      </c>
      <c r="F1619" s="2" t="n">
        <v>0</v>
      </c>
      <c r="G1619" s="2" t="inlineStr">
        <is>
          <t>EUR m</t>
        </is>
      </c>
      <c r="H1619" s="2" t="inlineStr">
        <is>
          <t>Income taxes paid €5 thousand</t>
        </is>
      </c>
      <c r="I1619" s="2" t="inlineStr">
        <is>
          <t>S3</t>
        </is>
      </c>
      <c r="J1619" s="2" t="n">
        <v>120</v>
      </c>
      <c r="K1619" s="2" t="inlineStr">
        <is>
          <t>Income taxes (paid)/received (5) —</t>
        </is>
      </c>
      <c r="L1619" s="2" t="inlineStr">
        <is>
          <t>pend</t>
        </is>
      </c>
      <c r="M1619" s="2" t="n"/>
      <c r="N1619" s="2" t="n"/>
      <c r="O1619" s="3" t="inlineStr">
        <is>
          <t>https://vanillabonds.com/dossier-data/pdf/fastned/fastned-2025-annual-report.pdf#page=120</t>
        </is>
      </c>
    </row>
    <row r="1620">
      <c r="A1620" s="2" t="inlineStr">
        <is>
          <t>F1619</t>
        </is>
      </c>
      <c r="B1620" s="2" t="inlineStr">
        <is>
          <t>debt</t>
        </is>
      </c>
      <c r="C1620" s="2" t="inlineStr">
        <is>
          <t>hedge</t>
        </is>
      </c>
      <c r="D1620" s="3" t="inlineStr">
        <is>
          <t>Hedge: instrument; counterparty; notional; maturity; hedged item (rate, FX)</t>
        </is>
      </c>
      <c r="E1620" s="2" t="n"/>
      <c r="F1620" s="2" t="n"/>
      <c r="G1620" s="2" t="n"/>
      <c r="H1620" s="3" t="inlineStr">
        <is>
          <t>instrument: fixed-price physical Power Purchase Agreements (wind and solar) under the IFRS 9 own-use exemption; counterparty: renewable energy projects; hedged item: electricity price risk</t>
        </is>
      </c>
      <c r="I1620" s="2" t="inlineStr">
        <is>
          <t>S3</t>
        </is>
      </c>
      <c r="J1620" s="2" t="n">
        <v>144</v>
      </c>
      <c r="K1620" s="3" t="inlineStr">
        <is>
          <t>The PPAs are entered into for hedging the price risk.</t>
        </is>
      </c>
      <c r="L1620" s="2" t="inlineStr">
        <is>
          <t>pend</t>
        </is>
      </c>
      <c r="M1620" s="2" t="n"/>
      <c r="N1620" s="2" t="n"/>
      <c r="O1620" s="3" t="inlineStr">
        <is>
          <t>https://vanillabonds.com/dossier-data/pdf/fastned/fastned-2025-annual-report.pdf#page=144</t>
        </is>
      </c>
    </row>
    <row r="1621">
      <c r="A1621" s="2" t="inlineStr">
        <is>
          <t>F1620</t>
        </is>
      </c>
      <c r="B1621" s="2" t="inlineStr">
        <is>
          <t>debt</t>
        </is>
      </c>
      <c r="C1621" s="2" t="inlineStr">
        <is>
          <t>hedge</t>
        </is>
      </c>
      <c r="D1621" s="3" t="inlineStr">
        <is>
          <t>Hedge: instrument; counterparty; notional; maturity; hedged item (rate, FX)</t>
        </is>
      </c>
      <c r="E1621" s="2" t="n"/>
      <c r="F1621" s="2" t="n">
        <v>3.2</v>
      </c>
      <c r="G1621" s="2" t="n"/>
      <c r="H1621" s="3" t="inlineStr">
        <is>
          <t>instrument: physical PPAs, pay-as-produced, 90-100% offtake of generation; counterparty: electricity producers (NL three solar and one wind, BE one solar); notional: €3.2m purchased in 2025; maturity: long-term (commitments extend beyond 5 years); hedged item: electricity price and supply</t>
        </is>
      </c>
      <c r="I1621" s="2" t="inlineStr">
        <is>
          <t>S3</t>
        </is>
      </c>
      <c r="J1621" s="2" t="n">
        <v>180</v>
      </c>
      <c r="K1621" s="3" t="inlineStr">
        <is>
          <t>worth € 3.2 million under these contracts. Of these purchases, € 69.4 thousand was unused and sold on the spot market.</t>
        </is>
      </c>
      <c r="L1621" s="2" t="inlineStr">
        <is>
          <t>pend</t>
        </is>
      </c>
      <c r="M1621" s="2" t="n"/>
      <c r="N1621" s="2" t="n"/>
      <c r="O1621" s="3" t="inlineStr">
        <is>
          <t>https://vanillabonds.com/dossier-data/pdf/fastned/fastned-2025-annual-report.pdf#page=180</t>
        </is>
      </c>
    </row>
    <row r="1622">
      <c r="A1622" s="2" t="inlineStr">
        <is>
          <t>F1621</t>
        </is>
      </c>
      <c r="B1622" s="2" t="inlineStr">
        <is>
          <t>debt</t>
        </is>
      </c>
      <c r="C1622" s="2" t="inlineStr">
        <is>
          <t>hedge</t>
        </is>
      </c>
      <c r="D1622" s="3" t="inlineStr">
        <is>
          <t>Hedge: instrument; counterparty; notional; maturity; hedged item (rate, FX)</t>
        </is>
      </c>
      <c r="E1622" s="2" t="n"/>
      <c r="F1622" s="2" t="n"/>
      <c r="G1622" s="2" t="n"/>
      <c r="H1622" s="3" t="inlineStr">
        <is>
          <t>instrument: interest rate hedge (type not named); hedged item: rate, the majority of the floating-rate exposure under the TICO Financing, to achieve a substantially fixed all-in cost</t>
        </is>
      </c>
      <c r="I1622" s="2" t="inlineStr">
        <is>
          <t>S3</t>
        </is>
      </c>
      <c r="J1622" s="2" t="n">
        <v>195</v>
      </c>
      <c r="K1622" s="3" t="inlineStr">
        <is>
          <t>The majority of the floating-rate exposure is hedged to achieve a substantially fixed all-in cost.</t>
        </is>
      </c>
      <c r="L1622" s="2" t="inlineStr">
        <is>
          <t>pend</t>
        </is>
      </c>
      <c r="M1622" s="2" t="n"/>
      <c r="N1622" s="2" t="n"/>
      <c r="O1622" s="3" t="inlineStr">
        <is>
          <t>https://vanillabonds.com/dossier-data/pdf/fastned/fastned-2025-annual-report.pdf#page=195</t>
        </is>
      </c>
    </row>
    <row r="1623">
      <c r="A1623" s="2" t="inlineStr">
        <is>
          <t>F1622</t>
        </is>
      </c>
      <c r="B1623" s="2" t="inlineStr">
        <is>
          <t>debt</t>
        </is>
      </c>
      <c r="C1623" s="2" t="inlineStr">
        <is>
          <t>rate_type</t>
        </is>
      </c>
      <c r="D1623" s="3" t="inlineStr">
        <is>
          <t>Rate structure of the debt: floating_share (0-1); base rate; fixed_share; fx mismatch revenue vs cost</t>
        </is>
      </c>
      <c r="E1623" s="2" t="n"/>
      <c r="F1623" s="2" t="n"/>
      <c r="G1623" s="2" t="n"/>
      <c r="H1623" s="3" t="inlineStr">
        <is>
          <t>floating_share: 0; base rate: fixed coupons (bonds 5-6%, secured loan 4%, grant loan interest-free); fixed_share: 1; fx mismatch revenue vs cost: UK, Swiss and Danish entities sell and buy locally but are funded with euro intercompany loans from Fastned B.V.</t>
        </is>
      </c>
      <c r="I1623" s="2" t="inlineStr">
        <is>
          <t>S3</t>
        </is>
      </c>
      <c r="J1623" s="2" t="n">
        <v>177</v>
      </c>
      <c r="K1623" s="3" t="inlineStr">
        <is>
          <t>The Group’s exposure to the risk of changes in market interest rates is low due to the Group’s long-term debt obligations with fixed rates.</t>
        </is>
      </c>
      <c r="L1623" s="2" t="inlineStr">
        <is>
          <t>pend</t>
        </is>
      </c>
      <c r="M1623" s="2" t="n"/>
      <c r="N1623" s="2" t="n"/>
      <c r="O1623" s="3" t="inlineStr">
        <is>
          <t>https://vanillabonds.com/dossier-data/pdf/fastned/fastned-2025-annual-report.pdf#page=177</t>
        </is>
      </c>
    </row>
    <row r="1624">
      <c r="A1624" s="2" t="inlineStr">
        <is>
          <t>F1623</t>
        </is>
      </c>
      <c r="B1624" s="2" t="inlineStr">
        <is>
          <t>debt</t>
        </is>
      </c>
      <c r="C1624" s="2" t="inlineStr">
        <is>
          <t>rollover_event</t>
        </is>
      </c>
      <c r="D1624" s="3" t="inlineStr">
        <is>
          <t>Past maturity: instrument; amount; due; outcome (repaid, refinanced, extended, waived)</t>
        </is>
      </c>
      <c r="E1624" s="2" t="n"/>
      <c r="F1624" s="2" t="n">
        <v>9.199999999999999</v>
      </c>
      <c r="G1624" s="2" t="n"/>
      <c r="H1624" s="3" t="inlineStr">
        <is>
          <t>instrument: 6% corporate bond; amount: 9.2; due: 2025-07-28; outcome: €6.9m repaid in cash, €2.3m extended into new bonds</t>
        </is>
      </c>
      <c r="I1624" s="2" t="inlineStr">
        <is>
          <t>S3</t>
        </is>
      </c>
      <c r="J1624" s="2" t="n">
        <v>174</v>
      </c>
      <c r="K1624" s="3" t="inlineStr">
        <is>
          <t>6% corporate bond 28/07/25 9,165 261 (6,878) (357) 96 (2,287) —</t>
        </is>
      </c>
      <c r="L1624" s="2" t="inlineStr">
        <is>
          <t>pend</t>
        </is>
      </c>
      <c r="M1624" s="2" t="n"/>
      <c r="N1624" s="2" t="n"/>
      <c r="O1624" s="3" t="inlineStr">
        <is>
          <t>https://vanillabonds.com/dossier-data/pdf/fastned/fastned-2025-annual-report.pdf#page=174</t>
        </is>
      </c>
    </row>
    <row r="1625">
      <c r="A1625" s="2" t="inlineStr">
        <is>
          <t>F1624</t>
        </is>
      </c>
      <c r="B1625" s="2" t="inlineStr">
        <is>
          <t>debt</t>
        </is>
      </c>
      <c r="C1625" s="2" t="inlineStr">
        <is>
          <t>rollover_event</t>
        </is>
      </c>
      <c r="D1625" s="3" t="inlineStr">
        <is>
          <t>Past maturity: instrument; amount; due; outcome (repaid, refinanced, extended, waived)</t>
        </is>
      </c>
      <c r="E1625" s="2" t="n"/>
      <c r="F1625" s="2" t="n">
        <v>12.7</v>
      </c>
      <c r="G1625" s="2" t="n"/>
      <c r="H1625" s="3" t="inlineStr">
        <is>
          <t>instrument: 6% corporate bond; amount: 12.7; due: 2025-11-19; outcome: €7.6m repaid in cash, €5.0m extended into new bonds</t>
        </is>
      </c>
      <c r="I1625" s="2" t="inlineStr">
        <is>
          <t>S3</t>
        </is>
      </c>
      <c r="J1625" s="2" t="n">
        <v>174</v>
      </c>
      <c r="K1625" s="3" t="inlineStr">
        <is>
          <t>6% corporate bond 19/11/25 12,654 506 (7,633) (589) 87 (5,023) —</t>
        </is>
      </c>
      <c r="L1625" s="2" t="inlineStr">
        <is>
          <t>pend</t>
        </is>
      </c>
      <c r="M1625" s="2" t="n"/>
      <c r="N1625" s="2" t="n"/>
      <c r="O1625" s="3" t="inlineStr">
        <is>
          <t>https://vanillabonds.com/dossier-data/pdf/fastned/fastned-2025-annual-report.pdf#page=174</t>
        </is>
      </c>
    </row>
    <row r="1626">
      <c r="A1626" s="2" t="inlineStr">
        <is>
          <t>F1625</t>
        </is>
      </c>
      <c r="B1626" s="2" t="inlineStr">
        <is>
          <t>debt</t>
        </is>
      </c>
      <c r="C1626" s="2" t="inlineStr">
        <is>
          <t>rollover_event</t>
        </is>
      </c>
      <c r="D1626" s="3" t="inlineStr">
        <is>
          <t>Past maturity: instrument; amount; due; outcome (repaid, refinanced, extended, waived)</t>
        </is>
      </c>
      <c r="E1626" s="2" t="n"/>
      <c r="F1626" s="2" t="n">
        <v>30.4</v>
      </c>
      <c r="G1626" s="2" t="n"/>
      <c r="H1626" s="3" t="inlineStr">
        <is>
          <t>instrument: 5% corporate bond due 12/12/2026; amount: 30.4; due: 2026-12-12; outcome: €18.4m voluntarily extended into new 6% bonds during 2025 ahead of maturity, €12.0m remains outstanding</t>
        </is>
      </c>
      <c r="I1626" s="2" t="inlineStr">
        <is>
          <t>S3</t>
        </is>
      </c>
      <c r="J1626" s="2" t="n">
        <v>174</v>
      </c>
      <c r="K1626" s="3" t="inlineStr">
        <is>
          <t>5% corporate bond 12/12/26 30,357 733 — (781) 48 (18,376) 11,981</t>
        </is>
      </c>
      <c r="L1626" s="2" t="inlineStr">
        <is>
          <t>pend</t>
        </is>
      </c>
      <c r="M1626" s="2" t="n"/>
      <c r="N1626" s="2" t="n"/>
      <c r="O1626" s="3" t="inlineStr">
        <is>
          <t>https://vanillabonds.com/dossier-data/pdf/fastned/fastned-2025-annual-report.pdf#page=174</t>
        </is>
      </c>
    </row>
    <row r="1627">
      <c r="A1627" s="2" t="inlineStr">
        <is>
          <t>F1626</t>
        </is>
      </c>
      <c r="B1627" s="2" t="inlineStr">
        <is>
          <t>debt</t>
        </is>
      </c>
      <c r="C1627" s="2" t="inlineStr">
        <is>
          <t>rollover_event</t>
        </is>
      </c>
      <c r="D1627" s="3" t="inlineStr">
        <is>
          <t>Past maturity: instrument; amount; due; outcome (repaid, refinanced, extended, waived)</t>
        </is>
      </c>
      <c r="E1627" s="2" t="n"/>
      <c r="F1627" s="2" t="n">
        <v>13.2</v>
      </c>
      <c r="G1627" s="2" t="n"/>
      <c r="H1627" s="3" t="inlineStr">
        <is>
          <t>instrument: 5% corporate bond due 21/06/2027; amount: 13.2; due: 2027-06-21; outcome: €6.0m extended into new bonds during 2025 ahead of maturity, €7.3m remains outstanding</t>
        </is>
      </c>
      <c r="I1627" s="2" t="inlineStr">
        <is>
          <t>S3</t>
        </is>
      </c>
      <c r="J1627" s="2" t="n">
        <v>174</v>
      </c>
      <c r="K1627" s="3" t="inlineStr">
        <is>
          <t>5% corporate bond 21/06/27 13,248 579 — (588) 8 (5,986) 7,262</t>
        </is>
      </c>
      <c r="L1627" s="2" t="inlineStr">
        <is>
          <t>pend</t>
        </is>
      </c>
      <c r="M1627" s="2" t="n"/>
      <c r="N1627" s="2" t="n"/>
      <c r="O1627" s="3" t="inlineStr">
        <is>
          <t>https://vanillabonds.com/dossier-data/pdf/fastned/fastned-2025-annual-report.pdf#page=174</t>
        </is>
      </c>
    </row>
    <row r="1628">
      <c r="A1628" s="2" t="inlineStr">
        <is>
          <t>F1627</t>
        </is>
      </c>
      <c r="B1628" s="2" t="inlineStr">
        <is>
          <t>debt</t>
        </is>
      </c>
      <c r="C1628" s="2" t="inlineStr">
        <is>
          <t>rollover_event</t>
        </is>
      </c>
      <c r="D1628" s="3" t="inlineStr">
        <is>
          <t>Past maturity: instrument; amount; due; outcome (repaid, refinanced, extended, waived)</t>
        </is>
      </c>
      <c r="E1628" s="2" t="n"/>
      <c r="F1628" s="2" t="n">
        <v>7.3</v>
      </c>
      <c r="G1628" s="2" t="n"/>
      <c r="H1628" s="3" t="inlineStr">
        <is>
          <t>instrument: 6% corporate bond; amount: 7.3; due: 2024-03-21; outcome: €6.6m repaid in cash, €0.7m extended</t>
        </is>
      </c>
      <c r="I1628" s="2" t="inlineStr">
        <is>
          <t>S3</t>
        </is>
      </c>
      <c r="J1628" s="2" t="n">
        <v>175</v>
      </c>
      <c r="K1628" s="3" t="inlineStr">
        <is>
          <t>6% corporate bond 21/03/24 7,304 86 (6,563) (98) 12 (741) —</t>
        </is>
      </c>
      <c r="L1628" s="2" t="inlineStr">
        <is>
          <t>pend</t>
        </is>
      </c>
      <c r="M1628" s="2" t="n"/>
      <c r="N1628" s="2" t="n"/>
      <c r="O1628" s="3" t="inlineStr">
        <is>
          <t>https://vanillabonds.com/dossier-data/pdf/fastned/fastned-2025-annual-report.pdf#page=175</t>
        </is>
      </c>
    </row>
    <row r="1629">
      <c r="A1629" s="2" t="inlineStr">
        <is>
          <t>F1628</t>
        </is>
      </c>
      <c r="B1629" s="2" t="inlineStr">
        <is>
          <t>debt</t>
        </is>
      </c>
      <c r="C1629" s="2" t="inlineStr">
        <is>
          <t>rollover_event</t>
        </is>
      </c>
      <c r="D1629" s="3" t="inlineStr">
        <is>
          <t>Past maturity: instrument; amount; due; outcome (repaid, refinanced, extended, waived)</t>
        </is>
      </c>
      <c r="E1629" s="2" t="n"/>
      <c r="F1629" s="2" t="n">
        <v>9.699999999999999</v>
      </c>
      <c r="G1629" s="2" t="n"/>
      <c r="H1629" s="3" t="inlineStr">
        <is>
          <t>instrument: 6% corporate bond; amount: 9.7; due: 2024-12-12; outcome: €5.2m repaid in cash, €4.5m extended</t>
        </is>
      </c>
      <c r="I1629" s="2" t="inlineStr">
        <is>
          <t>S3</t>
        </is>
      </c>
      <c r="J1629" s="2" t="n">
        <v>175</v>
      </c>
      <c r="K1629" s="3" t="inlineStr">
        <is>
          <t>6% corporate bond 12/12/24 9,659 408 (5,204) (438) 30 (4,455) —</t>
        </is>
      </c>
      <c r="L1629" s="2" t="inlineStr">
        <is>
          <t>pend</t>
        </is>
      </c>
      <c r="M1629" s="2" t="n"/>
      <c r="N1629" s="2" t="n"/>
      <c r="O1629" s="3" t="inlineStr">
        <is>
          <t>https://vanillabonds.com/dossier-data/pdf/fastned/fastned-2025-annual-report.pdf#page=175</t>
        </is>
      </c>
    </row>
    <row r="1630">
      <c r="A1630" s="2" t="inlineStr">
        <is>
          <t>F1629</t>
        </is>
      </c>
      <c r="B1630" s="2" t="inlineStr">
        <is>
          <t>debt</t>
        </is>
      </c>
      <c r="C1630" s="2" t="inlineStr">
        <is>
          <t>rollover_event</t>
        </is>
      </c>
      <c r="D1630" s="3" t="inlineStr">
        <is>
          <t>Past maturity: instrument; amount; due; outcome (repaid, refinanced, extended, waived)</t>
        </is>
      </c>
      <c r="E1630" s="2" t="n"/>
      <c r="F1630" s="2" t="n">
        <v>2.3</v>
      </c>
      <c r="G1630" s="2" t="n"/>
      <c r="H1630" s="3" t="inlineStr">
        <is>
          <t>instrument: earlier unsecured bond issues; amount: 2.3; due: not stated; outcome: extended by investors into the February 2026 issue</t>
        </is>
      </c>
      <c r="I1630" s="2" t="inlineStr">
        <is>
          <t>S3</t>
        </is>
      </c>
      <c r="J1630" s="2" t="n">
        <v>195</v>
      </c>
      <c r="K1630" s="3" t="inlineStr">
        <is>
          <t>investors extended € 2.3 million from earlier bonds issues.</t>
        </is>
      </c>
      <c r="L1630" s="2" t="inlineStr">
        <is>
          <t>pend</t>
        </is>
      </c>
      <c r="M1630" s="2" t="n"/>
      <c r="N1630" s="2" t="n"/>
      <c r="O1630" s="3" t="inlineStr">
        <is>
          <t>https://vanillabonds.com/dossier-data/pdf/fastned/fastned-2025-annual-report.pdf#page=195</t>
        </is>
      </c>
    </row>
    <row r="1631">
      <c r="A1631" s="2" t="inlineStr">
        <is>
          <t>F1630</t>
        </is>
      </c>
      <c r="B1631" s="2" t="inlineStr">
        <is>
          <t>management</t>
        </is>
      </c>
      <c r="C1631" s="2" t="inlineStr">
        <is>
          <t>strategy_statement</t>
        </is>
      </c>
      <c r="D1631" s="3" t="inlineStr">
        <is>
          <t>Stated strategy: year; statement; what happened; source</t>
        </is>
      </c>
      <c r="E1631" s="2" t="n"/>
      <c r="F1631" s="2" t="n"/>
      <c r="G1631" s="2" t="n"/>
      <c r="H1631" s="3" t="inlineStr">
        <is>
          <t>year: 2025; statement: deepen coverage on Europe's main corridors, strengthen existing markets and enter new countries where traffic, grid capacity and partnerships justify investment; source: CEO letter</t>
        </is>
      </c>
      <c r="I1631" s="2" t="inlineStr">
        <is>
          <t>S3</t>
        </is>
      </c>
      <c r="J1631" s="2" t="n">
        <v>9</v>
      </c>
      <c r="K1631" s="3" t="inlineStr">
        <is>
          <t>In the coming years we will deepen coverage on Europe’s main corridors, strengthen our position in existing markets, and enter new countries</t>
        </is>
      </c>
      <c r="L1631" s="2" t="inlineStr">
        <is>
          <t>pend</t>
        </is>
      </c>
      <c r="M1631" s="2" t="n"/>
      <c r="N1631" s="2" t="n"/>
      <c r="O1631" s="3" t="inlineStr">
        <is>
          <t>https://vanillabonds.com/dossier-data/pdf/fastned/fastned-2025-annual-report.pdf#page=9</t>
        </is>
      </c>
    </row>
    <row r="1632">
      <c r="A1632" s="2" t="inlineStr">
        <is>
          <t>F1631</t>
        </is>
      </c>
      <c r="B1632" s="2" t="inlineStr">
        <is>
          <t>management</t>
        </is>
      </c>
      <c r="C1632" s="2" t="inlineStr">
        <is>
          <t>strategy_statement</t>
        </is>
      </c>
      <c r="D1632" s="3" t="inlineStr">
        <is>
          <t>Stated strategy: year; statement; what happened; source</t>
        </is>
      </c>
      <c r="E1632" s="2" t="n"/>
      <c r="F1632" s="2" t="n"/>
      <c r="G1632" s="2" t="n"/>
      <c r="H1632" s="3" t="inlineStr">
        <is>
          <t>year: 2025; statement: three pillars - high-value locations across Europe, a best-in-class fast charging concept, a disciplined efficient organisation with a robust financial and technology backbone; source: management report</t>
        </is>
      </c>
      <c r="I1632" s="2" t="inlineStr">
        <is>
          <t>S3</t>
        </is>
      </c>
      <c r="J1632" s="2" t="n">
        <v>13</v>
      </c>
      <c r="K1632" s="3" t="inlineStr">
        <is>
          <t>Build a network of high-value locations across Europe.</t>
        </is>
      </c>
      <c r="L1632" s="2" t="inlineStr">
        <is>
          <t>pend</t>
        </is>
      </c>
      <c r="M1632" s="2" t="n"/>
      <c r="N1632" s="2" t="n"/>
      <c r="O1632" s="3" t="inlineStr">
        <is>
          <t>https://vanillabonds.com/dossier-data/pdf/fastned/fastned-2025-annual-report.pdf#page=13</t>
        </is>
      </c>
    </row>
    <row r="1633">
      <c r="A1633" s="2" t="inlineStr">
        <is>
          <t>F1632</t>
        </is>
      </c>
      <c r="B1633" s="2" t="inlineStr">
        <is>
          <t>management</t>
        </is>
      </c>
      <c r="C1633" s="2" t="inlineStr">
        <is>
          <t>strategy_statement</t>
        </is>
      </c>
      <c r="D1633" s="3" t="inlineStr">
        <is>
          <t>Stated strategy: year; statement; what happened; source</t>
        </is>
      </c>
      <c r="E1633" s="2" t="n"/>
      <c r="F1633" s="2" t="n"/>
      <c r="G1633" s="2" t="n"/>
      <c r="H1633" s="3" t="inlineStr">
        <is>
          <t>year: 2025; statement: 1,000 stations by 2030, almost two thirds of locations already contracted; what happened: 406 stations and 663 locations at end-2025, build pace below the required rate; source: management report</t>
        </is>
      </c>
      <c r="I1633" s="2" t="inlineStr">
        <is>
          <t>S3</t>
        </is>
      </c>
      <c r="J1633" s="2" t="n">
        <v>13</v>
      </c>
      <c r="K1633" s="3" t="inlineStr">
        <is>
          <t>almost two thirds of the way to our 2030 target of 1,000 stations already contracted</t>
        </is>
      </c>
      <c r="L1633" s="2" t="inlineStr">
        <is>
          <t>pend</t>
        </is>
      </c>
      <c r="M1633" s="2" t="n"/>
      <c r="N1633" s="2" t="n"/>
      <c r="O1633" s="3" t="inlineStr">
        <is>
          <t>https://vanillabonds.com/dossier-data/pdf/fastned/fastned-2025-annual-report.pdf#page=13</t>
        </is>
      </c>
    </row>
    <row r="1634">
      <c r="A1634" s="2" t="inlineStr">
        <is>
          <t>F1633</t>
        </is>
      </c>
      <c r="B1634" s="2" t="inlineStr">
        <is>
          <t>management</t>
        </is>
      </c>
      <c r="C1634" s="2" t="inlineStr">
        <is>
          <t>strategy_statement</t>
        </is>
      </c>
      <c r="D1634" s="3" t="inlineStr">
        <is>
          <t>Stated strategy: year; statement; what happened; source</t>
        </is>
      </c>
      <c r="E1634" s="2" t="n"/>
      <c r="F1634" s="2" t="n"/>
      <c r="G1634" s="2" t="n"/>
      <c r="H1634" s="3" t="inlineStr">
        <is>
          <t>year: 2025; statement: shift emphasis from headcount growth to productivity, efficiency and disciplined capital allocation; what happened: 129 hires, network expansion costs +48%; source: management report</t>
        </is>
      </c>
      <c r="I1634" s="2" t="inlineStr">
        <is>
          <t>S3</t>
        </is>
      </c>
      <c r="J1634" s="2" t="n">
        <v>14</v>
      </c>
      <c r="K1634" s="3" t="inlineStr">
        <is>
          <t>In 2025 we began to shift the emphasis from pure growth in headcount to improving productivity and efficiency.</t>
        </is>
      </c>
      <c r="L1634" s="2" t="inlineStr">
        <is>
          <t>pend</t>
        </is>
      </c>
      <c r="M1634" s="2" t="n"/>
      <c r="N1634" s="2" t="n"/>
      <c r="O1634" s="3" t="inlineStr">
        <is>
          <t>https://vanillabonds.com/dossier-data/pdf/fastned/fastned-2025-annual-report.pdf#page=14</t>
        </is>
      </c>
    </row>
    <row r="1635">
      <c r="A1635" s="2" t="inlineStr">
        <is>
          <t>F1634</t>
        </is>
      </c>
      <c r="B1635" s="2" t="inlineStr">
        <is>
          <t>management</t>
        </is>
      </c>
      <c r="C1635" s="2" t="inlineStr">
        <is>
          <t>strategy_statement</t>
        </is>
      </c>
      <c r="D1635" s="3" t="inlineStr">
        <is>
          <t>Stated strategy: year; statement; what happened; source</t>
        </is>
      </c>
      <c r="E1635" s="2" t="n"/>
      <c r="F1635" s="2" t="n"/>
      <c r="G1635" s="2" t="n"/>
      <c r="H1635" s="3" t="inlineStr">
        <is>
          <t>year: 2025; statement: rollout timeline and phasing adapted to realistic infrastructure readiness per market; source: management report</t>
        </is>
      </c>
      <c r="I1635" s="2" t="inlineStr">
        <is>
          <t>S3</t>
        </is>
      </c>
      <c r="J1635" s="2" t="n">
        <v>14</v>
      </c>
      <c r="K1635" s="3" t="inlineStr">
        <is>
          <t>we are adapting our rollout timeline and phasing to match realistic infrastructure readiness in each market.</t>
        </is>
      </c>
      <c r="L1635" s="2" t="inlineStr">
        <is>
          <t>pend</t>
        </is>
      </c>
      <c r="M1635" s="2" t="n"/>
      <c r="N1635" s="2" t="n"/>
      <c r="O1635" s="3" t="inlineStr">
        <is>
          <t>https://vanillabonds.com/dossier-data/pdf/fastned/fastned-2025-annual-report.pdf#page=14</t>
        </is>
      </c>
    </row>
    <row r="1636">
      <c r="A1636" s="2" t="inlineStr">
        <is>
          <t>F1635</t>
        </is>
      </c>
      <c r="B1636" s="2" t="inlineStr">
        <is>
          <t>management</t>
        </is>
      </c>
      <c r="C1636" s="2" t="inlineStr">
        <is>
          <t>strategy_statement</t>
        </is>
      </c>
      <c r="D1636" s="3" t="inlineStr">
        <is>
          <t>Stated strategy: year; statement; what happened; source</t>
        </is>
      </c>
      <c r="E1636" s="2" t="n"/>
      <c r="F1636" s="2" t="n"/>
      <c r="G1636" s="2" t="n"/>
      <c r="H1636" s="3" t="inlineStr">
        <is>
          <t>year: 2025; statement: finance a larger share of growth through repeatable instruments such as bonds, asset-backed financing and over time partnerships with institutional investors; source: management report</t>
        </is>
      </c>
      <c r="I1636" s="2" t="inlineStr">
        <is>
          <t>S3</t>
        </is>
      </c>
      <c r="J1636" s="2" t="n">
        <v>17</v>
      </c>
      <c r="K1636" s="3" t="inlineStr">
        <is>
          <t>a larger share of our growth can be financed through repeatable instruments such as bonds, asset-backed financing and, over time, partnerships with institutional investors.</t>
        </is>
      </c>
      <c r="L1636" s="2" t="inlineStr">
        <is>
          <t>pend</t>
        </is>
      </c>
      <c r="M1636" s="2" t="n"/>
      <c r="N1636" s="2" t="n"/>
      <c r="O1636" s="3" t="inlineStr">
        <is>
          <t>https://vanillabonds.com/dossier-data/pdf/fastned/fastned-2025-annual-report.pdf#page=17</t>
        </is>
      </c>
    </row>
    <row r="1637">
      <c r="A1637" s="2" t="inlineStr">
        <is>
          <t>F1636</t>
        </is>
      </c>
      <c r="B1637" s="2" t="inlineStr">
        <is>
          <t>management</t>
        </is>
      </c>
      <c r="C1637" s="2" t="inlineStr">
        <is>
          <t>strategy_statement</t>
        </is>
      </c>
      <c r="D1637" s="3" t="inlineStr">
        <is>
          <t>Stated strategy: year; statement; what happened; source</t>
        </is>
      </c>
      <c r="E1637" s="2" t="n"/>
      <c r="F1637" s="2" t="n"/>
      <c r="G1637" s="2" t="n"/>
      <c r="H1637" s="3" t="inlineStr">
        <is>
          <t>year: 2025; statement: retail and amenities (food and drink, facilities, rest areas) as part of the station concept, including truck lanes; source: management report</t>
        </is>
      </c>
      <c r="I1637" s="2" t="inlineStr">
        <is>
          <t>S3</t>
        </is>
      </c>
      <c r="J1637" s="2" t="n">
        <v>20</v>
      </c>
      <c r="K1637" s="3" t="inlineStr">
        <is>
          <t>Our retail strategy is simple: offer high-quality food and drink, clean and accessible facilities</t>
        </is>
      </c>
      <c r="L1637" s="2" t="inlineStr">
        <is>
          <t>pend</t>
        </is>
      </c>
      <c r="M1637" s="2" t="n"/>
      <c r="N1637" s="2" t="n"/>
      <c r="O1637" s="3" t="inlineStr">
        <is>
          <t>https://vanillabonds.com/dossier-data/pdf/fastned/fastned-2025-annual-report.pdf#page=20</t>
        </is>
      </c>
    </row>
    <row r="1638">
      <c r="A1638" s="2" t="inlineStr">
        <is>
          <t>F1637</t>
        </is>
      </c>
      <c r="B1638" s="2" t="inlineStr">
        <is>
          <t>management</t>
        </is>
      </c>
      <c r="C1638" s="2" t="inlineStr">
        <is>
          <t>strategy_statement</t>
        </is>
      </c>
      <c r="D1638" s="3" t="inlineStr">
        <is>
          <t>Stated strategy: year; statement; what happened; source</t>
        </is>
      </c>
      <c r="E1638" s="2" t="n"/>
      <c r="F1638" s="2" t="n"/>
      <c r="G1638" s="2" t="n"/>
      <c r="H1638" s="3" t="inlineStr">
        <is>
          <t>year: 2030; statement: build a European network of 1,000 fast charging stations by 2030; source: Report of the Supervisory Board 2025</t>
        </is>
      </c>
      <c r="I1638" s="2" t="inlineStr">
        <is>
          <t>S3</t>
        </is>
      </c>
      <c r="J1638" s="2" t="n">
        <v>101</v>
      </c>
      <c r="K1638" s="3" t="inlineStr">
        <is>
          <t>the strategy to build a European network of 1,000 fast charging stations by 2030</t>
        </is>
      </c>
      <c r="L1638" s="2" t="inlineStr">
        <is>
          <t>pend</t>
        </is>
      </c>
      <c r="M1638" s="2" t="n"/>
      <c r="N1638" s="2" t="n"/>
      <c r="O1638" s="3" t="inlineStr">
        <is>
          <t>https://vanillabonds.com/dossier-data/pdf/fastned/fastned-2025-annual-report.pdf#page=101</t>
        </is>
      </c>
    </row>
    <row r="1639">
      <c r="A1639" s="2" t="inlineStr">
        <is>
          <t>F1638</t>
        </is>
      </c>
      <c r="B1639" s="2" t="inlineStr">
        <is>
          <t>management</t>
        </is>
      </c>
      <c r="C1639" s="2" t="inlineStr">
        <is>
          <t>strategy_statement</t>
        </is>
      </c>
      <c r="D1639" s="3" t="inlineStr">
        <is>
          <t>Stated strategy: year; statement; what happened; source</t>
        </is>
      </c>
      <c r="E1639" s="2" t="n"/>
      <c r="F1639" s="2" t="n"/>
      <c r="G1639" s="2" t="n"/>
      <c r="H1639" s="3" t="inlineStr">
        <is>
          <t>year: 2025; statement: give freedom to electric drivers and accelerate the transition to electric mobility; pursue the growth strategy, which requires raising additional funding; source: BDO auditor's report 18 March 2026 describing management's focus</t>
        </is>
      </c>
      <c r="I1639" s="2" t="inlineStr">
        <is>
          <t>S3</t>
        </is>
      </c>
      <c r="J1639" s="2" t="n">
        <v>218</v>
      </c>
      <c r="K1639" s="3" t="inlineStr">
        <is>
          <t>Fastned operates in a developing market and management’s focus is to give freedom to electric drivers and accelerate the transition to electric mobility.</t>
        </is>
      </c>
      <c r="L1639" s="2" t="inlineStr">
        <is>
          <t>pend</t>
        </is>
      </c>
      <c r="M1639" s="2" t="n"/>
      <c r="N1639" s="2" t="n"/>
      <c r="O1639" s="3" t="inlineStr">
        <is>
          <t>https://vanillabonds.com/dossier-data/pdf/fastned/fastned-2025-annual-report.pdf#page=218</t>
        </is>
      </c>
    </row>
    <row r="1640">
      <c r="A1640" s="2" t="inlineStr">
        <is>
          <t>F1639</t>
        </is>
      </c>
      <c r="B1640" s="2" t="inlineStr">
        <is>
          <t>management</t>
        </is>
      </c>
      <c r="C1640" s="2" t="inlineStr">
        <is>
          <t>risk_policy</t>
        </is>
      </c>
      <c r="D1640" s="3" t="inlineStr">
        <is>
          <t>Financial policy, stated and revealed: item (leverage target, dividend, hedging, cash held, acquisition funding); stated; realised; year</t>
        </is>
      </c>
      <c r="E1640" s="2" t="n"/>
      <c r="F1640" s="2" t="n"/>
      <c r="G1640" s="2" t="n"/>
      <c r="H1640" s="3" t="inlineStr">
        <is>
          <t>item: cash held; stated: management calls the EUR 69.9m year-end cash 'sufficient funding' for short-term station growth; realised: cash fell from 117.4 to 69.9 in 2025; year: 2025</t>
        </is>
      </c>
      <c r="I1640" s="2" t="inlineStr">
        <is>
          <t>S3</t>
        </is>
      </c>
      <c r="J1640" s="2" t="n">
        <v>47</v>
      </c>
      <c r="K1640" s="3" t="inlineStr">
        <is>
          <t>Fastned’s cash and cash equivalent position was €69.9 million at the end of 2025, ensuring sufficient funding to grow the number of stations in the network in the short term.</t>
        </is>
      </c>
      <c r="L1640" s="2" t="inlineStr">
        <is>
          <t>pend</t>
        </is>
      </c>
      <c r="M1640" s="2" t="n"/>
      <c r="N1640" s="2" t="n"/>
      <c r="O1640" s="3" t="inlineStr">
        <is>
          <t>https://vanillabonds.com/dossier-data/pdf/fastned/fastned-2025-annual-report.pdf#page=47</t>
        </is>
      </c>
    </row>
    <row r="1641">
      <c r="A1641" s="2" t="inlineStr">
        <is>
          <t>F1640</t>
        </is>
      </c>
      <c r="B1641" s="2" t="inlineStr">
        <is>
          <t>management</t>
        </is>
      </c>
      <c r="C1641" s="2" t="inlineStr">
        <is>
          <t>risk_policy</t>
        </is>
      </c>
      <c r="D1641" s="3" t="inlineStr">
        <is>
          <t>Financial policy, stated and revealed: item (leverage target, dividend, hedging, cash held, acquisition funding); stated; realised; year</t>
        </is>
      </c>
      <c r="E1641" s="2" t="n"/>
      <c r="F1641" s="2" t="n"/>
      <c r="G1641" s="2" t="n"/>
      <c r="H1641" s="3" t="inlineStr">
        <is>
          <t>item: energy price; stated: fixed-price PPAs supporting the company's policy of stable prices at charging stations; realised: four active PPAs in 2025; year: 2025</t>
        </is>
      </c>
      <c r="I1641" s="2" t="inlineStr">
        <is>
          <t>S3</t>
        </is>
      </c>
      <c r="J1641" s="2" t="n">
        <v>65</v>
      </c>
      <c r="K1641" s="3" t="inlineStr">
        <is>
          <t>allowing Fastned to purchase electricity at a fixed price, supporting Fastned’s policy of maintaining stable prices at our charging stations</t>
        </is>
      </c>
      <c r="L1641" s="2" t="inlineStr">
        <is>
          <t>pend</t>
        </is>
      </c>
      <c r="M1641" s="2" t="n"/>
      <c r="N1641" s="2" t="n"/>
      <c r="O1641" s="3" t="inlineStr">
        <is>
          <t>https://vanillabonds.com/dossier-data/pdf/fastned/fastned-2025-annual-report.pdf#page=65</t>
        </is>
      </c>
    </row>
    <row r="1642">
      <c r="A1642" s="2" t="inlineStr">
        <is>
          <t>F1641</t>
        </is>
      </c>
      <c r="B1642" s="2" t="inlineStr">
        <is>
          <t>management</t>
        </is>
      </c>
      <c r="C1642" s="2" t="inlineStr">
        <is>
          <t>risk_policy</t>
        </is>
      </c>
      <c r="D1642" s="3" t="inlineStr">
        <is>
          <t>Financial policy, stated and revealed: item (leverage target, dividend, hedging, cash held, acquisition funding); stated; realised; year</t>
        </is>
      </c>
      <c r="E1642" s="2" t="n"/>
      <c r="F1642" s="2" t="n"/>
      <c r="G1642" s="2" t="n"/>
      <c r="H1642" s="3" t="inlineStr">
        <is>
          <t>item: risk appetite; stated: management describes a 'low-to-moderate' appetite overall, 'moderate' for strategic and financial risks, 'low' for fraud, legal, regulatory reporting and H&amp;S; year: 2025</t>
        </is>
      </c>
      <c r="I1642" s="2" t="inlineStr">
        <is>
          <t>S3</t>
        </is>
      </c>
      <c r="J1642" s="2" t="n">
        <v>77</v>
      </c>
      <c r="K1642" s="3" t="inlineStr">
        <is>
          <t>Fastned has a deliberately low-to-moderate risk appetite across most risk categories</t>
        </is>
      </c>
      <c r="L1642" s="2" t="inlineStr">
        <is>
          <t>pend</t>
        </is>
      </c>
      <c r="M1642" s="2" t="n"/>
      <c r="N1642" s="2" t="n"/>
      <c r="O1642" s="3" t="inlineStr">
        <is>
          <t>https://vanillabonds.com/dossier-data/pdf/fastned/fastned-2025-annual-report.pdf#page=77</t>
        </is>
      </c>
    </row>
    <row r="1643">
      <c r="A1643" s="2" t="inlineStr">
        <is>
          <t>F1642</t>
        </is>
      </c>
      <c r="B1643" s="2" t="inlineStr">
        <is>
          <t>management</t>
        </is>
      </c>
      <c r="C1643" s="2" t="inlineStr">
        <is>
          <t>risk_policy</t>
        </is>
      </c>
      <c r="D1643" s="3" t="inlineStr">
        <is>
          <t>Financial policy, stated and revealed: item (leverage target, dividend, hedging, cash held, acquisition funding); stated; realised; year</t>
        </is>
      </c>
      <c r="E1643" s="2" t="n"/>
      <c r="F1643" s="2" t="n"/>
      <c r="G1643" s="2" t="n"/>
      <c r="H1643" s="3" t="inlineStr">
        <is>
          <t>item: funding; stated: actively engaging capital markets, regular extensive cash forecasting, diversifying funding sources, disciplined investment decisions; year: 2025</t>
        </is>
      </c>
      <c r="I1643" s="2" t="inlineStr">
        <is>
          <t>S3</t>
        </is>
      </c>
      <c r="J1643" s="2" t="n">
        <v>81</v>
      </c>
      <c r="K1643" s="3" t="inlineStr">
        <is>
          <t>actively engaging capital markets, regularly conducting extensive cash forecasting, diversifying funding sources, and maintaining disciplined investment decisions</t>
        </is>
      </c>
      <c r="L1643" s="2" t="inlineStr">
        <is>
          <t>pend</t>
        </is>
      </c>
      <c r="M1643" s="2" t="n"/>
      <c r="N1643" s="2" t="n"/>
      <c r="O1643" s="3" t="inlineStr">
        <is>
          <t>https://vanillabonds.com/dossier-data/pdf/fastned/fastned-2025-annual-report.pdf#page=81</t>
        </is>
      </c>
    </row>
    <row r="1644">
      <c r="A1644" s="2" t="inlineStr">
        <is>
          <t>F1643</t>
        </is>
      </c>
      <c r="B1644" s="2" t="inlineStr">
        <is>
          <t>management</t>
        </is>
      </c>
      <c r="C1644" s="2" t="inlineStr">
        <is>
          <t>risk_policy</t>
        </is>
      </c>
      <c r="D1644" s="3" t="inlineStr">
        <is>
          <t>Financial policy, stated and revealed: item (leverage target, dividend, hedging, cash held, acquisition funding); stated; realised; year</t>
        </is>
      </c>
      <c r="E1644" s="2" t="n"/>
      <c r="F1644" s="2" t="n"/>
      <c r="G1644" s="2" t="n"/>
      <c r="H1644" s="3" t="inlineStr">
        <is>
          <t>item: cash held; stated: a minimum desired cash level is maintained throughout the forecast period and capex can be reduced in the first part of the forecast period; realised: cash €69.9m at end 2025; year: 2025</t>
        </is>
      </c>
      <c r="I1644" s="2" t="inlineStr">
        <is>
          <t>S3</t>
        </is>
      </c>
      <c r="J1644" s="2" t="n">
        <v>122</v>
      </c>
      <c r="K1644" s="3" t="inlineStr">
        <is>
          <t>In the first part of the forecast period, Fastned has the ability to reduce capital expenditure if necessary.</t>
        </is>
      </c>
      <c r="L1644" s="2" t="inlineStr">
        <is>
          <t>pend</t>
        </is>
      </c>
      <c r="M1644" s="2" t="n"/>
      <c r="N1644" s="2" t="n"/>
      <c r="O1644" s="3" t="inlineStr">
        <is>
          <t>https://vanillabonds.com/dossier-data/pdf/fastned/fastned-2025-annual-report.pdf#page=122</t>
        </is>
      </c>
    </row>
    <row r="1645">
      <c r="A1645" s="2" t="inlineStr">
        <is>
          <t>F1644</t>
        </is>
      </c>
      <c r="B1645" s="2" t="inlineStr">
        <is>
          <t>management</t>
        </is>
      </c>
      <c r="C1645" s="2" t="inlineStr">
        <is>
          <t>risk_policy</t>
        </is>
      </c>
      <c r="D1645" s="3" t="inlineStr">
        <is>
          <t>Financial policy, stated and revealed: item (leverage target, dividend, hedging, cash held, acquisition funding); stated; realised; year</t>
        </is>
      </c>
      <c r="E1645" s="2" t="n"/>
      <c r="F1645" s="2" t="n">
        <v>3.1</v>
      </c>
      <c r="G1645" s="2" t="n"/>
      <c r="H1645" s="3" t="inlineStr">
        <is>
          <t>item: leverage target; stated: maintain Net debt/Equity (gearing) below 7.5 so Fastned is not an 'Undertaking in difficulty' under EU rules; realised: 3.1 at end 2025 (2024: 1.2); year: 2025</t>
        </is>
      </c>
      <c r="I1645" s="2" t="inlineStr">
        <is>
          <t>S3</t>
        </is>
      </c>
      <c r="J1645" s="2" t="n">
        <v>146</v>
      </c>
      <c r="K1645" s="3" t="inlineStr">
        <is>
          <t>was to maintain a gearing ratio below 7.5 for Fastned to not be considered</t>
        </is>
      </c>
      <c r="L1645" s="2" t="inlineStr">
        <is>
          <t>pend</t>
        </is>
      </c>
      <c r="M1645" s="2" t="n"/>
      <c r="N1645" s="2" t="n"/>
      <c r="O1645" s="3" t="inlineStr">
        <is>
          <t>https://vanillabonds.com/dossier-data/pdf/fastned/fastned-2025-annual-report.pdf#page=146</t>
        </is>
      </c>
    </row>
    <row r="1646">
      <c r="A1646" s="2" t="inlineStr">
        <is>
          <t>F1645</t>
        </is>
      </c>
      <c r="B1646" s="2" t="inlineStr">
        <is>
          <t>management</t>
        </is>
      </c>
      <c r="C1646" s="2" t="inlineStr">
        <is>
          <t>risk_policy</t>
        </is>
      </c>
      <c r="D1646" s="3" t="inlineStr">
        <is>
          <t>Financial policy, stated and revealed: item (leverage target, dividend, hedging, cash held, acquisition funding); stated; realised; year</t>
        </is>
      </c>
      <c r="E1646" s="2" t="n"/>
      <c r="F1646" s="2" t="n"/>
      <c r="G1646" s="2" t="n"/>
      <c r="H1646" s="3" t="inlineStr">
        <is>
          <t>item: dividend; stated: no dividends paid since incorporation and none anticipated in the foreseeable future, all earnings retained for growth; realised: none; year: 2025</t>
        </is>
      </c>
      <c r="I1646" s="2" t="inlineStr">
        <is>
          <t>S3</t>
        </is>
      </c>
      <c r="J1646" s="2" t="n">
        <v>146</v>
      </c>
      <c r="K1646" s="3" t="inlineStr">
        <is>
          <t>Fastned B.V. has not paid any dividends since its incorporation.</t>
        </is>
      </c>
      <c r="L1646" s="2" t="inlineStr">
        <is>
          <t>pend</t>
        </is>
      </c>
      <c r="M1646" s="2" t="n"/>
      <c r="N1646" s="2" t="n"/>
      <c r="O1646" s="3" t="inlineStr">
        <is>
          <t>https://vanillabonds.com/dossier-data/pdf/fastned/fastned-2025-annual-report.pdf#page=146</t>
        </is>
      </c>
    </row>
    <row r="1647">
      <c r="A1647" s="2" t="inlineStr">
        <is>
          <t>F1646</t>
        </is>
      </c>
      <c r="B1647" s="2" t="inlineStr">
        <is>
          <t>management</t>
        </is>
      </c>
      <c r="C1647" s="2" t="inlineStr">
        <is>
          <t>risk_policy</t>
        </is>
      </c>
      <c r="D1647" s="3" t="inlineStr">
        <is>
          <t>Financial policy, stated and revealed: item (leverage target, dividend, hedging, cash held, acquisition funding); stated; realised; year</t>
        </is>
      </c>
      <c r="E1647" s="2" t="n"/>
      <c r="F1647" s="2" t="n"/>
      <c r="G1647" s="2" t="n"/>
      <c r="H1647" s="3" t="inlineStr">
        <is>
          <t>item: acquisition funding / capex funding; stated: Fastned only invests in new stations when financing is in place; realised: funded by equity and new bonds; year: 2025</t>
        </is>
      </c>
      <c r="I1647" s="2" t="inlineStr">
        <is>
          <t>S3</t>
        </is>
      </c>
      <c r="J1647" s="2" t="n">
        <v>146</v>
      </c>
      <c r="K1647" s="3" t="inlineStr">
        <is>
          <t>Fastned only invests in new stations when financing is in place for such an investment.</t>
        </is>
      </c>
      <c r="L1647" s="2" t="inlineStr">
        <is>
          <t>pend</t>
        </is>
      </c>
      <c r="M1647" s="2" t="n"/>
      <c r="N1647" s="2" t="n"/>
      <c r="O1647" s="3" t="inlineStr">
        <is>
          <t>https://vanillabonds.com/dossier-data/pdf/fastned/fastned-2025-annual-report.pdf#page=146</t>
        </is>
      </c>
    </row>
    <row r="1648">
      <c r="A1648" s="2" t="inlineStr">
        <is>
          <t>F1647</t>
        </is>
      </c>
      <c r="B1648" s="2" t="inlineStr">
        <is>
          <t>management</t>
        </is>
      </c>
      <c r="C1648" s="2" t="inlineStr">
        <is>
          <t>risk_policy</t>
        </is>
      </c>
      <c r="D1648" s="3" t="inlineStr">
        <is>
          <t>Financial policy, stated and revealed: item (leverage target, dividend, hedging, cash held, acquisition funding); stated; realised; year</t>
        </is>
      </c>
      <c r="E1648" s="2" t="n"/>
      <c r="F1648" s="2" t="n"/>
      <c r="G1648" s="2" t="n"/>
      <c r="H1648" s="3" t="inlineStr">
        <is>
          <t>item: hedging; stated: no trading in derivatives, no further interest-rate hedging required (Management Board decision), surplus cash in short-term deposits; realised: all debt fixed-rate, electricity price managed with PPAs, forward and fixed-price contracts; year: 2025</t>
        </is>
      </c>
      <c r="I1648" s="2" t="inlineStr">
        <is>
          <t>S3</t>
        </is>
      </c>
      <c r="J1648" s="2" t="n">
        <v>177</v>
      </c>
      <c r="K1648" s="3" t="inlineStr">
        <is>
          <t>The Management Board has decided that no further hedging is required for interest rate risk.</t>
        </is>
      </c>
      <c r="L1648" s="2" t="inlineStr">
        <is>
          <t>pend</t>
        </is>
      </c>
      <c r="M1648" s="2" t="n"/>
      <c r="N1648" s="2" t="n"/>
      <c r="O1648" s="3" t="inlineStr">
        <is>
          <t>https://vanillabonds.com/dossier-data/pdf/fastned/fastned-2025-annual-report.pdf#page=177</t>
        </is>
      </c>
    </row>
    <row r="1649">
      <c r="A1649" s="2" t="inlineStr">
        <is>
          <t>F1648</t>
        </is>
      </c>
      <c r="B1649" s="2" t="inlineStr">
        <is>
          <t>management</t>
        </is>
      </c>
      <c r="C1649" s="2" t="inlineStr">
        <is>
          <t>risk_policy</t>
        </is>
      </c>
      <c r="D1649" s="3" t="inlineStr">
        <is>
          <t>Financial policy, stated and revealed: item (leverage target, dividend, hedging, cash held, acquisition funding); stated; realised; year</t>
        </is>
      </c>
      <c r="E1649" s="2" t="n"/>
      <c r="F1649" s="2" t="n"/>
      <c r="G1649" s="2" t="n"/>
      <c r="H1649" s="3" t="inlineStr">
        <is>
          <t>item: liquidity / funding; stated: continuity of funding during scale-up by regularly issuing new equity and entering long-term debt, building pace and expansion costs adjustable to liquidity; realised: three bond issues in 2025, €100m TICO facility January 2026; year: 2025</t>
        </is>
      </c>
      <c r="I1649" s="2" t="inlineStr">
        <is>
          <t>S3</t>
        </is>
      </c>
      <c r="J1649" s="2" t="n">
        <v>179</v>
      </c>
      <c r="K1649" s="3" t="inlineStr">
        <is>
          <t>The Group manages the liquidity risk by regularly issuing new equity and through entering long-term debt agreements to ensure sufficient liquidity and to repay debts as they fall due.</t>
        </is>
      </c>
      <c r="L1649" s="2" t="inlineStr">
        <is>
          <t>pend</t>
        </is>
      </c>
      <c r="M1649" s="2" t="n"/>
      <c r="N1649" s="2" t="n"/>
      <c r="O1649" s="3" t="inlineStr">
        <is>
          <t>https://vanillabonds.com/dossier-data/pdf/fastned/fastned-2025-annual-report.pdf#page=179</t>
        </is>
      </c>
    </row>
    <row r="1650">
      <c r="A1650" s="2" t="inlineStr">
        <is>
          <t>F1649</t>
        </is>
      </c>
      <c r="B1650" s="2" t="inlineStr">
        <is>
          <t>management</t>
        </is>
      </c>
      <c r="C1650" s="2" t="inlineStr">
        <is>
          <t>risk_policy</t>
        </is>
      </c>
      <c r="D1650" s="3" t="inlineStr">
        <is>
          <t>Financial policy, stated and revealed: item (leverage target, dividend, hedging, cash held, acquisition funding); stated; realised; year</t>
        </is>
      </c>
      <c r="E1650" s="2" t="n"/>
      <c r="F1650" s="2" t="n"/>
      <c r="G1650" s="2" t="n"/>
      <c r="H1650" s="3" t="inlineStr">
        <is>
          <t>item: hedging; stated: the majority of floating-rate exposure under the TICO Financing is hedged to achieve a substantially fixed all-in cost; year: 2026</t>
        </is>
      </c>
      <c r="I1650" s="2" t="inlineStr">
        <is>
          <t>S3</t>
        </is>
      </c>
      <c r="J1650" s="2" t="n">
        <v>195</v>
      </c>
      <c r="K1650" s="3" t="inlineStr">
        <is>
          <t>The majority of the floating-rate exposure is hedged to achieve a substantially fixed all-in cost.</t>
        </is>
      </c>
      <c r="L1650" s="2" t="inlineStr">
        <is>
          <t>pend</t>
        </is>
      </c>
      <c r="M1650" s="2" t="n"/>
      <c r="N1650" s="2" t="n"/>
      <c r="O1650" s="3" t="inlineStr">
        <is>
          <t>https://vanillabonds.com/dossier-data/pdf/fastned/fastned-2025-annual-report.pdf#page=195</t>
        </is>
      </c>
    </row>
    <row r="1651">
      <c r="A1651" s="2" t="inlineStr">
        <is>
          <t>F1650</t>
        </is>
      </c>
      <c r="B1651" s="2" t="inlineStr">
        <is>
          <t>management</t>
        </is>
      </c>
      <c r="C1651" s="2" t="inlineStr">
        <is>
          <t>risk_policy</t>
        </is>
      </c>
      <c r="D1651" s="3" t="inlineStr">
        <is>
          <t>Financial policy, stated and revealed: item (leverage target, dividend, hedging, cash held, acquisition funding); stated; realised; year</t>
        </is>
      </c>
      <c r="E1651" s="2" t="n"/>
      <c r="F1651" s="2" t="n"/>
      <c r="G1651" s="2" t="n"/>
      <c r="H1651" s="3" t="inlineStr">
        <is>
          <t>item: dividend; stated: Article 19 of the articles - result at the free disposal of the AGM, distributions only to the extent equity exceeds legal and statutory reserves, after approval of the directors, interim dividends allowed; realised: 2025 loss deducted from other reserves, no dividend; year: 2025</t>
        </is>
      </c>
      <c r="I1651" s="2" t="inlineStr">
        <is>
          <t>S3</t>
        </is>
      </c>
      <c r="J1651" s="2" t="n">
        <v>216</v>
      </c>
      <c r="K1651" s="3" t="inlineStr">
        <is>
          <t>The Group shall make dividend distributions to shareholders and other parties entitled to the distributable profit only to the extent that the shareholders' equity exceeds the legal and statutory</t>
        </is>
      </c>
      <c r="L1651" s="2" t="inlineStr">
        <is>
          <t>pend</t>
        </is>
      </c>
      <c r="M1651" s="2" t="n"/>
      <c r="N1651" s="2" t="n"/>
      <c r="O1651" s="3" t="inlineStr">
        <is>
          <t>https://vanillabonds.com/dossier-data/pdf/fastned/fastned-2025-annual-report.pdf#page=216</t>
        </is>
      </c>
    </row>
    <row r="1652">
      <c r="A1652" s="2" t="inlineStr">
        <is>
          <t>F1651</t>
        </is>
      </c>
      <c r="B1652" s="2" t="inlineStr">
        <is>
          <t>management</t>
        </is>
      </c>
      <c r="C1652" s="2" t="inlineStr">
        <is>
          <t>insurance</t>
        </is>
      </c>
      <c r="D1652" s="3" t="inlineStr">
        <is>
          <t>Insurance: cover (property, business interruption, key person, cyber, D&amp;O); insurer; sum; expiry</t>
        </is>
      </c>
      <c r="E1652" s="2" t="n"/>
      <c r="F1652" s="2" t="n"/>
      <c r="G1652" s="2" t="n"/>
      <c r="H1652" s="3" t="inlineStr">
        <is>
          <t>cover: physical security of stations, offices and warehouses (vandalism, theft) and contractual liabilities, cited as mitigated by 'insurance coverage'; insurer, sum and expiry not disclosed in these pages</t>
        </is>
      </c>
      <c r="I1652" s="2" t="inlineStr">
        <is>
          <t>S3</t>
        </is>
      </c>
      <c r="J1652" s="2" t="n">
        <v>84</v>
      </c>
      <c r="K1652" s="3" t="inlineStr">
        <is>
          <t>We mitigate these risks through design choices, surveillance and alarm systems where appropriate, cooperation with landlords and authorities, and insurance coverage.</t>
        </is>
      </c>
      <c r="L1652" s="2" t="inlineStr">
        <is>
          <t>pend</t>
        </is>
      </c>
      <c r="M1652" s="2" t="n"/>
      <c r="N1652" s="2" t="n"/>
      <c r="O1652" s="3" t="inlineStr">
        <is>
          <t>https://vanillabonds.com/dossier-data/pdf/fastned/fastned-2025-annual-report.pdf#page=84</t>
        </is>
      </c>
    </row>
    <row r="1653">
      <c r="A1653" s="2" t="inlineStr">
        <is>
          <t>F1652</t>
        </is>
      </c>
      <c r="B1653" s="2" t="inlineStr">
        <is>
          <t>management</t>
        </is>
      </c>
      <c r="C1653" s="2" t="inlineStr">
        <is>
          <t>team_turnover</t>
        </is>
      </c>
      <c r="D1653" s="3" t="inlineStr">
        <is>
          <t>Top-team change: role; person; joined; left; reason as stated</t>
        </is>
      </c>
      <c r="E1653" s="2" t="n"/>
      <c r="F1653" s="2" t="n"/>
      <c r="G1653" s="2" t="n"/>
      <c r="H1653" s="3" t="inlineStr">
        <is>
          <t>role: Group Chief Operating Officer; person: Francoise Poggi; joined: 2024-11-29</t>
        </is>
      </c>
      <c r="I1653" s="2" t="inlineStr">
        <is>
          <t>S3</t>
        </is>
      </c>
      <c r="J1653" s="2" t="n">
        <v>96</v>
      </c>
      <c r="K1653" s="3" t="inlineStr">
        <is>
          <t>Françoise Poggi was appointed as Group Chief Operating Officer on 29 November 2024.</t>
        </is>
      </c>
      <c r="L1653" s="2" t="inlineStr">
        <is>
          <t>pend</t>
        </is>
      </c>
      <c r="M1653" s="2" t="n"/>
      <c r="N1653" s="2" t="n"/>
      <c r="O1653" s="3" t="inlineStr">
        <is>
          <t>https://vanillabonds.com/dossier-data/pdf/fastned/fastned-2025-annual-report.pdf#page=96</t>
        </is>
      </c>
    </row>
    <row r="1654">
      <c r="A1654" s="2" t="inlineStr">
        <is>
          <t>F1653</t>
        </is>
      </c>
      <c r="B1654" s="2" t="inlineStr">
        <is>
          <t>management</t>
        </is>
      </c>
      <c r="C1654" s="2" t="inlineStr">
        <is>
          <t>team_turnover</t>
        </is>
      </c>
      <c r="D1654" s="3" t="inlineStr">
        <is>
          <t>Top-team change: role; person; joined; left; reason as stated</t>
        </is>
      </c>
      <c r="E1654" s="2" t="n"/>
      <c r="F1654" s="2" t="n"/>
      <c r="G1654" s="2" t="n"/>
      <c r="H1654" s="3" t="inlineStr">
        <is>
          <t>role: FAST Board member; person: Michiel Weghs; joined: 2023; left: 2025-10-08; reason as stated: stepped down</t>
        </is>
      </c>
      <c r="I1654" s="2" t="inlineStr">
        <is>
          <t>S3</t>
        </is>
      </c>
      <c r="J1654" s="2" t="n">
        <v>100</v>
      </c>
      <c r="K1654" s="3" t="inlineStr">
        <is>
          <t>Michiel Weghs (who stepped down per 8 October 2025)</t>
        </is>
      </c>
      <c r="L1654" s="2" t="inlineStr">
        <is>
          <t>pend</t>
        </is>
      </c>
      <c r="M1654" s="2" t="n"/>
      <c r="N1654" s="2" t="n"/>
      <c r="O1654" s="3" t="inlineStr">
        <is>
          <t>https://vanillabonds.com/dossier-data/pdf/fastned/fastned-2025-annual-report.pdf#page=100</t>
        </is>
      </c>
    </row>
    <row r="1655">
      <c r="A1655" s="2" t="inlineStr">
        <is>
          <t>F1654</t>
        </is>
      </c>
      <c r="B1655" s="2" t="inlineStr">
        <is>
          <t>management</t>
        </is>
      </c>
      <c r="C1655" s="2" t="inlineStr">
        <is>
          <t>team_turnover</t>
        </is>
      </c>
      <c r="D1655" s="3" t="inlineStr">
        <is>
          <t>Top-team change: role; person; joined; left; reason as stated</t>
        </is>
      </c>
      <c r="E1655" s="2" t="n"/>
      <c r="F1655" s="2" t="n"/>
      <c r="G1655" s="2" t="n"/>
      <c r="H1655" s="3" t="inlineStr">
        <is>
          <t>role: Chief Operating Officer; person: Françoise Poggi; joined: 2024-11-29; reason as stated: appointed Group Chief Operating Officer</t>
        </is>
      </c>
      <c r="I1655" s="2" t="inlineStr">
        <is>
          <t>S3</t>
        </is>
      </c>
      <c r="J1655" s="2" t="n">
        <v>192</v>
      </c>
      <c r="K1655" s="3" t="inlineStr">
        <is>
          <t>Françoise Poggi was appointed as Group Chief Operating Officer on 29 November 2024.</t>
        </is>
      </c>
      <c r="L1655" s="2" t="inlineStr">
        <is>
          <t>pend</t>
        </is>
      </c>
      <c r="M1655" s="2" t="n"/>
      <c r="N1655" s="2" t="n"/>
      <c r="O1655" s="3" t="inlineStr">
        <is>
          <t>https://vanillabonds.com/dossier-data/pdf/fastned/fastned-2025-annual-report.pdf#page=192</t>
        </is>
      </c>
    </row>
    <row r="1656">
      <c r="A1656" s="2" t="inlineStr">
        <is>
          <t>F1655</t>
        </is>
      </c>
      <c r="B1656" s="2" t="inlineStr">
        <is>
          <t>management</t>
        </is>
      </c>
      <c r="C1656" s="2" t="inlineStr">
        <is>
          <t>team_turnover</t>
        </is>
      </c>
      <c r="D1656" s="3" t="inlineStr">
        <is>
          <t>Top-team change: role; person; joined; left; reason as stated</t>
        </is>
      </c>
      <c r="E1656" s="2" t="n"/>
      <c r="F1656" s="2" t="n"/>
      <c r="G1656" s="2" t="n"/>
      <c r="H1656" s="3" t="inlineStr">
        <is>
          <t>role: FAST Board member; person: Niels Korthals Altes; joined: 2025-06; reason as stated: appointed per June 2025</t>
        </is>
      </c>
      <c r="I1656" s="2" t="inlineStr">
        <is>
          <t>S3</t>
        </is>
      </c>
      <c r="J1656" s="2" t="n">
        <v>193</v>
      </c>
      <c r="K1656" s="3" t="inlineStr">
        <is>
          <t>Niels Korthals Altes was appointed as a member of the FAST Board per June 2025. Michiel Weghs resigned per October 2025.</t>
        </is>
      </c>
      <c r="L1656" s="2" t="inlineStr">
        <is>
          <t>pend</t>
        </is>
      </c>
      <c r="M1656" s="2" t="n"/>
      <c r="N1656" s="2" t="n"/>
      <c r="O1656" s="3" t="inlineStr">
        <is>
          <t>https://vanillabonds.com/dossier-data/pdf/fastned/fastned-2025-annual-report.pdf#page=193</t>
        </is>
      </c>
    </row>
    <row r="1657">
      <c r="A1657" s="2" t="inlineStr">
        <is>
          <t>F1656</t>
        </is>
      </c>
      <c r="B1657" s="2" t="inlineStr">
        <is>
          <t>management</t>
        </is>
      </c>
      <c r="C1657" s="2" t="inlineStr">
        <is>
          <t>remuneration</t>
        </is>
      </c>
      <c r="D1657" s="3" t="inlineStr">
        <is>
          <t>Remuneration as disclosed in the filed accounts: person or body; amount; year</t>
        </is>
      </c>
      <c r="E1657" s="2" t="n"/>
      <c r="F1657" s="2" t="n">
        <v>0.181</v>
      </c>
      <c r="G1657" s="2" t="n"/>
      <c r="H1657" s="3" t="inlineStr">
        <is>
          <t>person or body: Management Board average total compensation; amount: 0.181; year: 2025 (2024: 0.161); internal pay ratio 2.18 (2024: 1.95)</t>
        </is>
      </c>
      <c r="I1657" s="2" t="inlineStr">
        <is>
          <t>S3</t>
        </is>
      </c>
      <c r="J1657" s="2" t="n">
        <v>95</v>
      </c>
      <c r="K1657" s="3" t="inlineStr">
        <is>
          <t>Consequently, Fastned’s calculated pay ratio in 2025 was 2.18 (2024: 1.95).</t>
        </is>
      </c>
      <c r="L1657" s="2" t="inlineStr">
        <is>
          <t>pend</t>
        </is>
      </c>
      <c r="M1657" s="2" t="n"/>
      <c r="N1657" s="2" t="n"/>
      <c r="O1657" s="3" t="inlineStr">
        <is>
          <t>https://vanillabonds.com/dossier-data/pdf/fastned/fastned-2025-annual-report.pdf#page=95</t>
        </is>
      </c>
    </row>
    <row r="1658">
      <c r="A1658" s="2" t="inlineStr">
        <is>
          <t>F1657</t>
        </is>
      </c>
      <c r="B1658" s="2" t="inlineStr">
        <is>
          <t>management</t>
        </is>
      </c>
      <c r="C1658" s="2" t="inlineStr">
        <is>
          <t>remuneration</t>
        </is>
      </c>
      <c r="D1658" s="3" t="inlineStr">
        <is>
          <t>Remuneration as disclosed in the filed accounts: person or body; amount; year</t>
        </is>
      </c>
      <c r="E1658" s="2" t="n"/>
      <c r="F1658" s="2" t="n">
        <v>0.136</v>
      </c>
      <c r="G1658" s="2" t="n"/>
      <c r="H1658" s="3" t="inlineStr">
        <is>
          <t>person or body: Mr Langezaal (CEO); amount: 0.136; year: 2025 (fixed 0.120, other benefits 0.016, no pension, no options)</t>
        </is>
      </c>
      <c r="I1658" s="2" t="inlineStr">
        <is>
          <t>S3</t>
        </is>
      </c>
      <c r="J1658" s="2" t="n">
        <v>96</v>
      </c>
      <c r="K1658" s="2" t="inlineStr">
        <is>
          <t>Mr Langezaal 120 — 16 — 136</t>
        </is>
      </c>
      <c r="L1658" s="2" t="inlineStr">
        <is>
          <t>pend</t>
        </is>
      </c>
      <c r="M1658" s="2" t="n"/>
      <c r="N1658" s="2" t="n"/>
      <c r="O1658" s="3" t="inlineStr">
        <is>
          <t>https://vanillabonds.com/dossier-data/pdf/fastned/fastned-2025-annual-report.pdf#page=96</t>
        </is>
      </c>
    </row>
    <row r="1659">
      <c r="A1659" s="2" t="inlineStr">
        <is>
          <t>F1658</t>
        </is>
      </c>
      <c r="B1659" s="2" t="inlineStr">
        <is>
          <t>management</t>
        </is>
      </c>
      <c r="C1659" s="2" t="inlineStr">
        <is>
          <t>remuneration</t>
        </is>
      </c>
      <c r="D1659" s="3" t="inlineStr">
        <is>
          <t>Remuneration as disclosed in the filed accounts: person or body; amount; year</t>
        </is>
      </c>
      <c r="E1659" s="2" t="n"/>
      <c r="F1659" s="2" t="n">
        <v>0.129</v>
      </c>
      <c r="G1659" s="2" t="n"/>
      <c r="H1659" s="3" t="inlineStr">
        <is>
          <t>person or body: Mr Langezaal (CEO); amount: 0.129; year: 2024 (fixed 0.116, other benefits 0.013)</t>
        </is>
      </c>
      <c r="I1659" s="2" t="inlineStr">
        <is>
          <t>S3</t>
        </is>
      </c>
      <c r="J1659" s="2" t="n">
        <v>96</v>
      </c>
      <c r="K1659" s="2" t="inlineStr">
        <is>
          <t>Mr Langezaal 116 — 13 — 129</t>
        </is>
      </c>
      <c r="L1659" s="2" t="inlineStr">
        <is>
          <t>pend</t>
        </is>
      </c>
      <c r="M1659" s="2" t="n"/>
      <c r="N1659" s="2" t="n"/>
      <c r="O1659" s="3" t="inlineStr">
        <is>
          <t>https://vanillabonds.com/dossier-data/pdf/fastned/fastned-2025-annual-report.pdf#page=96</t>
        </is>
      </c>
    </row>
    <row r="1660">
      <c r="A1660" s="2" t="inlineStr">
        <is>
          <t>F1659</t>
        </is>
      </c>
      <c r="B1660" s="2" t="inlineStr">
        <is>
          <t>management</t>
        </is>
      </c>
      <c r="C1660" s="2" t="inlineStr">
        <is>
          <t>remuneration</t>
        </is>
      </c>
      <c r="D1660" s="3" t="inlineStr">
        <is>
          <t>Remuneration as disclosed in the filed accounts: person or body; amount; year</t>
        </is>
      </c>
      <c r="E1660" s="2" t="n"/>
      <c r="F1660" s="2" t="n">
        <v>0.201</v>
      </c>
      <c r="G1660" s="2" t="n"/>
      <c r="H1660" s="3" t="inlineStr">
        <is>
          <t>person or body: Mr Van Dijk (Management Board); amount: 0.201; year: 2025 (fixed 0.176, pension 0.016, other 0.009)</t>
        </is>
      </c>
      <c r="I1660" s="2" t="inlineStr">
        <is>
          <t>S3</t>
        </is>
      </c>
      <c r="J1660" s="2" t="n">
        <v>96</v>
      </c>
      <c r="K1660" s="2" t="inlineStr">
        <is>
          <t>Mr Van Dijk 176 16 9 — 201</t>
        </is>
      </c>
      <c r="L1660" s="2" t="inlineStr">
        <is>
          <t>pend</t>
        </is>
      </c>
      <c r="M1660" s="2" t="n"/>
      <c r="N1660" s="2" t="n"/>
      <c r="O1660" s="3" t="inlineStr">
        <is>
          <t>https://vanillabonds.com/dossier-data/pdf/fastned/fastned-2025-annual-report.pdf#page=96</t>
        </is>
      </c>
    </row>
    <row r="1661">
      <c r="A1661" s="2" t="inlineStr">
        <is>
          <t>F1660</t>
        </is>
      </c>
      <c r="B1661" s="2" t="inlineStr">
        <is>
          <t>management</t>
        </is>
      </c>
      <c r="C1661" s="2" t="inlineStr">
        <is>
          <t>remuneration</t>
        </is>
      </c>
      <c r="D1661" s="3" t="inlineStr">
        <is>
          <t>Remuneration as disclosed in the filed accounts: person or body; amount; year</t>
        </is>
      </c>
      <c r="E1661" s="2" t="n"/>
      <c r="F1661" s="2" t="n">
        <v>0.187</v>
      </c>
      <c r="G1661" s="2" t="n"/>
      <c r="H1661" s="3" t="inlineStr">
        <is>
          <t>person or body: Mr Van Dijk (Management Board); amount: 0.187; year: 2024 (fixed 0.164, pension 0.016, other 0.007)</t>
        </is>
      </c>
      <c r="I1661" s="2" t="inlineStr">
        <is>
          <t>S3</t>
        </is>
      </c>
      <c r="J1661" s="2" t="n">
        <v>96</v>
      </c>
      <c r="K1661" s="2" t="inlineStr">
        <is>
          <t>Mr Van Dijk 164 16 7 — 187</t>
        </is>
      </c>
      <c r="L1661" s="2" t="inlineStr">
        <is>
          <t>pend</t>
        </is>
      </c>
      <c r="M1661" s="2" t="n"/>
      <c r="N1661" s="2" t="n"/>
      <c r="O1661" s="3" t="inlineStr">
        <is>
          <t>https://vanillabonds.com/dossier-data/pdf/fastned/fastned-2025-annual-report.pdf#page=96</t>
        </is>
      </c>
    </row>
    <row r="1662">
      <c r="A1662" s="2" t="inlineStr">
        <is>
          <t>F1661</t>
        </is>
      </c>
      <c r="B1662" s="2" t="inlineStr">
        <is>
          <t>management</t>
        </is>
      </c>
      <c r="C1662" s="2" t="inlineStr">
        <is>
          <t>remuneration</t>
        </is>
      </c>
      <c r="D1662" s="3" t="inlineStr">
        <is>
          <t>Remuneration as disclosed in the filed accounts: person or body; amount; year</t>
        </is>
      </c>
      <c r="E1662" s="2" t="n"/>
      <c r="F1662" s="2" t="n">
        <v>0.205</v>
      </c>
      <c r="G1662" s="2" t="n"/>
      <c r="H1662" s="3" t="inlineStr">
        <is>
          <t>person or body: Ms Poggi (COO); amount: 0.205; year: 2025 (fixed 0.171, pension 0.020, other 0.014)</t>
        </is>
      </c>
      <c r="I1662" s="2" t="inlineStr">
        <is>
          <t>S3</t>
        </is>
      </c>
      <c r="J1662" s="2" t="n">
        <v>96</v>
      </c>
      <c r="K1662" s="2" t="inlineStr">
        <is>
          <t>Ms Poggi 171 20 14 — 205</t>
        </is>
      </c>
      <c r="L1662" s="2" t="inlineStr">
        <is>
          <t>pend</t>
        </is>
      </c>
      <c r="M1662" s="2" t="n"/>
      <c r="N1662" s="2" t="n"/>
      <c r="O1662" s="3" t="inlineStr">
        <is>
          <t>https://vanillabonds.com/dossier-data/pdf/fastned/fastned-2025-annual-report.pdf#page=96</t>
        </is>
      </c>
    </row>
    <row r="1663">
      <c r="A1663" s="2" t="inlineStr">
        <is>
          <t>F1662</t>
        </is>
      </c>
      <c r="B1663" s="2" t="inlineStr">
        <is>
          <t>management</t>
        </is>
      </c>
      <c r="C1663" s="2" t="inlineStr">
        <is>
          <t>remuneration</t>
        </is>
      </c>
      <c r="D1663" s="3" t="inlineStr">
        <is>
          <t>Remuneration as disclosed in the filed accounts: person or body; amount; year</t>
        </is>
      </c>
      <c r="E1663" s="2" t="n"/>
      <c r="F1663" s="2" t="n">
        <v>0.045</v>
      </c>
      <c r="G1663" s="2" t="n"/>
      <c r="H1663" s="3" t="inlineStr">
        <is>
          <t>person or body: Ms Poggi (COO, from 29 Nov 2024); amount: 0.045; year: 2024</t>
        </is>
      </c>
      <c r="I1663" s="2" t="inlineStr">
        <is>
          <t>S3</t>
        </is>
      </c>
      <c r="J1663" s="2" t="n">
        <v>96</v>
      </c>
      <c r="K1663" s="2" t="inlineStr">
        <is>
          <t>Ms Poggi 38 5 2 — 45</t>
        </is>
      </c>
      <c r="L1663" s="2" t="inlineStr">
        <is>
          <t>pend</t>
        </is>
      </c>
      <c r="M1663" s="2" t="n"/>
      <c r="N1663" s="2" t="n"/>
      <c r="O1663" s="3" t="inlineStr">
        <is>
          <t>https://vanillabonds.com/dossier-data/pdf/fastned/fastned-2025-annual-report.pdf#page=96</t>
        </is>
      </c>
    </row>
    <row r="1664">
      <c r="A1664" s="2" t="inlineStr">
        <is>
          <t>F1663</t>
        </is>
      </c>
      <c r="B1664" s="2" t="inlineStr">
        <is>
          <t>management</t>
        </is>
      </c>
      <c r="C1664" s="2" t="inlineStr">
        <is>
          <t>remuneration</t>
        </is>
      </c>
      <c r="D1664" s="3" t="inlineStr">
        <is>
          <t>Remuneration as disclosed in the filed accounts: person or body; amount; year</t>
        </is>
      </c>
      <c r="E1664" s="2" t="n"/>
      <c r="F1664" s="2" t="n"/>
      <c r="G1664" s="2" t="n"/>
      <c r="H1664" s="3" t="inlineStr">
        <is>
          <t>person or body: Victor van Dijk; options held 4,543 at 31 Dec 2025 (2024: 14,105); year: 2025</t>
        </is>
      </c>
      <c r="I1664" s="2" t="inlineStr">
        <is>
          <t>S3</t>
        </is>
      </c>
      <c r="J1664" s="2" t="n">
        <v>96</v>
      </c>
      <c r="K1664" s="3" t="inlineStr">
        <is>
          <t>Additionally, options granted to and held by Victor van Dijk amount to 4,543 options as at 31 December 2025 (2024: 14,105).</t>
        </is>
      </c>
      <c r="L1664" s="2" t="inlineStr">
        <is>
          <t>pend</t>
        </is>
      </c>
      <c r="M1664" s="2" t="n"/>
      <c r="N1664" s="2" t="n"/>
      <c r="O1664" s="3" t="inlineStr">
        <is>
          <t>https://vanillabonds.com/dossier-data/pdf/fastned/fastned-2025-annual-report.pdf#page=96</t>
        </is>
      </c>
    </row>
    <row r="1665">
      <c r="A1665" s="2" t="inlineStr">
        <is>
          <t>F1664</t>
        </is>
      </c>
      <c r="B1665" s="2" t="inlineStr">
        <is>
          <t>management</t>
        </is>
      </c>
      <c r="C1665" s="2" t="inlineStr">
        <is>
          <t>remuneration</t>
        </is>
      </c>
      <c r="D1665" s="3" t="inlineStr">
        <is>
          <t>Remuneration as disclosed in the filed accounts: person or body; amount; year</t>
        </is>
      </c>
      <c r="E1665" s="2" t="n"/>
      <c r="F1665" s="2" t="n">
        <v>0.077</v>
      </c>
      <c r="G1665" s="2" t="n"/>
      <c r="H1665" s="3" t="inlineStr">
        <is>
          <t>person or body: employees, average cash compensation; amount: 0.077; year: 2025 (2024: 0.077; 2023: 0.075)</t>
        </is>
      </c>
      <c r="I1665" s="2" t="inlineStr">
        <is>
          <t>S3</t>
        </is>
      </c>
      <c r="J1665" s="2" t="n">
        <v>97</v>
      </c>
      <c r="K1665" s="3" t="inlineStr">
        <is>
          <t>Average cash compensation employees (€ ‘000) 77 — % 77 3 % 75</t>
        </is>
      </c>
      <c r="L1665" s="2" t="inlineStr">
        <is>
          <t>pend</t>
        </is>
      </c>
      <c r="M1665" s="2" t="n"/>
      <c r="N1665" s="2" t="n"/>
      <c r="O1665" s="3" t="inlineStr">
        <is>
          <t>https://vanillabonds.com/dossier-data/pdf/fastned/fastned-2025-annual-report.pdf#page=97</t>
        </is>
      </c>
    </row>
    <row r="1666">
      <c r="A1666" s="2" t="inlineStr">
        <is>
          <t>F1665</t>
        </is>
      </c>
      <c r="B1666" s="2" t="inlineStr">
        <is>
          <t>management</t>
        </is>
      </c>
      <c r="C1666" s="2" t="inlineStr">
        <is>
          <t>remuneration</t>
        </is>
      </c>
      <c r="D1666" s="3" t="inlineStr">
        <is>
          <t>Remuneration as disclosed in the filed accounts: person or body; amount; year</t>
        </is>
      </c>
      <c r="E1666" s="2" t="n"/>
      <c r="F1666" s="2" t="n">
        <v>0.051</v>
      </c>
      <c r="G1666" s="2" t="n"/>
      <c r="H1666" s="3" t="inlineStr">
        <is>
          <t>person or body: Liselotte Kooi (Supervisory Board); amount: 0.051 (EUR 50,887); year: 2025 (2024: EUR 49,760)</t>
        </is>
      </c>
      <c r="I1666" s="2" t="inlineStr">
        <is>
          <t>S3</t>
        </is>
      </c>
      <c r="J1666" s="2" t="n">
        <v>98</v>
      </c>
      <c r="K1666" s="3" t="inlineStr">
        <is>
          <t>Liselotte Kooi: € 50,887 (2024: € 49,760);</t>
        </is>
      </c>
      <c r="L1666" s="2" t="inlineStr">
        <is>
          <t>pend</t>
        </is>
      </c>
      <c r="M1666" s="2" t="n"/>
      <c r="N1666" s="2" t="n"/>
      <c r="O1666" s="3" t="inlineStr">
        <is>
          <t>https://vanillabonds.com/dossier-data/pdf/fastned/fastned-2025-annual-report.pdf#page=98</t>
        </is>
      </c>
    </row>
    <row r="1667">
      <c r="A1667" s="2" t="inlineStr">
        <is>
          <t>F1666</t>
        </is>
      </c>
      <c r="B1667" s="2" t="inlineStr">
        <is>
          <t>management</t>
        </is>
      </c>
      <c r="C1667" s="2" t="inlineStr">
        <is>
          <t>remuneration</t>
        </is>
      </c>
      <c r="D1667" s="3" t="inlineStr">
        <is>
          <t>Remuneration as disclosed in the filed accounts: person or body; amount; year</t>
        </is>
      </c>
      <c r="E1667" s="2" t="n"/>
      <c r="F1667" s="2" t="n">
        <v>0.04</v>
      </c>
      <c r="G1667" s="2" t="n"/>
      <c r="H1667" s="3" t="inlineStr">
        <is>
          <t>person or body: Bart Lubbers (Supervisory Board); amount: 0.040 (EUR 39,561); year: 2025 (2024: EUR 38,420)</t>
        </is>
      </c>
      <c r="I1667" s="2" t="inlineStr">
        <is>
          <t>S3</t>
        </is>
      </c>
      <c r="J1667" s="2" t="n">
        <v>98</v>
      </c>
      <c r="K1667" s="2" t="inlineStr">
        <is>
          <t>Bart Lubbers: € 39,561 (2024: € 38,420);</t>
        </is>
      </c>
      <c r="L1667" s="2" t="inlineStr">
        <is>
          <t>pend</t>
        </is>
      </c>
      <c r="M1667" s="2" t="n"/>
      <c r="N1667" s="2" t="n"/>
      <c r="O1667" s="3" t="inlineStr">
        <is>
          <t>https://vanillabonds.com/dossier-data/pdf/fastned/fastned-2025-annual-report.pdf#page=98</t>
        </is>
      </c>
    </row>
    <row r="1668">
      <c r="A1668" s="2" t="inlineStr">
        <is>
          <t>F1667</t>
        </is>
      </c>
      <c r="B1668" s="2" t="inlineStr">
        <is>
          <t>management</t>
        </is>
      </c>
      <c r="C1668" s="2" t="inlineStr">
        <is>
          <t>remuneration</t>
        </is>
      </c>
      <c r="D1668" s="3" t="inlineStr">
        <is>
          <t>Remuneration as disclosed in the filed accounts: person or body; amount; year</t>
        </is>
      </c>
      <c r="E1668" s="2" t="n"/>
      <c r="F1668" s="2" t="n">
        <v>0.04</v>
      </c>
      <c r="G1668" s="2" t="n"/>
      <c r="H1668" s="3" t="inlineStr">
        <is>
          <t>person or body: Nancy Kabalt (Supervisory Board); amount: 0.040 (EUR 39,561); year: 2025 (2024: EUR 38,420)</t>
        </is>
      </c>
      <c r="I1668" s="2" t="inlineStr">
        <is>
          <t>S3</t>
        </is>
      </c>
      <c r="J1668" s="2" t="n">
        <v>98</v>
      </c>
      <c r="K1668" s="2" t="inlineStr">
        <is>
          <t>Nancy Kabalt: € 39,561 (2024: € 38,420);</t>
        </is>
      </c>
      <c r="L1668" s="2" t="inlineStr">
        <is>
          <t>pend</t>
        </is>
      </c>
      <c r="M1668" s="2" t="n"/>
      <c r="N1668" s="2" t="n"/>
      <c r="O1668" s="3" t="inlineStr">
        <is>
          <t>https://vanillabonds.com/dossier-data/pdf/fastned/fastned-2025-annual-report.pdf#page=98</t>
        </is>
      </c>
    </row>
    <row r="1669">
      <c r="A1669" s="2" t="inlineStr">
        <is>
          <t>F1668</t>
        </is>
      </c>
      <c r="B1669" s="2" t="inlineStr">
        <is>
          <t>management</t>
        </is>
      </c>
      <c r="C1669" s="2" t="inlineStr">
        <is>
          <t>remuneration</t>
        </is>
      </c>
      <c r="D1669" s="3" t="inlineStr">
        <is>
          <t>Remuneration as disclosed in the filed accounts: person or body; amount; year</t>
        </is>
      </c>
      <c r="E1669" s="2" t="n"/>
      <c r="F1669" s="2" t="n">
        <v>0</v>
      </c>
      <c r="G1669" s="2" t="n"/>
      <c r="H1669" s="3" t="inlineStr">
        <is>
          <t>person or body: Jerome Janssen (Supervisory Board); amount: nil; year: 2025 (2024: nil); travel expenses only up to EUR 7,500</t>
        </is>
      </c>
      <c r="I1669" s="2" t="inlineStr">
        <is>
          <t>S3</t>
        </is>
      </c>
      <c r="J1669" s="2" t="n">
        <v>98</v>
      </c>
      <c r="K1669" s="2" t="inlineStr">
        <is>
          <t>Jérôme Janssen: nil (2024: nil).</t>
        </is>
      </c>
      <c r="L1669" s="2" t="inlineStr">
        <is>
          <t>pend</t>
        </is>
      </c>
      <c r="M1669" s="2" t="n"/>
      <c r="N1669" s="2" t="n"/>
      <c r="O1669" s="3" t="inlineStr">
        <is>
          <t>https://vanillabonds.com/dossier-data/pdf/fastned/fastned-2025-annual-report.pdf#page=98</t>
        </is>
      </c>
    </row>
    <row r="1670">
      <c r="A1670" s="2" t="inlineStr">
        <is>
          <t>F1669</t>
        </is>
      </c>
      <c r="B1670" s="2" t="inlineStr">
        <is>
          <t>management</t>
        </is>
      </c>
      <c r="C1670" s="2" t="inlineStr">
        <is>
          <t>remuneration</t>
        </is>
      </c>
      <c r="D1670" s="3" t="inlineStr">
        <is>
          <t>Remuneration as disclosed in the filed accounts: person or body; amount; year</t>
        </is>
      </c>
      <c r="E1670" s="2" t="n"/>
      <c r="F1670" s="2" t="n">
        <v>0.017</v>
      </c>
      <c r="G1670" s="2" t="n"/>
      <c r="H1670" s="3" t="inlineStr">
        <is>
          <t>person or body: Maaike Veen (FAST Board Chair); amount: 0.017 (EUR 17,446); year: 2025 (2024: EUR 16,950)</t>
        </is>
      </c>
      <c r="I1670" s="2" t="inlineStr">
        <is>
          <t>S3</t>
        </is>
      </c>
      <c r="J1670" s="2" t="n">
        <v>98</v>
      </c>
      <c r="K1670" s="2" t="inlineStr">
        <is>
          <t>Maaike Veen: € 17,446 (2024: € 16,950);</t>
        </is>
      </c>
      <c r="L1670" s="2" t="inlineStr">
        <is>
          <t>pend</t>
        </is>
      </c>
      <c r="M1670" s="2" t="n"/>
      <c r="N1670" s="2" t="n"/>
      <c r="O1670" s="3" t="inlineStr">
        <is>
          <t>https://vanillabonds.com/dossier-data/pdf/fastned/fastned-2025-annual-report.pdf#page=98</t>
        </is>
      </c>
    </row>
    <row r="1671">
      <c r="A1671" s="2" t="inlineStr">
        <is>
          <t>F1670</t>
        </is>
      </c>
      <c r="B1671" s="2" t="inlineStr">
        <is>
          <t>management</t>
        </is>
      </c>
      <c r="C1671" s="2" t="inlineStr">
        <is>
          <t>remuneration</t>
        </is>
      </c>
      <c r="D1671" s="3" t="inlineStr">
        <is>
          <t>Remuneration as disclosed in the filed accounts: person or body; amount; year</t>
        </is>
      </c>
      <c r="E1671" s="2" t="n"/>
      <c r="F1671" s="2" t="n">
        <v>0.012</v>
      </c>
      <c r="G1671" s="2" t="n"/>
      <c r="H1671" s="3" t="inlineStr">
        <is>
          <t>person or body: Henk Pals (FAST Board); amount: 0.012 (EUR 11,631); year: 2025 (2024: EUR 11,300)</t>
        </is>
      </c>
      <c r="I1671" s="2" t="inlineStr">
        <is>
          <t>S3</t>
        </is>
      </c>
      <c r="J1671" s="2" t="n">
        <v>98</v>
      </c>
      <c r="K1671" s="2" t="inlineStr">
        <is>
          <t>Henk Pals: € 11,631 (2024: €11,300);</t>
        </is>
      </c>
      <c r="L1671" s="2" t="inlineStr">
        <is>
          <t>pend</t>
        </is>
      </c>
      <c r="M1671" s="2" t="n"/>
      <c r="N1671" s="2" t="n"/>
      <c r="O1671" s="3" t="inlineStr">
        <is>
          <t>https://vanillabonds.com/dossier-data/pdf/fastned/fastned-2025-annual-report.pdf#page=98</t>
        </is>
      </c>
    </row>
    <row r="1672">
      <c r="A1672" s="2" t="inlineStr">
        <is>
          <t>F1671</t>
        </is>
      </c>
      <c r="B1672" s="2" t="inlineStr">
        <is>
          <t>management</t>
        </is>
      </c>
      <c r="C1672" s="2" t="inlineStr">
        <is>
          <t>remuneration</t>
        </is>
      </c>
      <c r="D1672" s="3" t="inlineStr">
        <is>
          <t>Remuneration as disclosed in the filed accounts: person or body; amount; year</t>
        </is>
      </c>
      <c r="E1672" s="2" t="n"/>
      <c r="F1672" s="2" t="n">
        <v>0.008999999999999999</v>
      </c>
      <c r="G1672" s="2" t="n"/>
      <c r="H1672" s="3" t="inlineStr">
        <is>
          <t>person or body: Michiel Weghs (FAST Board); amount: 0.009 (EUR 8,723); year: 2025 (2024: EUR 11,300)</t>
        </is>
      </c>
      <c r="I1672" s="2" t="inlineStr">
        <is>
          <t>S3</t>
        </is>
      </c>
      <c r="J1672" s="2" t="n">
        <v>98</v>
      </c>
      <c r="K1672" s="2" t="inlineStr">
        <is>
          <t>Michiel Weghs: € 8,723 (2024: €11,300)</t>
        </is>
      </c>
      <c r="L1672" s="2" t="inlineStr">
        <is>
          <t>pend</t>
        </is>
      </c>
      <c r="M1672" s="2" t="n"/>
      <c r="N1672" s="2" t="n"/>
      <c r="O1672" s="3" t="inlineStr">
        <is>
          <t>https://vanillabonds.com/dossier-data/pdf/fastned/fastned-2025-annual-report.pdf#page=98</t>
        </is>
      </c>
    </row>
    <row r="1673">
      <c r="A1673" s="2" t="inlineStr">
        <is>
          <t>F1672</t>
        </is>
      </c>
      <c r="B1673" s="2" t="inlineStr">
        <is>
          <t>management</t>
        </is>
      </c>
      <c r="C1673" s="2" t="inlineStr">
        <is>
          <t>remuneration</t>
        </is>
      </c>
      <c r="D1673" s="3" t="inlineStr">
        <is>
          <t>Remuneration as disclosed in the filed accounts: person or body; amount; year</t>
        </is>
      </c>
      <c r="E1673" s="2" t="n"/>
      <c r="F1673" s="2" t="n">
        <v>0.007</v>
      </c>
      <c r="G1673" s="2" t="n"/>
      <c r="H1673" s="3" t="inlineStr">
        <is>
          <t>person or body: Niels Korthals Altes (FAST Board); amount: 0.007 (EUR 6,785); year: 2025 (2024: nil)</t>
        </is>
      </c>
      <c r="I1673" s="2" t="inlineStr">
        <is>
          <t>S3</t>
        </is>
      </c>
      <c r="J1673" s="2" t="n">
        <v>98</v>
      </c>
      <c r="K1673" s="3" t="inlineStr">
        <is>
          <t>Niels Korthals Altes: € 6,785 (2024: nil) .</t>
        </is>
      </c>
      <c r="L1673" s="2" t="inlineStr">
        <is>
          <t>pend</t>
        </is>
      </c>
      <c r="M1673" s="2" t="n"/>
      <c r="N1673" s="2" t="n"/>
      <c r="O1673" s="3" t="inlineStr">
        <is>
          <t>https://vanillabonds.com/dossier-data/pdf/fastned/fastned-2025-annual-report.pdf#page=98</t>
        </is>
      </c>
    </row>
    <row r="1674">
      <c r="A1674" s="2" t="inlineStr">
        <is>
          <t>F1673</t>
        </is>
      </c>
      <c r="B1674" s="2" t="inlineStr">
        <is>
          <t>management</t>
        </is>
      </c>
      <c r="C1674" s="2" t="inlineStr">
        <is>
          <t>remuneration</t>
        </is>
      </c>
      <c r="D1674" s="3" t="inlineStr">
        <is>
          <t>Remuneration as disclosed in the filed accounts: person or body; amount; year</t>
        </is>
      </c>
      <c r="E1674" s="2" t="n"/>
      <c r="F1674" s="2" t="n"/>
      <c r="G1674" s="2" t="n"/>
      <c r="H1674" s="3" t="inlineStr">
        <is>
          <t>person or body: Supervisory Board fee policy; amount: Chair EUR 50,887, members EUR 39,561, no committee fees, no DRs or options; year: 2025</t>
        </is>
      </c>
      <c r="I1674" s="2" t="inlineStr">
        <is>
          <t>S3</t>
        </is>
      </c>
      <c r="J1674" s="2" t="n">
        <v>98</v>
      </c>
      <c r="K1674" s="2" t="inlineStr">
        <is>
          <t>Supervisory Board Chair: € 50,887;</t>
        </is>
      </c>
      <c r="L1674" s="2" t="inlineStr">
        <is>
          <t>pend</t>
        </is>
      </c>
      <c r="M1674" s="2" t="n"/>
      <c r="N1674" s="2" t="n"/>
      <c r="O1674" s="3" t="inlineStr">
        <is>
          <t>https://vanillabonds.com/dossier-data/pdf/fastned/fastned-2025-annual-report.pdf#page=98</t>
        </is>
      </c>
    </row>
    <row r="1675">
      <c r="A1675" s="2" t="inlineStr">
        <is>
          <t>F1674</t>
        </is>
      </c>
      <c r="B1675" s="2" t="inlineStr">
        <is>
          <t>management</t>
        </is>
      </c>
      <c r="C1675" s="2" t="inlineStr">
        <is>
          <t>remuneration</t>
        </is>
      </c>
      <c r="D1675" s="3" t="inlineStr">
        <is>
          <t>Remuneration as disclosed in the filed accounts: person or body; amount; year</t>
        </is>
      </c>
      <c r="E1675" s="2" t="n"/>
      <c r="F1675" s="2" t="n"/>
      <c r="G1675" s="2" t="n"/>
      <c r="H1675" s="3" t="inlineStr">
        <is>
          <t>person or body: Victor van Dijk (CFO), share options held; amount: 4,543 options at 31 Dec 2025 (2024: 14,105); year: 2025</t>
        </is>
      </c>
      <c r="I1675" s="2" t="inlineStr">
        <is>
          <t>S3</t>
        </is>
      </c>
      <c r="J1675" s="2" t="n">
        <v>188</v>
      </c>
      <c r="K1675" s="3" t="inlineStr">
        <is>
          <t>Included in the table above are options granted to Victor van Dijk, director of Fastned B.V., who held 4,543 options as at 31 December 2025 (2024: 14,105).</t>
        </is>
      </c>
      <c r="L1675" s="2" t="inlineStr">
        <is>
          <t>pend</t>
        </is>
      </c>
      <c r="M1675" s="2" t="n"/>
      <c r="N1675" s="2" t="n"/>
      <c r="O1675" s="3" t="inlineStr">
        <is>
          <t>https://vanillabonds.com/dossier-data/pdf/fastned/fastned-2025-annual-report.pdf#page=188</t>
        </is>
      </c>
    </row>
    <row r="1676">
      <c r="A1676" s="2" t="inlineStr">
        <is>
          <t>F1675</t>
        </is>
      </c>
      <c r="B1676" s="2" t="inlineStr">
        <is>
          <t>management</t>
        </is>
      </c>
      <c r="C1676" s="2" t="inlineStr">
        <is>
          <t>remuneration</t>
        </is>
      </c>
      <c r="D1676" s="3" t="inlineStr">
        <is>
          <t>Remuneration as disclosed in the filed accounts: person or body; amount; year</t>
        </is>
      </c>
      <c r="E1676" s="2" t="inlineStr">
        <is>
          <t>FY2024</t>
        </is>
      </c>
      <c r="F1676" s="2" t="n">
        <v>0.1</v>
      </c>
      <c r="G1676" s="2" t="n"/>
      <c r="H1676" s="3" t="inlineStr">
        <is>
          <t>person or body: M. Langezaal (CEO); amount: 0.129 (base 0.116, other 0.013); year: 2024</t>
        </is>
      </c>
      <c r="I1676" s="2" t="inlineStr">
        <is>
          <t>S3</t>
        </is>
      </c>
      <c r="J1676" s="2" t="n">
        <v>192</v>
      </c>
      <c r="K1676" s="2" t="inlineStr">
        <is>
          <t>M. Langezaal 116 13 — — 129</t>
        </is>
      </c>
      <c r="L1676" s="2" t="inlineStr">
        <is>
          <t>pend</t>
        </is>
      </c>
      <c r="M1676" s="2" t="n"/>
      <c r="N1676" s="2" t="n"/>
      <c r="O1676" s="3" t="inlineStr">
        <is>
          <t>https://vanillabonds.com/dossier-data/pdf/fastned/fastned-2025-annual-report.pdf#page=192</t>
        </is>
      </c>
    </row>
    <row r="1677">
      <c r="A1677" s="2" t="inlineStr">
        <is>
          <t>F1676</t>
        </is>
      </c>
      <c r="B1677" s="2" t="inlineStr">
        <is>
          <t>management</t>
        </is>
      </c>
      <c r="C1677" s="2" t="inlineStr">
        <is>
          <t>remuneration</t>
        </is>
      </c>
      <c r="D1677" s="3" t="inlineStr">
        <is>
          <t>Remuneration as disclosed in the filed accounts: person or body; amount; year</t>
        </is>
      </c>
      <c r="E1677" s="2" t="inlineStr">
        <is>
          <t>FY2024</t>
        </is>
      </c>
      <c r="F1677" s="2" t="n">
        <v>0.2</v>
      </c>
      <c r="G1677" s="2" t="n"/>
      <c r="H1677" s="3" t="inlineStr">
        <is>
          <t>person or body: V. van Dijk (CFO); amount: 0.187 (base 0.164, other 0.007, pension 0.016); year: 2024</t>
        </is>
      </c>
      <c r="I1677" s="2" t="inlineStr">
        <is>
          <t>S3</t>
        </is>
      </c>
      <c r="J1677" s="2" t="n">
        <v>192</v>
      </c>
      <c r="K1677" s="2" t="inlineStr">
        <is>
          <t>V. van Dijk 164 7 16 — 187</t>
        </is>
      </c>
      <c r="L1677" s="2" t="inlineStr">
        <is>
          <t>pend</t>
        </is>
      </c>
      <c r="M1677" s="2" t="n"/>
      <c r="N1677" s="2" t="n"/>
      <c r="O1677" s="3" t="inlineStr">
        <is>
          <t>https://vanillabonds.com/dossier-data/pdf/fastned/fastned-2025-annual-report.pdf#page=192</t>
        </is>
      </c>
    </row>
    <row r="1678">
      <c r="A1678" s="2" t="inlineStr">
        <is>
          <t>F1677</t>
        </is>
      </c>
      <c r="B1678" s="2" t="inlineStr">
        <is>
          <t>management</t>
        </is>
      </c>
      <c r="C1678" s="2" t="inlineStr">
        <is>
          <t>remuneration</t>
        </is>
      </c>
      <c r="D1678" s="3" t="inlineStr">
        <is>
          <t>Remuneration as disclosed in the filed accounts: person or body; amount; year</t>
        </is>
      </c>
      <c r="E1678" s="2" t="inlineStr">
        <is>
          <t>FY2024</t>
        </is>
      </c>
      <c r="F1678" s="2" t="n">
        <v>0</v>
      </c>
      <c r="G1678" s="2" t="n"/>
      <c r="H1678" s="3" t="inlineStr">
        <is>
          <t>person or body: F. Poggi (COO, from 29 November 2024); amount: 0.045; year: 2024 (Management Board total 0.361)</t>
        </is>
      </c>
      <c r="I1678" s="2" t="inlineStr">
        <is>
          <t>S3</t>
        </is>
      </c>
      <c r="J1678" s="2" t="n">
        <v>192</v>
      </c>
      <c r="K1678" s="2" t="inlineStr">
        <is>
          <t>F. Poggi* 38 2 5 — 45</t>
        </is>
      </c>
      <c r="L1678" s="2" t="inlineStr">
        <is>
          <t>pend</t>
        </is>
      </c>
      <c r="M1678" s="2" t="n"/>
      <c r="N1678" s="2" t="n"/>
      <c r="O1678" s="3" t="inlineStr">
        <is>
          <t>https://vanillabonds.com/dossier-data/pdf/fastned/fastned-2025-annual-report.pdf#page=192</t>
        </is>
      </c>
    </row>
    <row r="1679">
      <c r="A1679" s="2" t="inlineStr">
        <is>
          <t>F1678</t>
        </is>
      </c>
      <c r="B1679" s="2" t="inlineStr">
        <is>
          <t>management</t>
        </is>
      </c>
      <c r="C1679" s="2" t="inlineStr">
        <is>
          <t>remuneration</t>
        </is>
      </c>
      <c r="D1679" s="3" t="inlineStr">
        <is>
          <t>Remuneration as disclosed in the filed accounts: person or body; amount; year</t>
        </is>
      </c>
      <c r="E1679" s="2" t="inlineStr">
        <is>
          <t>FY2025</t>
        </is>
      </c>
      <c r="F1679" s="2" t="n">
        <v>0.1</v>
      </c>
      <c r="G1679" s="2" t="n"/>
      <c r="H1679" s="3" t="inlineStr">
        <is>
          <t>person or body: M. Langezaal (CEO); amount: 0.136 (base 0.120, other benefits 0.016, no pension, no options); year: 2025</t>
        </is>
      </c>
      <c r="I1679" s="2" t="inlineStr">
        <is>
          <t>S3</t>
        </is>
      </c>
      <c r="J1679" s="2" t="n">
        <v>192</v>
      </c>
      <c r="K1679" s="2" t="inlineStr">
        <is>
          <t>M. Langezaal 120 16 — — 136</t>
        </is>
      </c>
      <c r="L1679" s="2" t="inlineStr">
        <is>
          <t>pend</t>
        </is>
      </c>
      <c r="M1679" s="2" t="n"/>
      <c r="N1679" s="2" t="n"/>
      <c r="O1679" s="3" t="inlineStr">
        <is>
          <t>https://vanillabonds.com/dossier-data/pdf/fastned/fastned-2025-annual-report.pdf#page=192</t>
        </is>
      </c>
    </row>
    <row r="1680">
      <c r="A1680" s="2" t="inlineStr">
        <is>
          <t>F1679</t>
        </is>
      </c>
      <c r="B1680" s="2" t="inlineStr">
        <is>
          <t>management</t>
        </is>
      </c>
      <c r="C1680" s="2" t="inlineStr">
        <is>
          <t>remuneration</t>
        </is>
      </c>
      <c r="D1680" s="3" t="inlineStr">
        <is>
          <t>Remuneration as disclosed in the filed accounts: person or body; amount; year</t>
        </is>
      </c>
      <c r="E1680" s="2" t="inlineStr">
        <is>
          <t>FY2025</t>
        </is>
      </c>
      <c r="F1680" s="2" t="n">
        <v>0.2</v>
      </c>
      <c r="G1680" s="2" t="n"/>
      <c r="H1680" s="3" t="inlineStr">
        <is>
          <t>person or body: V. van Dijk (CFO); amount: 0.201 (base 0.175, other 0.009, pension 0.016, no options); year: 2025</t>
        </is>
      </c>
      <c r="I1680" s="2" t="inlineStr">
        <is>
          <t>S3</t>
        </is>
      </c>
      <c r="J1680" s="2" t="n">
        <v>192</v>
      </c>
      <c r="K1680" s="2" t="inlineStr">
        <is>
          <t>V. van Dijk 175 9 16 — 201</t>
        </is>
      </c>
      <c r="L1680" s="2" t="inlineStr">
        <is>
          <t>pend</t>
        </is>
      </c>
      <c r="M1680" s="2" t="n"/>
      <c r="N1680" s="2" t="n"/>
      <c r="O1680" s="3" t="inlineStr">
        <is>
          <t>https://vanillabonds.com/dossier-data/pdf/fastned/fastned-2025-annual-report.pdf#page=192</t>
        </is>
      </c>
    </row>
    <row r="1681">
      <c r="A1681" s="2" t="inlineStr">
        <is>
          <t>F1680</t>
        </is>
      </c>
      <c r="B1681" s="2" t="inlineStr">
        <is>
          <t>management</t>
        </is>
      </c>
      <c r="C1681" s="2" t="inlineStr">
        <is>
          <t>remuneration</t>
        </is>
      </c>
      <c r="D1681" s="3" t="inlineStr">
        <is>
          <t>Remuneration as disclosed in the filed accounts: person or body; amount; year</t>
        </is>
      </c>
      <c r="E1681" s="2" t="inlineStr">
        <is>
          <t>FY2025</t>
        </is>
      </c>
      <c r="F1681" s="2" t="n">
        <v>0.2</v>
      </c>
      <c r="G1681" s="2" t="n"/>
      <c r="H1681" s="3" t="inlineStr">
        <is>
          <t>person or body: F. Poggi (COO); amount: 0.205 (base 0.171, other 0.014, pension 0.020, no options); year: 2025</t>
        </is>
      </c>
      <c r="I1681" s="2" t="inlineStr">
        <is>
          <t>S3</t>
        </is>
      </c>
      <c r="J1681" s="2" t="n">
        <v>192</v>
      </c>
      <c r="K1681" s="2" t="inlineStr">
        <is>
          <t>F. Poggi 171 14 20 — 205</t>
        </is>
      </c>
      <c r="L1681" s="2" t="inlineStr">
        <is>
          <t>pend</t>
        </is>
      </c>
      <c r="M1681" s="2" t="n"/>
      <c r="N1681" s="2" t="n"/>
      <c r="O1681" s="3" t="inlineStr">
        <is>
          <t>https://vanillabonds.com/dossier-data/pdf/fastned/fastned-2025-annual-report.pdf#page=192</t>
        </is>
      </c>
    </row>
    <row r="1682">
      <c r="A1682" s="2" t="inlineStr">
        <is>
          <t>F1681</t>
        </is>
      </c>
      <c r="B1682" s="2" t="inlineStr">
        <is>
          <t>management</t>
        </is>
      </c>
      <c r="C1682" s="2" t="inlineStr">
        <is>
          <t>remuneration</t>
        </is>
      </c>
      <c r="D1682" s="3" t="inlineStr">
        <is>
          <t>Remuneration as disclosed in the filed accounts: person or body; amount; year</t>
        </is>
      </c>
      <c r="E1682" s="2" t="inlineStr">
        <is>
          <t>FY2025</t>
        </is>
      </c>
      <c r="F1682" s="2" t="n">
        <v>0.5</v>
      </c>
      <c r="G1682" s="2" t="n"/>
      <c r="H1682" s="3" t="inlineStr">
        <is>
          <t>person or body: Management Board total; amount: 0.542 (base 0.467, other 0.039, pension 0.036); year: 2025</t>
        </is>
      </c>
      <c r="I1682" s="2" t="inlineStr">
        <is>
          <t>S3</t>
        </is>
      </c>
      <c r="J1682" s="2" t="n">
        <v>192</v>
      </c>
      <c r="K1682" s="2" t="inlineStr">
        <is>
          <t>Total 467 39 36 — 542</t>
        </is>
      </c>
      <c r="L1682" s="2" t="inlineStr">
        <is>
          <t>pend</t>
        </is>
      </c>
      <c r="M1682" s="2" t="n"/>
      <c r="N1682" s="2" t="n"/>
      <c r="O1682" s="3" t="inlineStr">
        <is>
          <t>https://vanillabonds.com/dossier-data/pdf/fastned/fastned-2025-annual-report.pdf#page=192</t>
        </is>
      </c>
    </row>
    <row r="1683">
      <c r="A1683" s="2" t="inlineStr">
        <is>
          <t>F1682</t>
        </is>
      </c>
      <c r="B1683" s="2" t="inlineStr">
        <is>
          <t>management</t>
        </is>
      </c>
      <c r="C1683" s="2" t="inlineStr">
        <is>
          <t>remuneration</t>
        </is>
      </c>
      <c r="D1683" s="3" t="inlineStr">
        <is>
          <t>Remuneration as disclosed in the filed accounts: person or body; amount; year</t>
        </is>
      </c>
      <c r="E1683" s="2" t="inlineStr">
        <is>
          <t>FY2025</t>
        </is>
      </c>
      <c r="F1683" s="2" t="n">
        <v>0</v>
      </c>
      <c r="G1683" s="2" t="n"/>
      <c r="H1683" s="3" t="inlineStr">
        <is>
          <t>person or body: FAST Board (Maaike Veen 17k, Henk Pals 12k, Michiel Weghs 9k, Niels Korthals Altes 7k); amount: 0.045 (2024: 0.039); year: 2025</t>
        </is>
      </c>
      <c r="I1683" s="2" t="inlineStr">
        <is>
          <t>S3</t>
        </is>
      </c>
      <c r="J1683" s="2" t="n">
        <v>193</v>
      </c>
      <c r="K1683" s="2" t="inlineStr">
        <is>
          <t>Total 45 39</t>
        </is>
      </c>
      <c r="L1683" s="2" t="inlineStr">
        <is>
          <t>pend</t>
        </is>
      </c>
      <c r="M1683" s="2" t="n"/>
      <c r="N1683" s="2" t="n"/>
      <c r="O1683" s="3" t="inlineStr">
        <is>
          <t>https://vanillabonds.com/dossier-data/pdf/fastned/fastned-2025-annual-report.pdf#page=193</t>
        </is>
      </c>
    </row>
    <row r="1684">
      <c r="A1684" s="2" t="inlineStr">
        <is>
          <t>F1683</t>
        </is>
      </c>
      <c r="B1684" s="2" t="inlineStr">
        <is>
          <t>management</t>
        </is>
      </c>
      <c r="C1684" s="2" t="inlineStr">
        <is>
          <t>remuneration</t>
        </is>
      </c>
      <c r="D1684" s="3" t="inlineStr">
        <is>
          <t>Remuneration as disclosed in the filed accounts: person or body; amount; year</t>
        </is>
      </c>
      <c r="E1684" s="2" t="inlineStr">
        <is>
          <t>FY2025</t>
        </is>
      </c>
      <c r="F1684" s="2" t="n">
        <v>0.1</v>
      </c>
      <c r="G1684" s="2" t="n"/>
      <c r="H1684" s="3" t="inlineStr">
        <is>
          <t>person or body: Supervisory Board (Liselotte Kooi 51k, Bart Lubbers 40k, Nancy Kabalt 40k, Jérôme Janssen 8k travel); amount: 0.139 per table (text states 0.136; 2024: 0.134); year: 2025</t>
        </is>
      </c>
      <c r="I1684" s="2" t="inlineStr">
        <is>
          <t>S3</t>
        </is>
      </c>
      <c r="J1684" s="2" t="n">
        <v>194</v>
      </c>
      <c r="K1684" s="2" t="inlineStr">
        <is>
          <t>Total 131 8 139 126 8 134</t>
        </is>
      </c>
      <c r="L1684" s="2" t="inlineStr">
        <is>
          <t>pend</t>
        </is>
      </c>
      <c r="M1684" s="2" t="n"/>
      <c r="N1684" s="2" t="n"/>
      <c r="O1684" s="3" t="inlineStr">
        <is>
          <t>https://vanillabonds.com/dossier-data/pdf/fastned/fastned-2025-annual-report.pdf#page=194</t>
        </is>
      </c>
    </row>
    <row r="1685">
      <c r="A1685" s="2" t="inlineStr">
        <is>
          <t>F1684</t>
        </is>
      </c>
      <c r="B1685" s="2" t="inlineStr">
        <is>
          <t>management</t>
        </is>
      </c>
      <c r="C1685" s="2" t="inlineStr">
        <is>
          <t>remuneration</t>
        </is>
      </c>
      <c r="D1685" s="3" t="inlineStr">
        <is>
          <t>Remuneration as disclosed in the filed accounts: person or body; amount; year</t>
        </is>
      </c>
      <c r="E1685" s="2" t="inlineStr">
        <is>
          <t>FY2025</t>
        </is>
      </c>
      <c r="F1685" s="2" t="n"/>
      <c r="G1685" s="2" t="n"/>
      <c r="H1685" s="3" t="inlineStr">
        <is>
          <t>person or body: Jérôme Janssen (Supervisory Board); amount: no fee, travel expenses up to €7.5k; year: 2025</t>
        </is>
      </c>
      <c r="I1685" s="2" t="inlineStr">
        <is>
          <t>S3</t>
        </is>
      </c>
      <c r="J1685" s="2" t="n">
        <v>194</v>
      </c>
      <c r="K1685" s="3" t="inlineStr">
        <is>
          <t>He does not receive a remuneration. He is compensated for travel expenses with a maximum of €7.5 thousand.</t>
        </is>
      </c>
      <c r="L1685" s="2" t="inlineStr">
        <is>
          <t>pend</t>
        </is>
      </c>
      <c r="M1685" s="2" t="n"/>
      <c r="N1685" s="2" t="n"/>
      <c r="O1685" s="3" t="inlineStr">
        <is>
          <t>https://vanillabonds.com/dossier-data/pdf/fastned/fastned-2025-annual-report.pdf#page=194</t>
        </is>
      </c>
    </row>
    <row r="1686">
      <c r="A1686" s="2" t="inlineStr">
        <is>
          <t>F1685</t>
        </is>
      </c>
      <c r="B1686" s="2" t="inlineStr">
        <is>
          <t>structure</t>
        </is>
      </c>
      <c r="C1686" s="2" t="inlineStr">
        <is>
          <t>security_asset</t>
        </is>
      </c>
      <c r="D1686" s="3" t="inlineStr">
        <is>
          <t>Security asset: asset; book value; encumbrance (register); insured (yes / no); register</t>
        </is>
      </c>
      <c r="E1686" s="2" t="n"/>
      <c r="F1686" s="2" t="n"/>
      <c r="G1686" s="2" t="n"/>
      <c r="H1686" s="3" t="inlineStr">
        <is>
          <t>asset: shares in the TICO Group, material receivables and bank accounts; encumbrance (register): pledged under the TICO Financing (January 2026)</t>
        </is>
      </c>
      <c r="I1686" s="2" t="inlineStr">
        <is>
          <t>S3</t>
        </is>
      </c>
      <c r="J1686" s="2" t="n">
        <v>195</v>
      </c>
      <c r="K1686" s="3" t="inlineStr">
        <is>
          <t>The facilities are secured by a package of security, including pledges over the shares in the TICO Group, material receivables and bank accounts</t>
        </is>
      </c>
      <c r="L1686" s="2" t="inlineStr">
        <is>
          <t>pend</t>
        </is>
      </c>
      <c r="M1686" s="2" t="n"/>
      <c r="N1686" s="2" t="n"/>
      <c r="O1686" s="3" t="inlineStr">
        <is>
          <t>https://vanillabonds.com/dossier-data/pdf/fastned/fastned-2025-annual-report.pdf#page=195</t>
        </is>
      </c>
    </row>
    <row r="1687">
      <c r="A1687" s="2" t="inlineStr">
        <is>
          <t>F1686</t>
        </is>
      </c>
      <c r="B1687" s="2" t="inlineStr">
        <is>
          <t>structure</t>
        </is>
      </c>
      <c r="C1687" s="2" t="inlineStr">
        <is>
          <t>covenant_definition</t>
        </is>
      </c>
      <c r="D1687" s="3" t="inlineStr">
        <is>
          <t>Covenant: covenant; formula as defined; threshold; direction (max / min); test frequency</t>
        </is>
      </c>
      <c r="E1687" s="2" t="n"/>
      <c r="F1687" s="2" t="n"/>
      <c r="G1687" s="2" t="n"/>
      <c r="H1687" s="3" t="inlineStr">
        <is>
          <t>covenant: minimum tangible equity and minimum tangible equity to total assets (bank guarantee facility, Fastned B.V. company level); formula as defined: tangible equity; tangible equity divided by total assets; threshold: not disclosed; direction: min; test frequency: quarterly</t>
        </is>
      </c>
      <c r="I1687" s="2" t="inlineStr">
        <is>
          <t>S3</t>
        </is>
      </c>
      <c r="J1687" s="2" t="n">
        <v>184</v>
      </c>
      <c r="K1687" s="3" t="inlineStr">
        <is>
          <t>Compliance with these covenants is tested quarterly by management</t>
        </is>
      </c>
      <c r="L1687" s="2" t="inlineStr">
        <is>
          <t>pend</t>
        </is>
      </c>
      <c r="M1687" s="2" t="n"/>
      <c r="N1687" s="2" t="n"/>
      <c r="O1687" s="3" t="inlineStr">
        <is>
          <t>https://vanillabonds.com/dossier-data/pdf/fastned/fastned-2025-annual-report.pdf#page=184</t>
        </is>
      </c>
    </row>
    <row r="1688">
      <c r="A1688" s="2" t="inlineStr">
        <is>
          <t>F1687</t>
        </is>
      </c>
      <c r="B1688" s="2" t="inlineStr">
        <is>
          <t>compliance</t>
        </is>
      </c>
      <c r="C1688" s="2" t="inlineStr">
        <is>
          <t>litigation_item</t>
        </is>
      </c>
      <c r="D1688" s="3" t="inlineStr">
        <is>
          <t>Litigation, insolvency, fine or tax dispute: register; case; date; amount; status</t>
        </is>
      </c>
      <c r="E1688" s="2" t="n"/>
      <c r="F1688" s="2" t="n"/>
      <c r="G1688" s="2" t="n"/>
      <c r="H1688" s="3" t="inlineStr">
        <is>
          <t>case: convictions and fines for corruption and bribery (VSME B11); date: 2025; status: none, 'not applicable to Fastned, nothing to report'</t>
        </is>
      </c>
      <c r="I1688" s="2" t="inlineStr">
        <is>
          <t>S3</t>
        </is>
      </c>
      <c r="J1688" s="2" t="n">
        <v>239</v>
      </c>
      <c r="K1688" s="3" t="inlineStr">
        <is>
          <t>Convictions and fines for corruption and bribery 43: Not applicable to Fastned, nothing to report.</t>
        </is>
      </c>
      <c r="L1688" s="2" t="inlineStr">
        <is>
          <t>pend</t>
        </is>
      </c>
      <c r="M1688" s="2" t="n"/>
      <c r="N1688" s="2" t="n"/>
      <c r="O1688" s="3" t="inlineStr">
        <is>
          <t>https://vanillabonds.com/dossier-data/pdf/fastned/fastned-2025-annual-report.pdf#page=239</t>
        </is>
      </c>
    </row>
    <row r="1689">
      <c r="A1689" s="2" t="inlineStr">
        <is>
          <t>F1688</t>
        </is>
      </c>
      <c r="B1689" s="2" t="inlineStr">
        <is>
          <t>compliance</t>
        </is>
      </c>
      <c r="C1689" s="2" t="inlineStr">
        <is>
          <t>esg_fact</t>
        </is>
      </c>
      <c r="D1689" s="3" t="inlineStr">
        <is>
          <t>ESG fact: item (CSRD / VSME status, energy, emissions, taxonomy, permit, incident, labour); value; year; source</t>
        </is>
      </c>
      <c r="E1689" s="2" t="n"/>
      <c r="F1689" s="2" t="n">
        <v>24</v>
      </c>
      <c r="G1689" s="2" t="n"/>
      <c r="H1689" s="3" t="inlineStr">
        <is>
          <t>item: CO2e avoided per charging session; value: 24 kg CO2e on average; year: 2025; source: value creation model</t>
        </is>
      </c>
      <c r="I1689" s="2" t="inlineStr">
        <is>
          <t>S3</t>
        </is>
      </c>
      <c r="J1689" s="2" t="n">
        <v>11</v>
      </c>
      <c r="K1689" s="3" t="inlineStr">
        <is>
          <t>the average charging session avoids 24 kg CO2e</t>
        </is>
      </c>
      <c r="L1689" s="2" t="inlineStr">
        <is>
          <t>pend</t>
        </is>
      </c>
      <c r="M1689" s="2" t="n"/>
      <c r="N1689" s="2" t="n"/>
      <c r="O1689" s="3" t="inlineStr">
        <is>
          <t>https://vanillabonds.com/dossier-data/pdf/fastned/fastned-2025-annual-report.pdf#page=11</t>
        </is>
      </c>
    </row>
    <row r="1690">
      <c r="A1690" s="2" t="inlineStr">
        <is>
          <t>F1689</t>
        </is>
      </c>
      <c r="B1690" s="2" t="inlineStr">
        <is>
          <t>compliance</t>
        </is>
      </c>
      <c r="C1690" s="2" t="inlineStr">
        <is>
          <t>esg_fact</t>
        </is>
      </c>
      <c r="D1690" s="3" t="inlineStr">
        <is>
          <t>ESG fact: item (CSRD / VSME status, energy, emissions, taxonomy, permit, incident, labour); value; year; source</t>
        </is>
      </c>
      <c r="E1690" s="2" t="n"/>
      <c r="F1690" s="2" t="n">
        <v>54</v>
      </c>
      <c r="G1690" s="2" t="n"/>
      <c r="H1690" s="3" t="inlineStr">
        <is>
          <t>item: labour, diversity; value: 54 nationalities and at least 32 languages; year: 2025; source: team and culture section</t>
        </is>
      </c>
      <c r="I1690" s="2" t="inlineStr">
        <is>
          <t>S3</t>
        </is>
      </c>
      <c r="J1690" s="2" t="n">
        <v>37</v>
      </c>
      <c r="K1690" s="3" t="inlineStr">
        <is>
          <t>A total of 54 nationalities are represented at Fastned, and together we speak at least 32 different languages.</t>
        </is>
      </c>
      <c r="L1690" s="2" t="inlineStr">
        <is>
          <t>pend</t>
        </is>
      </c>
      <c r="M1690" s="2" t="n"/>
      <c r="N1690" s="2" t="n"/>
      <c r="O1690" s="3" t="inlineStr">
        <is>
          <t>https://vanillabonds.com/dossier-data/pdf/fastned/fastned-2025-annual-report.pdf#page=37</t>
        </is>
      </c>
    </row>
    <row r="1691">
      <c r="A1691" s="2" t="inlineStr">
        <is>
          <t>F1690</t>
        </is>
      </c>
      <c r="B1691" s="2" t="inlineStr">
        <is>
          <t>compliance</t>
        </is>
      </c>
      <c r="C1691" s="2" t="inlineStr">
        <is>
          <t>esg_fact</t>
        </is>
      </c>
      <c r="D1691" s="3" t="inlineStr">
        <is>
          <t>ESG fact: item (CSRD / VSME status, energy, emissions, taxonomy, permit, incident, labour); value; year; source</t>
        </is>
      </c>
      <c r="E1691" s="2" t="n"/>
      <c r="F1691" s="2" t="n">
        <v>43</v>
      </c>
      <c r="G1691" s="2" t="n"/>
      <c r="H1691" s="3" t="inlineStr">
        <is>
          <t>item: labour, gender; value: 43% of employees female (+1 point), 40% of management-level positions held by women; year: 2025; source: team and culture section</t>
        </is>
      </c>
      <c r="I1691" s="2" t="inlineStr">
        <is>
          <t>S3</t>
        </is>
      </c>
      <c r="J1691" s="2" t="n">
        <v>38</v>
      </c>
      <c r="K1691" s="3" t="inlineStr">
        <is>
          <t>In 2025, 43% of our employee base identified as female, a 1% point increase from 2024.</t>
        </is>
      </c>
      <c r="L1691" s="2" t="inlineStr">
        <is>
          <t>pend</t>
        </is>
      </c>
      <c r="M1691" s="2" t="n"/>
      <c r="N1691" s="2" t="n"/>
      <c r="O1691" s="3" t="inlineStr">
        <is>
          <t>https://vanillabonds.com/dossier-data/pdf/fastned/fastned-2025-annual-report.pdf#page=38</t>
        </is>
      </c>
    </row>
    <row r="1692">
      <c r="A1692" s="2" t="inlineStr">
        <is>
          <t>F1691</t>
        </is>
      </c>
      <c r="B1692" s="2" t="inlineStr">
        <is>
          <t>compliance</t>
        </is>
      </c>
      <c r="C1692" s="2" t="inlineStr">
        <is>
          <t>esg_fact</t>
        </is>
      </c>
      <c r="D1692" s="3" t="inlineStr">
        <is>
          <t>ESG fact: item (CSRD / VSME status, energy, emissions, taxonomy, permit, incident, labour); value; year; source</t>
        </is>
      </c>
      <c r="E1692" s="2" t="n"/>
      <c r="F1692" s="2" t="n">
        <v>12.9</v>
      </c>
      <c r="G1692" s="2" t="n"/>
      <c r="H1692" s="3" t="inlineStr">
        <is>
          <t>item: labour, staff turnover; value: 12.9% (2024: 13%); year: 2025; source: team and culture section</t>
        </is>
      </c>
      <c r="I1692" s="2" t="inlineStr">
        <is>
          <t>S3</t>
        </is>
      </c>
      <c r="J1692" s="2" t="n">
        <v>38</v>
      </c>
      <c r="K1692" s="3" t="inlineStr">
        <is>
          <t>This is backed up by our turnover of 12.9% in 2025, a steady rate in comparison to 13% in the previous year.</t>
        </is>
      </c>
      <c r="L1692" s="2" t="inlineStr">
        <is>
          <t>pend</t>
        </is>
      </c>
      <c r="M1692" s="2" t="n"/>
      <c r="N1692" s="2" t="n"/>
      <c r="O1692" s="3" t="inlineStr">
        <is>
          <t>https://vanillabonds.com/dossier-data/pdf/fastned/fastned-2025-annual-report.pdf#page=38</t>
        </is>
      </c>
    </row>
    <row r="1693">
      <c r="A1693" s="2" t="inlineStr">
        <is>
          <t>F1692</t>
        </is>
      </c>
      <c r="B1693" s="2" t="inlineStr">
        <is>
          <t>compliance</t>
        </is>
      </c>
      <c r="C1693" s="2" t="inlineStr">
        <is>
          <t>esg_fact</t>
        </is>
      </c>
      <c r="D1693" s="3" t="inlineStr">
        <is>
          <t>ESG fact: item (CSRD / VSME status, energy, emissions, taxonomy, permit, incident, labour); value; year; source</t>
        </is>
      </c>
      <c r="E1693" s="2" t="n"/>
      <c r="F1693" s="2" t="n">
        <v>43</v>
      </c>
      <c r="G1693" s="2" t="n"/>
      <c r="H1693" s="3" t="inlineStr">
        <is>
          <t>item: labour, employee NPS; value: 43 from 83% participation (2024: 54); year: 2025; source: engagement survey</t>
        </is>
      </c>
      <c r="I1693" s="2" t="inlineStr">
        <is>
          <t>S3</t>
        </is>
      </c>
      <c r="J1693" s="2" t="n">
        <v>38</v>
      </c>
      <c r="K1693" s="3" t="inlineStr">
        <is>
          <t>Net Promoter Score (eNPS) from 83% of employees of 43</t>
        </is>
      </c>
      <c r="L1693" s="2" t="inlineStr">
        <is>
          <t>pend</t>
        </is>
      </c>
      <c r="M1693" s="2" t="n"/>
      <c r="N1693" s="2" t="n"/>
      <c r="O1693" s="3" t="inlineStr">
        <is>
          <t>https://vanillabonds.com/dossier-data/pdf/fastned/fastned-2025-annual-report.pdf#page=38</t>
        </is>
      </c>
    </row>
    <row r="1694">
      <c r="A1694" s="2" t="inlineStr">
        <is>
          <t>F1693</t>
        </is>
      </c>
      <c r="B1694" s="2" t="inlineStr">
        <is>
          <t>compliance</t>
        </is>
      </c>
      <c r="C1694" s="2" t="inlineStr">
        <is>
          <t>esg_fact</t>
        </is>
      </c>
      <c r="D1694" s="3" t="inlineStr">
        <is>
          <t>ESG fact: item (CSRD / VSME status, energy, emissions, taxonomy, permit, incident, labour); value; year; source</t>
        </is>
      </c>
      <c r="E1694" s="2" t="n"/>
      <c r="F1694" s="2" t="n">
        <v>16</v>
      </c>
      <c r="G1694" s="2" t="n"/>
      <c r="H1694" s="3" t="inlineStr">
        <is>
          <t>item: labour, collective bargaining coverage; value: about 16% of employees (Spain, Italy, Austria, Swiss field engineers, Belgian joint committee); year: 2025; source: team and culture section</t>
        </is>
      </c>
      <c r="I1694" s="2" t="inlineStr">
        <is>
          <t>S3</t>
        </is>
      </c>
      <c r="J1694" s="2" t="n">
        <v>38</v>
      </c>
      <c r="K1694" s="3" t="inlineStr">
        <is>
          <t>About 16% of our employee base is covered by a collective bargaining agreement or joint committee</t>
        </is>
      </c>
      <c r="L1694" s="2" t="inlineStr">
        <is>
          <t>pend</t>
        </is>
      </c>
      <c r="M1694" s="2" t="n"/>
      <c r="N1694" s="2" t="n"/>
      <c r="O1694" s="3" t="inlineStr">
        <is>
          <t>https://vanillabonds.com/dossier-data/pdf/fastned/fastned-2025-annual-report.pdf#page=38</t>
        </is>
      </c>
    </row>
    <row r="1695">
      <c r="A1695" s="2" t="inlineStr">
        <is>
          <t>F1694</t>
        </is>
      </c>
      <c r="B1695" s="2" t="inlineStr">
        <is>
          <t>compliance</t>
        </is>
      </c>
      <c r="C1695" s="2" t="inlineStr">
        <is>
          <t>esg_fact</t>
        </is>
      </c>
      <c r="D1695" s="3" t="inlineStr">
        <is>
          <t>ESG fact: item (CSRD / VSME status, energy, emissions, taxonomy, permit, incident, labour); value; year; source</t>
        </is>
      </c>
      <c r="E1695" s="2" t="n"/>
      <c r="F1695" s="2" t="n">
        <v>379</v>
      </c>
      <c r="G1695" s="2" t="n"/>
      <c r="H1695" s="3" t="inlineStr">
        <is>
          <t>item: labour, contract types (limited assurance headcount KPI); value: 379 permanent and 35 temporary of 414, 378 full-time; year: 2025; source: team and culture section</t>
        </is>
      </c>
      <c r="I1695" s="2" t="inlineStr">
        <is>
          <t>S3</t>
        </is>
      </c>
      <c r="J1695" s="2" t="n">
        <v>39</v>
      </c>
      <c r="K1695" s="2" t="inlineStr">
        <is>
          <t>Permanent* 157 222 0 379</t>
        </is>
      </c>
      <c r="L1695" s="2" t="inlineStr">
        <is>
          <t>pend</t>
        </is>
      </c>
      <c r="M1695" s="2" t="n"/>
      <c r="N1695" s="2" t="n"/>
      <c r="O1695" s="3" t="inlineStr">
        <is>
          <t>https://vanillabonds.com/dossier-data/pdf/fastned/fastned-2025-annual-report.pdf#page=39</t>
        </is>
      </c>
    </row>
    <row r="1696">
      <c r="A1696" s="2" t="inlineStr">
        <is>
          <t>F1695</t>
        </is>
      </c>
      <c r="B1696" s="2" t="inlineStr">
        <is>
          <t>compliance</t>
        </is>
      </c>
      <c r="C1696" s="2" t="inlineStr">
        <is>
          <t>esg_fact</t>
        </is>
      </c>
      <c r="D1696" s="3" t="inlineStr">
        <is>
          <t>ESG fact: item (CSRD / VSME status, energy, emissions, taxonomy, permit, incident, labour); value; year; source</t>
        </is>
      </c>
      <c r="E1696" s="2" t="n"/>
      <c r="F1696" s="2" t="n">
        <v>47</v>
      </c>
      <c r="G1696" s="2" t="n"/>
      <c r="H1696" s="3" t="inlineStr">
        <is>
          <t>item: labour, leavers; value: 47 employees left in 2025 (18 female, 29 male) against 129 joiners; year: 2025; source: team and culture section</t>
        </is>
      </c>
      <c r="I1696" s="2" t="inlineStr">
        <is>
          <t>S3</t>
        </is>
      </c>
      <c r="J1696" s="2" t="n">
        <v>39</v>
      </c>
      <c r="K1696" s="2" t="inlineStr">
        <is>
          <t>Employees leaving in 2025 Total 47</t>
        </is>
      </c>
      <c r="L1696" s="2" t="inlineStr">
        <is>
          <t>pend</t>
        </is>
      </c>
      <c r="M1696" s="2" t="n"/>
      <c r="N1696" s="2" t="n"/>
      <c r="O1696" s="3" t="inlineStr">
        <is>
          <t>https://vanillabonds.com/dossier-data/pdf/fastned/fastned-2025-annual-report.pdf#page=39</t>
        </is>
      </c>
    </row>
    <row r="1697">
      <c r="A1697" s="2" t="inlineStr">
        <is>
          <t>F1696</t>
        </is>
      </c>
      <c r="B1697" s="2" t="inlineStr">
        <is>
          <t>compliance</t>
        </is>
      </c>
      <c r="C1697" s="2" t="inlineStr">
        <is>
          <t>esg_fact</t>
        </is>
      </c>
      <c r="D1697" s="3" t="inlineStr">
        <is>
          <t>ESG fact: item (CSRD / VSME status, energy, emissions, taxonomy, permit, incident, labour); value; year; source</t>
        </is>
      </c>
      <c r="E1697" s="2" t="n"/>
      <c r="F1697" s="2" t="n"/>
      <c r="G1697" s="2" t="n"/>
      <c r="H1697" s="3" t="inlineStr">
        <is>
          <t>item: labour, training; value: EUR 3,000 budget per employee per year, used by 216 colleagues for 12,928 hours; year: 2025; source: team and culture section</t>
        </is>
      </c>
      <c r="I1697" s="2" t="inlineStr">
        <is>
          <t>S3</t>
        </is>
      </c>
      <c r="J1697" s="2" t="n">
        <v>41</v>
      </c>
      <c r="K1697" s="3" t="inlineStr">
        <is>
          <t>offering a training budget of € 3,000 per employee per year</t>
        </is>
      </c>
      <c r="L1697" s="2" t="inlineStr">
        <is>
          <t>pend</t>
        </is>
      </c>
      <c r="M1697" s="2" t="n"/>
      <c r="N1697" s="2" t="n"/>
      <c r="O1697" s="3" t="inlineStr">
        <is>
          <t>https://vanillabonds.com/dossier-data/pdf/fastned/fastned-2025-annual-report.pdf#page=41</t>
        </is>
      </c>
    </row>
    <row r="1698">
      <c r="A1698" s="2" t="inlineStr">
        <is>
          <t>F1697</t>
        </is>
      </c>
      <c r="B1698" s="2" t="inlineStr">
        <is>
          <t>compliance</t>
        </is>
      </c>
      <c r="C1698" s="2" t="inlineStr">
        <is>
          <t>esg_fact</t>
        </is>
      </c>
      <c r="D1698" s="3" t="inlineStr">
        <is>
          <t>ESG fact: item (CSRD / VSME status, energy, emissions, taxonomy, permit, incident, labour); value; year; source</t>
        </is>
      </c>
      <c r="E1698" s="2" t="n"/>
      <c r="F1698" s="2" t="n"/>
      <c r="G1698" s="2" t="n"/>
      <c r="H1698" s="3" t="inlineStr">
        <is>
          <t>item: DEI ambition; value: about 50% women in senior-level management and the workforce, stated as by end-2030 on page 41 and by end-2026 on page 88; year: 2025; source: team and culture section</t>
        </is>
      </c>
      <c r="I1698" s="2" t="inlineStr">
        <is>
          <t>S3</t>
        </is>
      </c>
      <c r="J1698" s="2" t="n">
        <v>41</v>
      </c>
      <c r="K1698" s="3" t="inlineStr">
        <is>
          <t>ambition to reach 50% women in senior-level management roles and the broader workforce by the end of 2030.</t>
        </is>
      </c>
      <c r="L1698" s="2" t="inlineStr">
        <is>
          <t>pend</t>
        </is>
      </c>
      <c r="M1698" s="2" t="n"/>
      <c r="N1698" s="2" t="n"/>
      <c r="O1698" s="3" t="inlineStr">
        <is>
          <t>https://vanillabonds.com/dossier-data/pdf/fastned/fastned-2025-annual-report.pdf#page=41</t>
        </is>
      </c>
    </row>
    <row r="1699">
      <c r="A1699" s="2" t="inlineStr">
        <is>
          <t>F1698</t>
        </is>
      </c>
      <c r="B1699" s="2" t="inlineStr">
        <is>
          <t>compliance</t>
        </is>
      </c>
      <c r="C1699" s="2" t="inlineStr">
        <is>
          <t>esg_fact</t>
        </is>
      </c>
      <c r="D1699" s="3" t="inlineStr">
        <is>
          <t>ESG fact: item (CSRD / VSME status, energy, emissions, taxonomy, permit, incident, labour); value; year; source</t>
        </is>
      </c>
      <c r="E1699" s="2" t="n"/>
      <c r="F1699" s="2" t="n"/>
      <c r="G1699" s="2" t="n"/>
      <c r="H1699" s="3" t="inlineStr">
        <is>
          <t>item: CSRD status; value: out of CSRD scope after the Omnibus Package, sustainability section prepared under the VSME basic and comprehensive modules with GRI as a guide; year: 2025; source: sustainability section</t>
        </is>
      </c>
      <c r="I1699" s="2" t="inlineStr">
        <is>
          <t>S3</t>
        </is>
      </c>
      <c r="J1699" s="2" t="n">
        <v>50</v>
      </c>
      <c r="K1699" s="3" t="inlineStr">
        <is>
          <t>Fastned has prepared the sustainability section of this report following the basic and comprehensive modules of the Voluntary Sustainability Reporting Standard</t>
        </is>
      </c>
      <c r="L1699" s="2" t="inlineStr">
        <is>
          <t>pend</t>
        </is>
      </c>
      <c r="M1699" s="2" t="n"/>
      <c r="N1699" s="2" t="n"/>
      <c r="O1699" s="3" t="inlineStr">
        <is>
          <t>https://vanillabonds.com/dossier-data/pdf/fastned/fastned-2025-annual-report.pdf#page=50</t>
        </is>
      </c>
    </row>
    <row r="1700">
      <c r="A1700" s="2" t="inlineStr">
        <is>
          <t>F1699</t>
        </is>
      </c>
      <c r="B1700" s="2" t="inlineStr">
        <is>
          <t>compliance</t>
        </is>
      </c>
      <c r="C1700" s="2" t="inlineStr">
        <is>
          <t>esg_fact</t>
        </is>
      </c>
      <c r="D1700" s="3" t="inlineStr">
        <is>
          <t>ESG fact: item (CSRD / VSME status, energy, emissions, taxonomy, permit, incident, labour); value; year; source</t>
        </is>
      </c>
      <c r="E1700" s="2" t="n"/>
      <c r="F1700" s="2" t="n"/>
      <c r="G1700" s="2" t="n"/>
      <c r="H1700" s="3" t="inlineStr">
        <is>
          <t>item: ESG assurance; value: limited assurance by BDO Audit &amp; Assurance B.V. on five selected ESG KPIs for the second year; year: 2025; source: sustainability section</t>
        </is>
      </c>
      <c r="I1700" s="2" t="inlineStr">
        <is>
          <t>S3</t>
        </is>
      </c>
      <c r="J1700" s="2" t="n">
        <v>51</v>
      </c>
      <c r="K1700" s="3" t="inlineStr">
        <is>
          <t>In 2025, for the second year, Fastned obtained limited assurance for the selected ESG KPIs:</t>
        </is>
      </c>
      <c r="L1700" s="2" t="inlineStr">
        <is>
          <t>pend</t>
        </is>
      </c>
      <c r="M1700" s="2" t="n"/>
      <c r="N1700" s="2" t="n"/>
      <c r="O1700" s="3" t="inlineStr">
        <is>
          <t>https://vanillabonds.com/dossier-data/pdf/fastned/fastned-2025-annual-report.pdf#page=51</t>
        </is>
      </c>
    </row>
    <row r="1701">
      <c r="A1701" s="2" t="inlineStr">
        <is>
          <t>F1700</t>
        </is>
      </c>
      <c r="B1701" s="2" t="inlineStr">
        <is>
          <t>compliance</t>
        </is>
      </c>
      <c r="C1701" s="2" t="inlineStr">
        <is>
          <t>esg_fact</t>
        </is>
      </c>
      <c r="D1701" s="3" t="inlineStr">
        <is>
          <t>ESG fact: item (CSRD / VSME status, energy, emissions, taxonomy, permit, incident, labour); value; year; source</t>
        </is>
      </c>
      <c r="E1701" s="2" t="n"/>
      <c r="F1701" s="2" t="n">
        <v>183</v>
      </c>
      <c r="G1701" s="2" t="n"/>
      <c r="H1701" s="3" t="inlineStr">
        <is>
          <t>item: energy sold (kWh KPI, limited assurance); value: 182,953,032.63 kWh (183.0 GWh, +30%); year: 2025; source: sustainability section</t>
        </is>
      </c>
      <c r="I1701" s="2" t="inlineStr">
        <is>
          <t>S3</t>
        </is>
      </c>
      <c r="J1701" s="2" t="n">
        <v>51</v>
      </c>
      <c r="K1701" s="2" t="inlineStr">
        <is>
          <t>kWh sold for FY 2025 182,953,032.63</t>
        </is>
      </c>
      <c r="L1701" s="2" t="inlineStr">
        <is>
          <t>pend</t>
        </is>
      </c>
      <c r="M1701" s="2" t="n"/>
      <c r="N1701" s="2" t="n"/>
      <c r="O1701" s="3" t="inlineStr">
        <is>
          <t>https://vanillabonds.com/dossier-data/pdf/fastned/fastned-2025-annual-report.pdf#page=51</t>
        </is>
      </c>
    </row>
    <row r="1702">
      <c r="A1702" s="2" t="inlineStr">
        <is>
          <t>F1701</t>
        </is>
      </c>
      <c r="B1702" s="2" t="inlineStr">
        <is>
          <t>compliance</t>
        </is>
      </c>
      <c r="C1702" s="2" t="inlineStr">
        <is>
          <t>esg_fact</t>
        </is>
      </c>
      <c r="D1702" s="3" t="inlineStr">
        <is>
          <t>ESG fact: item (CSRD / VSME status, energy, emissions, taxonomy, permit, incident, labour); value; year; source</t>
        </is>
      </c>
      <c r="E1702" s="2" t="n"/>
      <c r="F1702" s="2" t="n">
        <v>100</v>
      </c>
      <c r="G1702" s="2" t="n"/>
      <c r="H1702" s="3" t="inlineStr">
        <is>
          <t>item: Guarantees of Origin; value: 100% of electricity use covered, bought country by country; year: 2025; source: sustainability section</t>
        </is>
      </c>
      <c r="I1702" s="2" t="inlineStr">
        <is>
          <t>S3</t>
        </is>
      </c>
      <c r="J1702" s="2" t="n">
        <v>51</v>
      </c>
      <c r="K1702" s="3" t="inlineStr">
        <is>
          <t>Guarantees of Origin purchased (% electricity use covered) 100</t>
        </is>
      </c>
      <c r="L1702" s="2" t="inlineStr">
        <is>
          <t>pend</t>
        </is>
      </c>
      <c r="M1702" s="2" t="n"/>
      <c r="N1702" s="2" t="n"/>
      <c r="O1702" s="3" t="inlineStr">
        <is>
          <t>https://vanillabonds.com/dossier-data/pdf/fastned/fastned-2025-annual-report.pdf#page=51</t>
        </is>
      </c>
    </row>
    <row r="1703">
      <c r="A1703" s="2" t="inlineStr">
        <is>
          <t>F1702</t>
        </is>
      </c>
      <c r="B1703" s="2" t="inlineStr">
        <is>
          <t>compliance</t>
        </is>
      </c>
      <c r="C1703" s="2" t="inlineStr">
        <is>
          <t>esg_fact</t>
        </is>
      </c>
      <c r="D1703" s="3" t="inlineStr">
        <is>
          <t>ESG fact: item (CSRD / VSME status, energy, emissions, taxonomy, permit, incident, labour); value; year; source</t>
        </is>
      </c>
      <c r="E1703" s="2" t="n"/>
      <c r="F1703" s="2" t="n"/>
      <c r="G1703" s="2" t="n"/>
      <c r="H1703" s="3" t="inlineStr">
        <is>
          <t>item: double materiality assessment; value: first DMA ran February 2024 to January 2025, process verified by the assurance provider, next DMA likely 2027; year: 2025; source: sustainability section</t>
        </is>
      </c>
      <c r="I1703" s="2" t="inlineStr">
        <is>
          <t>S3</t>
        </is>
      </c>
      <c r="J1703" s="2" t="n">
        <v>53</v>
      </c>
      <c r="K1703" s="3" t="inlineStr">
        <is>
          <t>The next DMA will likely be performed in 2027.</t>
        </is>
      </c>
      <c r="L1703" s="2" t="inlineStr">
        <is>
          <t>pend</t>
        </is>
      </c>
      <c r="M1703" s="2" t="n"/>
      <c r="N1703" s="2" t="n"/>
      <c r="O1703" s="3" t="inlineStr">
        <is>
          <t>https://vanillabonds.com/dossier-data/pdf/fastned/fastned-2025-annual-report.pdf#page=53</t>
        </is>
      </c>
    </row>
    <row r="1704">
      <c r="A1704" s="2" t="inlineStr">
        <is>
          <t>F1703</t>
        </is>
      </c>
      <c r="B1704" s="2" t="inlineStr">
        <is>
          <t>compliance</t>
        </is>
      </c>
      <c r="C1704" s="2" t="inlineStr">
        <is>
          <t>esg_fact</t>
        </is>
      </c>
      <c r="D1704" s="3" t="inlineStr">
        <is>
          <t>ESG fact: item (CSRD / VSME status, energy, emissions, taxonomy, permit, incident, labour); value; year; source</t>
        </is>
      </c>
      <c r="E1704" s="2" t="n"/>
      <c r="F1704" s="2" t="n"/>
      <c r="G1704" s="2" t="n"/>
      <c r="H1704" s="3" t="inlineStr">
        <is>
          <t>item: EU Taxonomy eligibility (voluntary, unaudited); value: turnover 100% eligible under Climate Change Mitigation; year: 2025; source: sustainability section</t>
        </is>
      </c>
      <c r="I1704" s="2" t="inlineStr">
        <is>
          <t>S3</t>
        </is>
      </c>
      <c r="J1704" s="2" t="n">
        <v>56</v>
      </c>
      <c r="K1704" s="3" t="inlineStr">
        <is>
          <t>We have concluded that Fastned is EU Taxonomy-eligible under the environmental objective Climate Change Mitigation</t>
        </is>
      </c>
      <c r="L1704" s="2" t="inlineStr">
        <is>
          <t>pend</t>
        </is>
      </c>
      <c r="M1704" s="2" t="n"/>
      <c r="N1704" s="2" t="n"/>
      <c r="O1704" s="3" t="inlineStr">
        <is>
          <t>https://vanillabonds.com/dossier-data/pdf/fastned/fastned-2025-annual-report.pdf#page=56</t>
        </is>
      </c>
    </row>
    <row r="1705">
      <c r="A1705" s="2" t="inlineStr">
        <is>
          <t>F1704</t>
        </is>
      </c>
      <c r="B1705" s="2" t="inlineStr">
        <is>
          <t>compliance</t>
        </is>
      </c>
      <c r="C1705" s="2" t="inlineStr">
        <is>
          <t>esg_fact</t>
        </is>
      </c>
      <c r="D1705" s="3" t="inlineStr">
        <is>
          <t>ESG fact: item (CSRD / VSME status, energy, emissions, taxonomy, permit, incident, labour); value; year; source</t>
        </is>
      </c>
      <c r="E1705" s="2" t="n"/>
      <c r="F1705" s="2" t="n"/>
      <c r="G1705" s="2" t="n"/>
      <c r="H1705" s="3" t="inlineStr">
        <is>
          <t>item: EU Taxonomy eligibility of capex and opex; value: capex more than 91% eligible (2024: 99%), opex more than 99%; year: 2025; source: sustainability section</t>
        </is>
      </c>
      <c r="I1705" s="2" t="inlineStr">
        <is>
          <t>S3</t>
        </is>
      </c>
      <c r="J1705" s="2" t="n">
        <v>56</v>
      </c>
      <c r="K1705" s="2" t="inlineStr">
        <is>
          <t>CapEx &gt; 91% &lt; 9% 99 % 1 %</t>
        </is>
      </c>
      <c r="L1705" s="2" t="inlineStr">
        <is>
          <t>pend</t>
        </is>
      </c>
      <c r="M1705" s="2" t="n"/>
      <c r="N1705" s="2" t="n"/>
      <c r="O1705" s="3" t="inlineStr">
        <is>
          <t>https://vanillabonds.com/dossier-data/pdf/fastned/fastned-2025-annual-report.pdf#page=56</t>
        </is>
      </c>
    </row>
    <row r="1706">
      <c r="A1706" s="2" t="inlineStr">
        <is>
          <t>F1705</t>
        </is>
      </c>
      <c r="B1706" s="2" t="inlineStr">
        <is>
          <t>compliance</t>
        </is>
      </c>
      <c r="C1706" s="2" t="inlineStr">
        <is>
          <t>esg_fact</t>
        </is>
      </c>
      <c r="D1706" s="3" t="inlineStr">
        <is>
          <t>ESG fact: item (CSRD / VSME status, energy, emissions, taxonomy, permit, incident, labour); value; year; source</t>
        </is>
      </c>
      <c r="E1706" s="2" t="n"/>
      <c r="F1706" s="2" t="n">
        <v>43</v>
      </c>
      <c r="G1706" s="2" t="n"/>
      <c r="H1706" s="3" t="inlineStr">
        <is>
          <t>item: S&amp;P Global ESG Score (first participation); value: 43 out of 100 versus industry average 26; year: 2025; source: S&amp;P Global Corporate Sustainability Assessment</t>
        </is>
      </c>
      <c r="I1706" s="2" t="inlineStr">
        <is>
          <t>S3</t>
        </is>
      </c>
      <c r="J1706" s="2" t="n">
        <v>57</v>
      </c>
      <c r="K1706" s="3" t="inlineStr">
        <is>
          <t>In 2025, Fastned received an S&amp;P Global ESG Score of 43 out of 100, compared with an industry ESG Score average of 26 out of 100.</t>
        </is>
      </c>
      <c r="L1706" s="2" t="inlineStr">
        <is>
          <t>pend</t>
        </is>
      </c>
      <c r="M1706" s="2" t="n"/>
      <c r="N1706" s="2" t="n"/>
      <c r="O1706" s="3" t="inlineStr">
        <is>
          <t>https://vanillabonds.com/dossier-data/pdf/fastned/fastned-2025-annual-report.pdf#page=57</t>
        </is>
      </c>
    </row>
    <row r="1707">
      <c r="A1707" s="2" t="inlineStr">
        <is>
          <t>F1706</t>
        </is>
      </c>
      <c r="B1707" s="2" t="inlineStr">
        <is>
          <t>compliance</t>
        </is>
      </c>
      <c r="C1707" s="2" t="inlineStr">
        <is>
          <t>esg_fact</t>
        </is>
      </c>
      <c r="D1707" s="3" t="inlineStr">
        <is>
          <t>ESG fact: item (CSRD / VSME status, energy, emissions, taxonomy, permit, incident, labour); value; year; source</t>
        </is>
      </c>
      <c r="E1707" s="2" t="n"/>
      <c r="F1707" s="2" t="n"/>
      <c r="G1707" s="2" t="n"/>
      <c r="H1707" s="3" t="inlineStr">
        <is>
          <t>item: published sustainability policies; value: Environmental, Health &amp; Safety, Code of Conduct, Supplier Code of Conduct (conflict minerals clause), Fair Employment, Anti-bribery, Whistleblower, DEI Strategy, Data Security, Privacy Statement; year: 2025; source: sustainability section</t>
        </is>
      </c>
      <c r="I1707" s="2" t="inlineStr">
        <is>
          <t>S3</t>
        </is>
      </c>
      <c r="J1707" s="2" t="n">
        <v>57</v>
      </c>
      <c r="K1707" s="3" t="inlineStr">
        <is>
          <t>Fastned has published the following sustainability-related policies:</t>
        </is>
      </c>
      <c r="L1707" s="2" t="inlineStr">
        <is>
          <t>pend</t>
        </is>
      </c>
      <c r="M1707" s="2" t="n"/>
      <c r="N1707" s="2" t="n"/>
      <c r="O1707" s="3" t="inlineStr">
        <is>
          <t>https://vanillabonds.com/dossier-data/pdf/fastned/fastned-2025-annual-report.pdf#page=57</t>
        </is>
      </c>
    </row>
    <row r="1708">
      <c r="A1708" s="2" t="inlineStr">
        <is>
          <t>F1707</t>
        </is>
      </c>
      <c r="B1708" s="2" t="inlineStr">
        <is>
          <t>compliance</t>
        </is>
      </c>
      <c r="C1708" s="2" t="inlineStr">
        <is>
          <t>esg_fact</t>
        </is>
      </c>
      <c r="D1708" s="3" t="inlineStr">
        <is>
          <t>ESG fact: item (CSRD / VSME status, energy, emissions, taxonomy, permit, incident, labour); value; year; source</t>
        </is>
      </c>
      <c r="E1708" s="2" t="n"/>
      <c r="F1708" s="2" t="n">
        <v>165938</v>
      </c>
      <c r="G1708" s="2" t="n"/>
      <c r="H1708" s="3" t="inlineStr">
        <is>
          <t>item: CO2e avoided (limited assurance); value: 165,938 tonnes, +29% vs 2024; cumulative 466,757 tonnes since founding; year: 2025; source: sustainability section</t>
        </is>
      </c>
      <c r="I1708" s="2" t="inlineStr">
        <is>
          <t>S3</t>
        </is>
      </c>
      <c r="J1708" s="2" t="n">
        <v>58</v>
      </c>
      <c r="K1708" s="3" t="inlineStr">
        <is>
          <t>In 2025, Fastned effectively avoided the equivalent of approximately 165,938 tonnes of CO2, a 29% increase from 2024.</t>
        </is>
      </c>
      <c r="L1708" s="2" t="inlineStr">
        <is>
          <t>pend</t>
        </is>
      </c>
      <c r="M1708" s="2" t="n"/>
      <c r="N1708" s="2" t="n"/>
      <c r="O1708" s="3" t="inlineStr">
        <is>
          <t>https://vanillabonds.com/dossier-data/pdf/fastned/fastned-2025-annual-report.pdf#page=58</t>
        </is>
      </c>
    </row>
    <row r="1709">
      <c r="A1709" s="2" t="inlineStr">
        <is>
          <t>F1708</t>
        </is>
      </c>
      <c r="B1709" s="2" t="inlineStr">
        <is>
          <t>compliance</t>
        </is>
      </c>
      <c r="C1709" s="2" t="inlineStr">
        <is>
          <t>esg_fact</t>
        </is>
      </c>
      <c r="D1709" s="3" t="inlineStr">
        <is>
          <t>ESG fact: item (CSRD / VSME status, energy, emissions, taxonomy, permit, incident, labour); value; year; source</t>
        </is>
      </c>
      <c r="E1709" s="2" t="n"/>
      <c r="F1709" s="2" t="n">
        <v>2102.7</v>
      </c>
      <c r="G1709" s="2" t="n"/>
      <c r="H1709" s="3" t="inlineStr">
        <is>
          <t>item: total energy consumption; value: 2,102.7 MWh (1,719.5 renewable electricity, 383.2 non-renewable fuels and district heating); year: 2025; source: sustainability section</t>
        </is>
      </c>
      <c r="I1709" s="2" t="inlineStr">
        <is>
          <t>S3</t>
        </is>
      </c>
      <c r="J1709" s="2" t="n">
        <v>58</v>
      </c>
      <c r="K1709" s="2" t="inlineStr">
        <is>
          <t>Total 1,719.5 383.2 2,102.7</t>
        </is>
      </c>
      <c r="L1709" s="2" t="inlineStr">
        <is>
          <t>pend</t>
        </is>
      </c>
      <c r="M1709" s="2" t="n"/>
      <c r="N1709" s="2" t="n"/>
      <c r="O1709" s="3" t="inlineStr">
        <is>
          <t>https://vanillabonds.com/dossier-data/pdf/fastned/fastned-2025-annual-report.pdf#page=58</t>
        </is>
      </c>
    </row>
    <row r="1710">
      <c r="A1710" s="2" t="inlineStr">
        <is>
          <t>F1709</t>
        </is>
      </c>
      <c r="B1710" s="2" t="inlineStr">
        <is>
          <t>compliance</t>
        </is>
      </c>
      <c r="C1710" s="2" t="inlineStr">
        <is>
          <t>esg_fact</t>
        </is>
      </c>
      <c r="D1710" s="3" t="inlineStr">
        <is>
          <t>ESG fact: item (CSRD / VSME status, energy, emissions, taxonomy, permit, incident, labour); value; year; source</t>
        </is>
      </c>
      <c r="E1710" s="2" t="n"/>
      <c r="F1710" s="2" t="n">
        <v>0.181</v>
      </c>
      <c r="G1710" s="2" t="n"/>
      <c r="H1710" s="3" t="inlineStr">
        <is>
          <t>item: CO2e-avoided emission factor; value: 0.181 kg CO2e/km (2024: 0.183); year: 2025; source: sustainability section</t>
        </is>
      </c>
      <c r="I1710" s="2" t="inlineStr">
        <is>
          <t>S3</t>
        </is>
      </c>
      <c r="J1710" s="2" t="n">
        <v>58</v>
      </c>
      <c r="K1710" s="3" t="inlineStr">
        <is>
          <t>The new emission factor we are using for 2025 is 0.181 kg CO2e/km driven by an EV, compared to 0.183 kg CO2e/km for 2024.</t>
        </is>
      </c>
      <c r="L1710" s="2" t="inlineStr">
        <is>
          <t>pend</t>
        </is>
      </c>
      <c r="M1710" s="2" t="n"/>
      <c r="N1710" s="2" t="n"/>
      <c r="O1710" s="3" t="inlineStr">
        <is>
          <t>https://vanillabonds.com/dossier-data/pdf/fastned/fastned-2025-annual-report.pdf#page=58</t>
        </is>
      </c>
    </row>
    <row r="1711">
      <c r="A1711" s="2" t="inlineStr">
        <is>
          <t>F1710</t>
        </is>
      </c>
      <c r="B1711" s="2" t="inlineStr">
        <is>
          <t>compliance</t>
        </is>
      </c>
      <c r="C1711" s="2" t="inlineStr">
        <is>
          <t>esg_fact</t>
        </is>
      </c>
      <c r="D1711" s="3" t="inlineStr">
        <is>
          <t>ESG fact: item (CSRD / VSME status, energy, emissions, taxonomy, permit, incident, labour); value; year; source</t>
        </is>
      </c>
      <c r="E1711" s="2" t="n"/>
      <c r="F1711" s="2" t="n">
        <v>0.00014</v>
      </c>
      <c r="G1711" s="2" t="n"/>
      <c r="H1711" s="3" t="inlineStr">
        <is>
          <t>item: GHG intensity (gross emissions per euro of turnover); value: 0.00014; year: 2025; source: sustainability section</t>
        </is>
      </c>
      <c r="I1711" s="2" t="inlineStr">
        <is>
          <t>S3</t>
        </is>
      </c>
      <c r="J1711" s="2" t="n">
        <v>59</v>
      </c>
      <c r="K1711" s="3" t="inlineStr">
        <is>
          <t>Fastned's 2025 GHG intensity (gross GHG emissions/turnover in euros) is 0.00014.</t>
        </is>
      </c>
      <c r="L1711" s="2" t="inlineStr">
        <is>
          <t>pend</t>
        </is>
      </c>
      <c r="M1711" s="2" t="n"/>
      <c r="N1711" s="2" t="n"/>
      <c r="O1711" s="3" t="inlineStr">
        <is>
          <t>https://vanillabonds.com/dossier-data/pdf/fastned/fastned-2025-annual-report.pdf#page=59</t>
        </is>
      </c>
    </row>
    <row r="1712">
      <c r="A1712" s="2" t="inlineStr">
        <is>
          <t>F1711</t>
        </is>
      </c>
      <c r="B1712" s="2" t="inlineStr">
        <is>
          <t>compliance</t>
        </is>
      </c>
      <c r="C1712" s="2" t="inlineStr">
        <is>
          <t>esg_fact</t>
        </is>
      </c>
      <c r="D1712" s="3" t="inlineStr">
        <is>
          <t>ESG fact: item (CSRD / VSME status, energy, emissions, taxonomy, permit, incident, labour); value; year; source</t>
        </is>
      </c>
      <c r="E1712" s="2" t="n"/>
      <c r="F1712" s="2" t="n">
        <v>11315</v>
      </c>
      <c r="G1712" s="2" t="n"/>
      <c r="H1712" s="3" t="inlineStr">
        <is>
          <t>item: station construction life-cycle emissions; value: about 11,315 tonnes CO2 for 2025 builds, expansions and redevelopments (2024: 7,991 tonnes for 49 stations); year: 2025; source: sustainability section</t>
        </is>
      </c>
      <c r="I1712" s="2" t="inlineStr">
        <is>
          <t>S3</t>
        </is>
      </c>
      <c r="J1712" s="2" t="n">
        <v>59</v>
      </c>
      <c r="K1712" s="3" t="inlineStr">
        <is>
          <t>approximately 11,315 tonnes of CO2. In comparison, in 2024, we built, expanded and redeveloped a total of 49 stations, which led to a total emission of 7,991 tonnes of CO2.</t>
        </is>
      </c>
      <c r="L1712" s="2" t="inlineStr">
        <is>
          <t>pend</t>
        </is>
      </c>
      <c r="M1712" s="2" t="n"/>
      <c r="N1712" s="2" t="n"/>
      <c r="O1712" s="3" t="inlineStr">
        <is>
          <t>https://vanillabonds.com/dossier-data/pdf/fastned/fastned-2025-annual-report.pdf#page=59</t>
        </is>
      </c>
    </row>
    <row r="1713">
      <c r="A1713" s="2" t="inlineStr">
        <is>
          <t>F1712</t>
        </is>
      </c>
      <c r="B1713" s="2" t="inlineStr">
        <is>
          <t>compliance</t>
        </is>
      </c>
      <c r="C1713" s="2" t="inlineStr">
        <is>
          <t>esg_fact</t>
        </is>
      </c>
      <c r="D1713" s="3" t="inlineStr">
        <is>
          <t>ESG fact: item (CSRD / VSME status, energy, emissions, taxonomy, permit, incident, labour); value; year; source</t>
        </is>
      </c>
      <c r="E1713" s="2" t="n"/>
      <c r="F1713" s="2" t="n">
        <v>2396</v>
      </c>
      <c r="G1713" s="2" t="n"/>
      <c r="H1713" s="3" t="inlineStr">
        <is>
          <t>item: shops, kiosks and toilets emissions (spend-based); value: 2,396 tonnes CO2; year: 2025; source: sustainability section</t>
        </is>
      </c>
      <c r="I1713" s="2" t="inlineStr">
        <is>
          <t>S3</t>
        </is>
      </c>
      <c r="J1713" s="2" t="n">
        <v>59</v>
      </c>
      <c r="K1713" s="2" t="inlineStr">
        <is>
          <t>resulted in 2,396 tonnes of CO2</t>
        </is>
      </c>
      <c r="L1713" s="2" t="inlineStr">
        <is>
          <t>pend</t>
        </is>
      </c>
      <c r="M1713" s="2" t="n"/>
      <c r="N1713" s="2" t="n"/>
      <c r="O1713" s="3" t="inlineStr">
        <is>
          <t>https://vanillabonds.com/dossier-data/pdf/fastned/fastned-2025-annual-report.pdf#page=59</t>
        </is>
      </c>
    </row>
    <row r="1714">
      <c r="A1714" s="2" t="inlineStr">
        <is>
          <t>F1713</t>
        </is>
      </c>
      <c r="B1714" s="2" t="inlineStr">
        <is>
          <t>compliance</t>
        </is>
      </c>
      <c r="C1714" s="2" t="inlineStr">
        <is>
          <t>esg_fact</t>
        </is>
      </c>
      <c r="D1714" s="3" t="inlineStr">
        <is>
          <t>ESG fact: item (CSRD / VSME status, energy, emissions, taxonomy, permit, incident, labour); value; year; source</t>
        </is>
      </c>
      <c r="E1714" s="2" t="n"/>
      <c r="F1714" s="2" t="n"/>
      <c r="G1714" s="2" t="n"/>
      <c r="H1714" s="3" t="inlineStr">
        <is>
          <t>item: company fleet; value: no ICE vehicles since 2022; year: 2025; source: sustainability section</t>
        </is>
      </c>
      <c r="I1714" s="2" t="inlineStr">
        <is>
          <t>S3</t>
        </is>
      </c>
      <c r="J1714" s="2" t="n">
        <v>60</v>
      </c>
      <c r="K1714" s="3" t="inlineStr">
        <is>
          <t>Since 2022, Fastned does not have any ICE vehicles in its company car fleet.</t>
        </is>
      </c>
      <c r="L1714" s="2" t="inlineStr">
        <is>
          <t>pend</t>
        </is>
      </c>
      <c r="M1714" s="2" t="n"/>
      <c r="N1714" s="2" t="n"/>
      <c r="O1714" s="3" t="inlineStr">
        <is>
          <t>https://vanillabonds.com/dossier-data/pdf/fastned/fastned-2025-annual-report.pdf#page=60</t>
        </is>
      </c>
    </row>
    <row r="1715">
      <c r="A1715" s="2" t="inlineStr">
        <is>
          <t>F1714</t>
        </is>
      </c>
      <c r="B1715" s="2" t="inlineStr">
        <is>
          <t>compliance</t>
        </is>
      </c>
      <c r="C1715" s="2" t="inlineStr">
        <is>
          <t>esg_fact</t>
        </is>
      </c>
      <c r="D1715" s="3" t="inlineStr">
        <is>
          <t>ESG fact: item (CSRD / VSME status, energy, emissions, taxonomy, permit, incident, labour); value; year; source</t>
        </is>
      </c>
      <c r="E1715" s="2" t="n"/>
      <c r="F1715" s="2" t="n">
        <v>19877</v>
      </c>
      <c r="G1715" s="2" t="n"/>
      <c r="H1715" s="3" t="inlineStr">
        <is>
          <t>item: emissions scope 1+2+3 (market-based, limited assurance); value: 19,877 tonnes CO2 (2024: 8,349; +138%, scope widened); year: 2025; source: sustainability section</t>
        </is>
      </c>
      <c r="I1715" s="2" t="inlineStr">
        <is>
          <t>S3</t>
        </is>
      </c>
      <c r="J1715" s="2" t="n">
        <v>63</v>
      </c>
      <c r="K1715" s="3" t="inlineStr">
        <is>
          <t>Total all scopes 8,349 100 19,877 100 138</t>
        </is>
      </c>
      <c r="L1715" s="2" t="inlineStr">
        <is>
          <t>pend</t>
        </is>
      </c>
      <c r="M1715" s="2" t="n"/>
      <c r="N1715" s="2" t="n"/>
      <c r="O1715" s="3" t="inlineStr">
        <is>
          <t>https://vanillabonds.com/dossier-data/pdf/fastned/fastned-2025-annual-report.pdf#page=63</t>
        </is>
      </c>
    </row>
    <row r="1716">
      <c r="A1716" s="2" t="inlineStr">
        <is>
          <t>F1715</t>
        </is>
      </c>
      <c r="B1716" s="2" t="inlineStr">
        <is>
          <t>compliance</t>
        </is>
      </c>
      <c r="C1716" s="2" t="inlineStr">
        <is>
          <t>esg_fact</t>
        </is>
      </c>
      <c r="D1716" s="3" t="inlineStr">
        <is>
          <t>ESG fact: item (CSRD / VSME status, energy, emissions, taxonomy, permit, incident, labour); value; year; source</t>
        </is>
      </c>
      <c r="E1716" s="2" t="n"/>
      <c r="F1716" s="2" t="n">
        <v>13708.3</v>
      </c>
      <c r="G1716" s="2" t="n"/>
      <c r="H1716" s="3" t="inlineStr">
        <is>
          <t>item: scope 3 capital goods emissions; value: 13,708.3 tonnes CO2 (2024: 7,991); year: 2025; source: sustainability section</t>
        </is>
      </c>
      <c r="I1716" s="2" t="inlineStr">
        <is>
          <t>S3</t>
        </is>
      </c>
      <c r="J1716" s="2" t="n">
        <v>63</v>
      </c>
      <c r="K1716" s="3" t="inlineStr">
        <is>
          <t>Capital goods 7,991 95.4 13,708.3 68.8 72</t>
        </is>
      </c>
      <c r="L1716" s="2" t="inlineStr">
        <is>
          <t>pend</t>
        </is>
      </c>
      <c r="M1716" s="2" t="n"/>
      <c r="N1716" s="2" t="n"/>
      <c r="O1716" s="3" t="inlineStr">
        <is>
          <t>https://vanillabonds.com/dossier-data/pdf/fastned/fastned-2025-annual-report.pdf#page=63</t>
        </is>
      </c>
    </row>
    <row r="1717">
      <c r="A1717" s="2" t="inlineStr">
        <is>
          <t>F1716</t>
        </is>
      </c>
      <c r="B1717" s="2" t="inlineStr">
        <is>
          <t>compliance</t>
        </is>
      </c>
      <c r="C1717" s="2" t="inlineStr">
        <is>
          <t>esg_fact</t>
        </is>
      </c>
      <c r="D1717" s="3" t="inlineStr">
        <is>
          <t>ESG fact: item (CSRD / VSME status, energy, emissions, taxonomy, permit, incident, labour); value; year; source</t>
        </is>
      </c>
      <c r="E1717" s="2" t="n"/>
      <c r="F1717" s="2" t="n">
        <v>8.300000000000001</v>
      </c>
      <c r="G1717" s="2" t="n"/>
      <c r="H1717" s="3" t="inlineStr">
        <is>
          <t>item: scope 1 emissions; value: 8.3 tonnes CO2 (2024: 4.7); year: 2025; source: sustainability section</t>
        </is>
      </c>
      <c r="I1717" s="2" t="inlineStr">
        <is>
          <t>S3</t>
        </is>
      </c>
      <c r="J1717" s="2" t="n">
        <v>63</v>
      </c>
      <c r="K1717" s="2" t="inlineStr">
        <is>
          <t>Total scope 1 4.7 0.1 8.3 0.04 77</t>
        </is>
      </c>
      <c r="L1717" s="2" t="inlineStr">
        <is>
          <t>pend</t>
        </is>
      </c>
      <c r="M1717" s="2" t="n"/>
      <c r="N1717" s="2" t="n"/>
      <c r="O1717" s="3" t="inlineStr">
        <is>
          <t>https://vanillabonds.com/dossier-data/pdf/fastned/fastned-2025-annual-report.pdf#page=63</t>
        </is>
      </c>
    </row>
    <row r="1718">
      <c r="A1718" s="2" t="inlineStr">
        <is>
          <t>F1717</t>
        </is>
      </c>
      <c r="B1718" s="2" t="inlineStr">
        <is>
          <t>compliance</t>
        </is>
      </c>
      <c r="C1718" s="2" t="inlineStr">
        <is>
          <t>esg_fact</t>
        </is>
      </c>
      <c r="D1718" s="3" t="inlineStr">
        <is>
          <t>ESG fact: item (CSRD / VSME status, energy, emissions, taxonomy, permit, incident, labour); value; year; source</t>
        </is>
      </c>
      <c r="E1718" s="2" t="n"/>
      <c r="F1718" s="2" t="n">
        <v>46</v>
      </c>
      <c r="G1718" s="2" t="n"/>
      <c r="H1718" s="3" t="inlineStr">
        <is>
          <t>item: scope 2 emissions (market-based); value: 46 tonnes CO2 (2024: 20.9); location-based 376.1 tonnes; year: 2025; source: sustainability section</t>
        </is>
      </c>
      <c r="I1718" s="2" t="inlineStr">
        <is>
          <t>S3</t>
        </is>
      </c>
      <c r="J1718" s="2" t="n">
        <v>63</v>
      </c>
      <c r="K1718" s="2" t="inlineStr">
        <is>
          <t>Total scope 2 20.9 0.2 46 0.2 120</t>
        </is>
      </c>
      <c r="L1718" s="2" t="inlineStr">
        <is>
          <t>pend</t>
        </is>
      </c>
      <c r="M1718" s="2" t="n"/>
      <c r="N1718" s="2" t="n"/>
      <c r="O1718" s="3" t="inlineStr">
        <is>
          <t>https://vanillabonds.com/dossier-data/pdf/fastned/fastned-2025-annual-report.pdf#page=63</t>
        </is>
      </c>
    </row>
    <row r="1719">
      <c r="A1719" s="2" t="inlineStr">
        <is>
          <t>F1718</t>
        </is>
      </c>
      <c r="B1719" s="2" t="inlineStr">
        <is>
          <t>compliance</t>
        </is>
      </c>
      <c r="C1719" s="2" t="inlineStr">
        <is>
          <t>esg_fact</t>
        </is>
      </c>
      <c r="D1719" s="3" t="inlineStr">
        <is>
          <t>ESG fact: item (CSRD / VSME status, energy, emissions, taxonomy, permit, incident, labour); value; year; source</t>
        </is>
      </c>
      <c r="E1719" s="2" t="n"/>
      <c r="F1719" s="2" t="n"/>
      <c r="G1719" s="2" t="n"/>
      <c r="H1719" s="3" t="inlineStr">
        <is>
          <t>item: CO2 intensity target; value: from 56.8 tonnes CO2/GWh (2024 base) to 23 tonnes CO2/GWh by 2030 (-60%); year: 2025; source: climate transition plan</t>
        </is>
      </c>
      <c r="I1719" s="2" t="inlineStr">
        <is>
          <t>S3</t>
        </is>
      </c>
      <c r="J1719" s="2" t="n">
        <v>64</v>
      </c>
      <c r="K1719" s="3" t="inlineStr">
        <is>
          <t>Reduce CO2 intensity from 56.8 tonnes CO2/GWh in 2024 to 23 tonnes CO2/GWh by 2030 (60% intensity reduction per GWh sold).</t>
        </is>
      </c>
      <c r="L1719" s="2" t="inlineStr">
        <is>
          <t>pend</t>
        </is>
      </c>
      <c r="M1719" s="2" t="n"/>
      <c r="N1719" s="2" t="n"/>
      <c r="O1719" s="3" t="inlineStr">
        <is>
          <t>https://vanillabonds.com/dossier-data/pdf/fastned/fastned-2025-annual-report.pdf#page=64</t>
        </is>
      </c>
    </row>
    <row r="1720">
      <c r="A1720" s="2" t="inlineStr">
        <is>
          <t>F1719</t>
        </is>
      </c>
      <c r="B1720" s="2" t="inlineStr">
        <is>
          <t>compliance</t>
        </is>
      </c>
      <c r="C1720" s="2" t="inlineStr">
        <is>
          <t>esg_fact</t>
        </is>
      </c>
      <c r="D1720" s="3" t="inlineStr">
        <is>
          <t>ESG fact: item (CSRD / VSME status, energy, emissions, taxonomy, permit, incident, labour); value; year; source</t>
        </is>
      </c>
      <c r="E1720" s="2" t="n"/>
      <c r="F1720" s="2" t="n"/>
      <c r="G1720" s="2" t="n"/>
      <c r="H1720" s="3" t="inlineStr">
        <is>
          <t>item: climate transition plan; value: first plan published as part of the CO2 Performance Ladder certification, base year 2024, targets to 2030; year: 2025; source: sustainability section</t>
        </is>
      </c>
      <c r="I1720" s="2" t="inlineStr">
        <is>
          <t>S3</t>
        </is>
      </c>
      <c r="J1720" s="2" t="n">
        <v>64</v>
      </c>
      <c r="K1720" s="3" t="inlineStr">
        <is>
          <t>Fastned published its first climate transition plan as part of the CO2 Performance Ladder certification process</t>
        </is>
      </c>
      <c r="L1720" s="2" t="inlineStr">
        <is>
          <t>pend</t>
        </is>
      </c>
      <c r="M1720" s="2" t="n"/>
      <c r="N1720" s="2" t="n"/>
      <c r="O1720" s="3" t="inlineStr">
        <is>
          <t>https://vanillabonds.com/dossier-data/pdf/fastned/fastned-2025-annual-report.pdf#page=64</t>
        </is>
      </c>
    </row>
    <row r="1721">
      <c r="A1721" s="2" t="inlineStr">
        <is>
          <t>F1720</t>
        </is>
      </c>
      <c r="B1721" s="2" t="inlineStr">
        <is>
          <t>compliance</t>
        </is>
      </c>
      <c r="C1721" s="2" t="inlineStr">
        <is>
          <t>esg_fact</t>
        </is>
      </c>
      <c r="D1721" s="3" t="inlineStr">
        <is>
          <t>ESG fact: item (CSRD / VSME status, energy, emissions, taxonomy, permit, incident, labour); value; year; source</t>
        </is>
      </c>
      <c r="E1721" s="2" t="n"/>
      <c r="F1721" s="2" t="n">
        <v>235.7</v>
      </c>
      <c r="G1721" s="2" t="n"/>
      <c r="H1721" s="3" t="inlineStr">
        <is>
          <t>item: absolute construction and equipment emissions target; value: cap at 235.7 tonnes CO2 per station built by 2030 (-10% vs business as usual); year: 2025; source: climate transition plan</t>
        </is>
      </c>
      <c r="I1721" s="2" t="inlineStr">
        <is>
          <t>S3</t>
        </is>
      </c>
      <c r="J1721" s="2" t="n">
        <v>65</v>
      </c>
      <c r="K1721" s="3" t="inlineStr">
        <is>
          <t>Cap total CO2 emissions from construction and equipment procurement at, on average, 235.7 tonnes CO2 per station built by 2030</t>
        </is>
      </c>
      <c r="L1721" s="2" t="inlineStr">
        <is>
          <t>pend</t>
        </is>
      </c>
      <c r="M1721" s="2" t="n"/>
      <c r="N1721" s="2" t="n"/>
      <c r="O1721" s="3" t="inlineStr">
        <is>
          <t>https://vanillabonds.com/dossier-data/pdf/fastned/fastned-2025-annual-report.pdf#page=65</t>
        </is>
      </c>
    </row>
    <row r="1722">
      <c r="A1722" s="2" t="inlineStr">
        <is>
          <t>F1721</t>
        </is>
      </c>
      <c r="B1722" s="2" t="inlineStr">
        <is>
          <t>compliance</t>
        </is>
      </c>
      <c r="C1722" s="2" t="inlineStr">
        <is>
          <t>esg_fact</t>
        </is>
      </c>
      <c r="D1722" s="3" t="inlineStr">
        <is>
          <t>ESG fact: item (CSRD / VSME status, energy, emissions, taxonomy, permit, incident, labour); value; year; source</t>
        </is>
      </c>
      <c r="E1722" s="2" t="n"/>
      <c r="F1722" s="2" t="n"/>
      <c r="G1722" s="2" t="n"/>
      <c r="H1722" s="3" t="inlineStr">
        <is>
          <t>item: energy intensity target; value: from 12 GJ per employee (2024) to 11 GJ by 2030; year: 2025; source: CO2 Performance Ladder recertification</t>
        </is>
      </c>
      <c r="I1722" s="2" t="inlineStr">
        <is>
          <t>S3</t>
        </is>
      </c>
      <c r="J1722" s="2" t="n">
        <v>65</v>
      </c>
      <c r="K1722" s="3" t="inlineStr">
        <is>
          <t>reducing its energy consumption intensity by 10% from 12 GJ per employee in 2024 to 11 GJ per employee by 2030.</t>
        </is>
      </c>
      <c r="L1722" s="2" t="inlineStr">
        <is>
          <t>pend</t>
        </is>
      </c>
      <c r="M1722" s="2" t="n"/>
      <c r="N1722" s="2" t="n"/>
      <c r="O1722" s="3" t="inlineStr">
        <is>
          <t>https://vanillabonds.com/dossier-data/pdf/fastned/fastned-2025-annual-report.pdf#page=65</t>
        </is>
      </c>
    </row>
    <row r="1723">
      <c r="A1723" s="2" t="inlineStr">
        <is>
          <t>F1722</t>
        </is>
      </c>
      <c r="B1723" s="2" t="inlineStr">
        <is>
          <t>compliance</t>
        </is>
      </c>
      <c r="C1723" s="2" t="inlineStr">
        <is>
          <t>esg_fact</t>
        </is>
      </c>
      <c r="D1723" s="3" t="inlineStr">
        <is>
          <t>ESG fact: item (CSRD / VSME status, energy, emissions, taxonomy, permit, incident, labour); value; year; source</t>
        </is>
      </c>
      <c r="E1723" s="2" t="n"/>
      <c r="F1723" s="2" t="n">
        <v>351558</v>
      </c>
      <c r="G1723" s="2" t="n"/>
      <c r="H1723" s="3" t="inlineStr">
        <is>
          <t>item: land use, operational station area; value: 351,558 m2 (2024: 277,909), of which sealed 202,130 m2 (2024: 163,418); year: 2025; source: sustainability section</t>
        </is>
      </c>
      <c r="I1723" s="2" t="inlineStr">
        <is>
          <t>S3</t>
        </is>
      </c>
      <c r="J1723" s="2" t="n">
        <v>71</v>
      </c>
      <c r="K1723" s="3" t="inlineStr">
        <is>
          <t>All operational stations 277,909 351,558 27</t>
        </is>
      </c>
      <c r="L1723" s="2" t="inlineStr">
        <is>
          <t>pend</t>
        </is>
      </c>
      <c r="M1723" s="2" t="n"/>
      <c r="N1723" s="2" t="n"/>
      <c r="O1723" s="3" t="inlineStr">
        <is>
          <t>https://vanillabonds.com/dossier-data/pdf/fastned/fastned-2025-annual-report.pdf#page=71</t>
        </is>
      </c>
    </row>
    <row r="1724">
      <c r="A1724" s="2" t="inlineStr">
        <is>
          <t>F1723</t>
        </is>
      </c>
      <c r="B1724" s="2" t="inlineStr">
        <is>
          <t>compliance</t>
        </is>
      </c>
      <c r="C1724" s="2" t="inlineStr">
        <is>
          <t>esg_fact</t>
        </is>
      </c>
      <c r="D1724" s="3" t="inlineStr">
        <is>
          <t>ESG fact: item (CSRD / VSME status, energy, emissions, taxonomy, permit, incident, labour); value; year; source</t>
        </is>
      </c>
      <c r="E1724" s="2" t="n"/>
      <c r="F1724" s="2" t="n">
        <v>56138</v>
      </c>
      <c r="G1724" s="2" t="n"/>
      <c r="H1724" s="3" t="inlineStr">
        <is>
          <t>item: nature-oriented area on-site; value: 56,138 m2 (+77%), off-site 15,413 m2; year: 2025; source: sustainability section</t>
        </is>
      </c>
      <c r="I1724" s="2" t="inlineStr">
        <is>
          <t>S3</t>
        </is>
      </c>
      <c r="J1724" s="2" t="n">
        <v>71</v>
      </c>
      <c r="K1724" s="3" t="inlineStr">
        <is>
          <t>Nature oriented area on-site 31,635 56,138 77</t>
        </is>
      </c>
      <c r="L1724" s="2" t="inlineStr">
        <is>
          <t>pend</t>
        </is>
      </c>
      <c r="M1724" s="2" t="n"/>
      <c r="N1724" s="2" t="n"/>
      <c r="O1724" s="3" t="inlineStr">
        <is>
          <t>https://vanillabonds.com/dossier-data/pdf/fastned/fastned-2025-annual-report.pdf#page=71</t>
        </is>
      </c>
    </row>
    <row r="1725">
      <c r="A1725" s="2" t="inlineStr">
        <is>
          <t>F1724</t>
        </is>
      </c>
      <c r="B1725" s="2" t="inlineStr">
        <is>
          <t>compliance</t>
        </is>
      </c>
      <c r="C1725" s="2" t="inlineStr">
        <is>
          <t>esg_fact</t>
        </is>
      </c>
      <c r="D1725" s="3" t="inlineStr">
        <is>
          <t>ESG fact: item (CSRD / VSME status, energy, emissions, taxonomy, permit, incident, labour); value; year; source</t>
        </is>
      </c>
      <c r="E1725" s="2" t="n"/>
      <c r="F1725" s="2" t="n">
        <v>19</v>
      </c>
      <c r="G1725" s="2" t="n"/>
      <c r="H1725" s="3" t="inlineStr">
        <is>
          <t>item: biodiversity-sensitive sites; value: 19 operational sites in sensitive areas (1.52 ha) and 14 near (1 ha) out of 35.2 ha of station area; year: 2025; source: sustainability section</t>
        </is>
      </c>
      <c r="I1725" s="2" t="inlineStr">
        <is>
          <t>S3</t>
        </is>
      </c>
      <c r="J1725" s="2" t="n">
        <v>72</v>
      </c>
      <c r="K1725" s="3" t="inlineStr">
        <is>
          <t>Has 19 operational sites located in biodiversity-sensitive areas. These sites cover a total area of approximately 1.52 hectares.</t>
        </is>
      </c>
      <c r="L1725" s="2" t="inlineStr">
        <is>
          <t>pend</t>
        </is>
      </c>
      <c r="M1725" s="2" t="n"/>
      <c r="N1725" s="2" t="n"/>
      <c r="O1725" s="3" t="inlineStr">
        <is>
          <t>https://vanillabonds.com/dossier-data/pdf/fastned/fastned-2025-annual-report.pdf#page=72</t>
        </is>
      </c>
    </row>
    <row r="1726">
      <c r="A1726" s="2" t="inlineStr">
        <is>
          <t>F1725</t>
        </is>
      </c>
      <c r="B1726" s="2" t="inlineStr">
        <is>
          <t>compliance</t>
        </is>
      </c>
      <c r="C1726" s="2" t="inlineStr">
        <is>
          <t>esg_fact</t>
        </is>
      </c>
      <c r="D1726" s="3" t="inlineStr">
        <is>
          <t>ESG fact: item (CSRD / VSME status, energy, emissions, taxonomy, permit, incident, labour); value; year; source</t>
        </is>
      </c>
      <c r="E1726" s="2" t="n"/>
      <c r="F1726" s="2" t="n"/>
      <c r="G1726" s="2" t="n"/>
      <c r="H1726" s="3" t="inlineStr">
        <is>
          <t>item: external recognition; value: Diverse and Inclusive Leadership Award by Deloitte; year: 2024; source: corporate governance section</t>
        </is>
      </c>
      <c r="I1726" s="2" t="inlineStr">
        <is>
          <t>S3</t>
        </is>
      </c>
      <c r="J1726" s="2" t="n">
        <v>88</v>
      </c>
      <c r="K1726" s="3" t="inlineStr">
        <is>
          <t>received external recognition such as the Diverse and Inclusive Leadership Award by Deloitte in 2024.</t>
        </is>
      </c>
      <c r="L1726" s="2" t="inlineStr">
        <is>
          <t>pend</t>
        </is>
      </c>
      <c r="M1726" s="2" t="n"/>
      <c r="N1726" s="2" t="n"/>
      <c r="O1726" s="3" t="inlineStr">
        <is>
          <t>https://vanillabonds.com/dossier-data/pdf/fastned/fastned-2025-annual-report.pdf#page=88</t>
        </is>
      </c>
    </row>
    <row r="1727">
      <c r="A1727" s="2" t="inlineStr">
        <is>
          <t>F1726</t>
        </is>
      </c>
      <c r="B1727" s="2" t="inlineStr">
        <is>
          <t>compliance</t>
        </is>
      </c>
      <c r="C1727" s="2" t="inlineStr">
        <is>
          <t>esg_fact</t>
        </is>
      </c>
      <c r="D1727" s="3" t="inlineStr">
        <is>
          <t>ESG fact: item (CSRD / VSME status, energy, emissions, taxonomy, permit, incident, labour); value; year; source</t>
        </is>
      </c>
      <c r="E1727" s="2" t="n"/>
      <c r="F1727" s="2" t="n"/>
      <c r="G1727" s="2" t="n"/>
      <c r="H1727" s="3" t="inlineStr">
        <is>
          <t>item: sustainability reporting assurance; value: Management Board states its internal control systems give a 'limited level of assurance' that sustainability reporting contains no material misstatements; year: 2025; source: Management Board statement</t>
        </is>
      </c>
      <c r="I1727" s="2" t="inlineStr">
        <is>
          <t>S3</t>
        </is>
      </c>
      <c r="J1727" s="2" t="n">
        <v>111</v>
      </c>
      <c r="K1727" s="3" t="inlineStr">
        <is>
          <t>the internal risk management and control systems provide a limited level of assurance that the Company’s sustainability reporting at balance sheet date contains no material misstatements.</t>
        </is>
      </c>
      <c r="L1727" s="2" t="inlineStr">
        <is>
          <t>pend</t>
        </is>
      </c>
      <c r="M1727" s="2" t="n"/>
      <c r="N1727" s="2" t="n"/>
      <c r="O1727" s="3" t="inlineStr">
        <is>
          <t>https://vanillabonds.com/dossier-data/pdf/fastned/fastned-2025-annual-report.pdf#page=111</t>
        </is>
      </c>
    </row>
    <row r="1728">
      <c r="A1728" s="2" t="inlineStr">
        <is>
          <t>F1727</t>
        </is>
      </c>
      <c r="B1728" s="2" t="inlineStr">
        <is>
          <t>compliance</t>
        </is>
      </c>
      <c r="C1728" s="2" t="inlineStr">
        <is>
          <t>esg_fact</t>
        </is>
      </c>
      <c r="D1728" s="3" t="inlineStr">
        <is>
          <t>ESG fact: item (CSRD / VSME status, energy, emissions, taxonomy, permit, incident, labour); value; year; source</t>
        </is>
      </c>
      <c r="E1728" s="2" t="n"/>
      <c r="F1728" s="2" t="n">
        <v>13.2</v>
      </c>
      <c r="G1728" s="2" t="n"/>
      <c r="H1728" s="3" t="inlineStr">
        <is>
          <t>item: renewable energy units (HBE and similar) granted by governments and sold; value: 13.2 (EUR m revenue 2025, 2024: 3.9); year: 2025; source: note 6</t>
        </is>
      </c>
      <c r="I1728" s="2" t="inlineStr">
        <is>
          <t>S3</t>
        </is>
      </c>
      <c r="J1728" s="2" t="n">
        <v>150</v>
      </c>
      <c r="K1728" s="3" t="inlineStr">
        <is>
          <t>Sales of renewable energy units Goods transferred at a point in time 13,194 3,882</t>
        </is>
      </c>
      <c r="L1728" s="2" t="inlineStr">
        <is>
          <t>pend</t>
        </is>
      </c>
      <c r="M1728" s="2" t="n"/>
      <c r="N1728" s="2" t="n"/>
      <c r="O1728" s="3" t="inlineStr">
        <is>
          <t>https://vanillabonds.com/dossier-data/pdf/fastned/fastned-2025-annual-report.pdf#page=150</t>
        </is>
      </c>
    </row>
    <row r="1729">
      <c r="A1729" s="2" t="inlineStr">
        <is>
          <t>F1728</t>
        </is>
      </c>
      <c r="B1729" s="2" t="inlineStr">
        <is>
          <t>compliance</t>
        </is>
      </c>
      <c r="C1729" s="2" t="inlineStr">
        <is>
          <t>esg_fact</t>
        </is>
      </c>
      <c r="D1729" s="3" t="inlineStr">
        <is>
          <t>ESG fact: item (CSRD / VSME status, energy, emissions, taxonomy, permit, incident, labour); value; year; source</t>
        </is>
      </c>
      <c r="E1729" s="2" t="n"/>
      <c r="F1729" s="2" t="n"/>
      <c r="G1729" s="2" t="n"/>
      <c r="H1729" s="3" t="inlineStr">
        <is>
          <t>item: renewable energy sourcing via PPAs; value: Netherlands three solar PPAs and one wind PPA, Belgium one solar PPA, certain Dutch contracts carry SDE++ subsidies and curtailment rights; year: 2025; source: note 15.6</t>
        </is>
      </c>
      <c r="I1729" s="2" t="inlineStr">
        <is>
          <t>S3</t>
        </is>
      </c>
      <c r="J1729" s="2" t="n">
        <v>180</v>
      </c>
      <c r="K1729" s="3" t="inlineStr">
        <is>
          <t>Netherlands: Three solar PPAs and one wind PPA.</t>
        </is>
      </c>
      <c r="L1729" s="2" t="inlineStr">
        <is>
          <t>pend</t>
        </is>
      </c>
      <c r="M1729" s="2" t="n"/>
      <c r="N1729" s="2" t="n"/>
      <c r="O1729" s="3" t="inlineStr">
        <is>
          <t>https://vanillabonds.com/dossier-data/pdf/fastned/fastned-2025-annual-report.pdf#page=180</t>
        </is>
      </c>
    </row>
    <row r="1730">
      <c r="A1730" s="2" t="inlineStr">
        <is>
          <t>F1729</t>
        </is>
      </c>
      <c r="B1730" s="2" t="inlineStr">
        <is>
          <t>compliance</t>
        </is>
      </c>
      <c r="C1730" s="2" t="inlineStr">
        <is>
          <t>esg_fact</t>
        </is>
      </c>
      <c r="D1730" s="3" t="inlineStr">
        <is>
          <t>ESG fact: item (CSRD / VSME status, energy, emissions, taxonomy, permit, incident, labour); value; year; source</t>
        </is>
      </c>
      <c r="E1730" s="2" t="n"/>
      <c r="F1730" s="2" t="n"/>
      <c r="G1730" s="2" t="n"/>
      <c r="H1730" s="3" t="inlineStr">
        <is>
          <t>item: ESG assurance; value: limited assurance (Dutch Standard 3000A) by BDO on kWh sold, CO2e avoided, Guarantees of Origin purchased, Scope 1-3 emissions and gender ratio, conclusion unmodified; year: 2025; source: BDO assurance report 18 March 2026</t>
        </is>
      </c>
      <c r="I1730" s="2" t="inlineStr">
        <is>
          <t>S3</t>
        </is>
      </c>
      <c r="J1730" s="2" t="n">
        <v>230</v>
      </c>
      <c r="K1730" s="3" t="inlineStr">
        <is>
          <t>This engagement is aimed to obtain limited assurance.</t>
        </is>
      </c>
      <c r="L1730" s="2" t="inlineStr">
        <is>
          <t>pend</t>
        </is>
      </c>
      <c r="M1730" s="2" t="n"/>
      <c r="N1730" s="2" t="n"/>
      <c r="O1730" s="3" t="inlineStr">
        <is>
          <t>https://vanillabonds.com/dossier-data/pdf/fastned/fastned-2025-annual-report.pdf#page=230</t>
        </is>
      </c>
    </row>
    <row r="1731">
      <c r="A1731" s="2" t="inlineStr">
        <is>
          <t>F1730</t>
        </is>
      </c>
      <c r="B1731" s="2" t="inlineStr">
        <is>
          <t>compliance</t>
        </is>
      </c>
      <c r="C1731" s="2" t="inlineStr">
        <is>
          <t>esg_fact</t>
        </is>
      </c>
      <c r="D1731" s="3" t="inlineStr">
        <is>
          <t>ESG fact: item (CSRD / VSME status, energy, emissions, taxonomy, permit, incident, labour); value; year; source</t>
        </is>
      </c>
      <c r="E1731" s="2" t="n"/>
      <c r="F1731" s="2" t="n"/>
      <c r="G1731" s="2" t="n"/>
      <c r="H1731" s="3" t="inlineStr">
        <is>
          <t>item: SDGs; value: five UN Sustainable Development Goals adopted in 2022 (13, 11, 5, 9, 12); year: 2022; source: Fastned annual report 2025 sustainability appendix</t>
        </is>
      </c>
      <c r="I1731" s="2" t="inlineStr">
        <is>
          <t>S3</t>
        </is>
      </c>
      <c r="J1731" s="2" t="n">
        <v>233</v>
      </c>
      <c r="K1731" s="3" t="inlineStr">
        <is>
          <t>In 2022, Fastned adopted five United Nations (UN) Sustainable Development Goals (SDGs) to align with the UN 2030 Agenda for Sustainable Development</t>
        </is>
      </c>
      <c r="L1731" s="2" t="inlineStr">
        <is>
          <t>pend</t>
        </is>
      </c>
      <c r="M1731" s="2" t="n"/>
      <c r="N1731" s="2" t="n"/>
      <c r="O1731" s="3" t="inlineStr">
        <is>
          <t>https://vanillabonds.com/dossier-data/pdf/fastned/fastned-2025-annual-report.pdf#page=233</t>
        </is>
      </c>
    </row>
    <row r="1732">
      <c r="A1732" s="2" t="inlineStr">
        <is>
          <t>F1731</t>
        </is>
      </c>
      <c r="B1732" s="2" t="inlineStr">
        <is>
          <t>compliance</t>
        </is>
      </c>
      <c r="C1732" s="2" t="inlineStr">
        <is>
          <t>esg_fact</t>
        </is>
      </c>
      <c r="D1732" s="3" t="inlineStr">
        <is>
          <t>ESG fact: item (CSRD / VSME status, energy, emissions, taxonomy, permit, incident, labour); value; year; source</t>
        </is>
      </c>
      <c r="E1732" s="2" t="n"/>
      <c r="F1732" s="2" t="n"/>
      <c r="G1732" s="2" t="n"/>
      <c r="H1732" s="3" t="inlineStr">
        <is>
          <t>item: CSRD / VSME status; value: VSME sustainability reporting standards applied for the first time in the 2025 annual report; year: 2025; source: Fastned annual report 2025 VSME reference table</t>
        </is>
      </c>
      <c r="I1732" s="2" t="inlineStr">
        <is>
          <t>S3</t>
        </is>
      </c>
      <c r="J1732" s="2" t="n">
        <v>237</v>
      </c>
      <c r="K1732" s="3" t="inlineStr">
        <is>
          <t>The table below sets out how Fastned’s 2025 Annual Report complies with the VSME sustainability reporting standards, which we are applying for the first time this year.</t>
        </is>
      </c>
      <c r="L1732" s="2" t="inlineStr">
        <is>
          <t>pend</t>
        </is>
      </c>
      <c r="M1732" s="2" t="n"/>
      <c r="N1732" s="2" t="n"/>
      <c r="O1732" s="3" t="inlineStr">
        <is>
          <t>https://vanillabonds.com/dossier-data/pdf/fastned/fastned-2025-annual-report.pdf#page=237</t>
        </is>
      </c>
    </row>
    <row r="1733">
      <c r="A1733" s="2" t="inlineStr">
        <is>
          <t>F1732</t>
        </is>
      </c>
      <c r="B1733" s="2" t="inlineStr">
        <is>
          <t>compliance</t>
        </is>
      </c>
      <c r="C1733" s="2" t="inlineStr">
        <is>
          <t>esg_fact</t>
        </is>
      </c>
      <c r="D1733" s="3" t="inlineStr">
        <is>
          <t>ESG fact: item (CSRD / VSME status, energy, emissions, taxonomy, permit, incident, labour); value; year; source</t>
        </is>
      </c>
      <c r="E1733" s="2" t="n"/>
      <c r="F1733" s="2" t="n"/>
      <c r="G1733" s="2" t="n"/>
      <c r="H1733" s="3" t="inlineStr">
        <is>
          <t>item: waste; value: total waste generation and waste diverted to recycling not disclosed for 2025 'due to lack of resources'; year: 2025; source: Fastned annual report 2025 VSME table B7</t>
        </is>
      </c>
      <c r="I1733" s="2" t="inlineStr">
        <is>
          <t>S3</t>
        </is>
      </c>
      <c r="J1733" s="2" t="n">
        <v>238</v>
      </c>
      <c r="K1733" s="3" t="inlineStr">
        <is>
          <t>Due to lack of resources, Fastned is not able to disclose the following information for 2025:</t>
        </is>
      </c>
      <c r="L1733" s="2" t="inlineStr">
        <is>
          <t>pend</t>
        </is>
      </c>
      <c r="M1733" s="2" t="n"/>
      <c r="N1733" s="2" t="n"/>
      <c r="O1733" s="3" t="inlineStr">
        <is>
          <t>https://vanillabonds.com/dossier-data/pdf/fastned/fastned-2025-annual-report.pdf#page=238</t>
        </is>
      </c>
    </row>
    <row r="1734">
      <c r="A1734" s="2" t="inlineStr">
        <is>
          <t>F1733</t>
        </is>
      </c>
      <c r="B1734" s="2" t="inlineStr">
        <is>
          <t>compliance</t>
        </is>
      </c>
      <c r="C1734" s="2" t="inlineStr">
        <is>
          <t>esg_fact</t>
        </is>
      </c>
      <c r="D1734" s="3" t="inlineStr">
        <is>
          <t>ESG fact: item (CSRD / VSME status, energy, emissions, taxonomy, permit, incident, labour); value; year; source</t>
        </is>
      </c>
      <c r="E1734" s="2" t="n"/>
      <c r="F1734" s="2" t="n"/>
      <c r="G1734" s="2" t="n"/>
      <c r="H1734" s="3" t="inlineStr">
        <is>
          <t>item: health and safety; value: number and rate of recordable work-related accidents and fatalities omitted to protect employee privacy; year: 2025; source: Fastned annual report 2025 VSME table B9</t>
        </is>
      </c>
      <c r="I1734" s="2" t="inlineStr">
        <is>
          <t>S3</t>
        </is>
      </c>
      <c r="J1734" s="2" t="n">
        <v>238</v>
      </c>
      <c r="K1734" s="3" t="inlineStr">
        <is>
          <t>Fastned chooses to omit the number and rate of recordable work-related accidents, as well as the number of fatalities</t>
        </is>
      </c>
      <c r="L1734" s="2" t="inlineStr">
        <is>
          <t>pend</t>
        </is>
      </c>
      <c r="M1734" s="2" t="n"/>
      <c r="N1734" s="2" t="n"/>
      <c r="O1734" s="3" t="inlineStr">
        <is>
          <t>https://vanillabonds.com/dossier-data/pdf/fastned/fastned-2025-annual-report.pdf#page=238</t>
        </is>
      </c>
    </row>
    <row r="1735">
      <c r="A1735" s="2" t="inlineStr">
        <is>
          <t>F1734</t>
        </is>
      </c>
      <c r="B1735" s="2" t="inlineStr">
        <is>
          <t>compliance</t>
        </is>
      </c>
      <c r="C1735" s="2" t="inlineStr">
        <is>
          <t>esg_fact</t>
        </is>
      </c>
      <c r="D1735" s="3" t="inlineStr">
        <is>
          <t>ESG fact: item (CSRD / VSME status, energy, emissions, taxonomy, permit, incident, labour); value; year; source</t>
        </is>
      </c>
      <c r="E1735" s="2" t="n"/>
      <c r="F1735" s="2" t="n"/>
      <c r="G1735" s="2" t="n"/>
      <c r="H1735" s="3" t="inlineStr">
        <is>
          <t>item: governance body gender diversity; value: 3:4 women to men across the Supervisory Board and Management Board; year: 2025; source: Fastned annual report 2025 VSME table C9</t>
        </is>
      </c>
      <c r="I1735" s="2" t="inlineStr">
        <is>
          <t>S3</t>
        </is>
      </c>
      <c r="J1735" s="2" t="n">
        <v>239</v>
      </c>
      <c r="K1735" s="3" t="inlineStr">
        <is>
          <t>Fastned’s governance body, comprising the Supervisory Board and the Management Board, has a gender diversity ratio of 3:4 (women:men).</t>
        </is>
      </c>
      <c r="L1735" s="2" t="inlineStr">
        <is>
          <t>pend</t>
        </is>
      </c>
      <c r="M1735" s="2" t="n"/>
      <c r="N1735" s="2" t="n"/>
      <c r="O1735" s="3" t="inlineStr">
        <is>
          <t>https://vanillabonds.com/dossier-data/pdf/fastned/fastned-2025-annual-report.pdf#page=239</t>
        </is>
      </c>
    </row>
    <row r="1736">
      <c r="A1736" s="2" t="inlineStr">
        <is>
          <t>F1735</t>
        </is>
      </c>
      <c r="B1736" s="2" t="inlineStr">
        <is>
          <t>compliance</t>
        </is>
      </c>
      <c r="C1736" s="2" t="inlineStr">
        <is>
          <t>esg_fact</t>
        </is>
      </c>
      <c r="D1736" s="3" t="inlineStr">
        <is>
          <t>ESG fact: item (CSRD / VSME status, energy, emissions, taxonomy, permit, incident, labour); value; year; source</t>
        </is>
      </c>
      <c r="E1736" s="2" t="n"/>
      <c r="F1736" s="2" t="n"/>
      <c r="G1736" s="2" t="n"/>
      <c r="H1736" s="3" t="inlineStr">
        <is>
          <t>item: human rights; value: no severe negative human rights incidents reported; Code of Conduct sets zero tolerance for forced and child labour and discrimination; year: 2025; source: Fastned annual report 2025 VSME table C6-C7</t>
        </is>
      </c>
      <c r="I1736" s="2" t="inlineStr">
        <is>
          <t>S3</t>
        </is>
      </c>
      <c r="J1736" s="2" t="n">
        <v>239</v>
      </c>
      <c r="K1736" s="3" t="inlineStr">
        <is>
          <t>The Code of Conduct addresses VSME data points by setting out zero tolerance for forced and child labour, discrimination, and by promoting accident prevention.</t>
        </is>
      </c>
      <c r="L1736" s="2" t="inlineStr">
        <is>
          <t>pend</t>
        </is>
      </c>
      <c r="M1736" s="2" t="n"/>
      <c r="N1736" s="2" t="n"/>
      <c r="O1736" s="3" t="inlineStr">
        <is>
          <t>https://vanillabonds.com/dossier-data/pdf/fastned/fastned-2025-annual-report.pdf#page=239</t>
        </is>
      </c>
    </row>
    <row r="1737">
      <c r="A1737" s="2" t="inlineStr">
        <is>
          <t>F1736</t>
        </is>
      </c>
      <c r="B1737" s="2" t="inlineStr">
        <is>
          <t>compliance</t>
        </is>
      </c>
      <c r="C1737" s="2" t="inlineStr">
        <is>
          <t>esg_fact</t>
        </is>
      </c>
      <c r="D1737" s="3" t="inlineStr">
        <is>
          <t>ESG fact: item (CSRD / VSME status, energy, emissions, taxonomy, permit, incident, labour); value; year; source</t>
        </is>
      </c>
      <c r="E1737" s="2" t="n"/>
      <c r="F1737" s="2" t="n"/>
      <c r="G1737" s="2" t="n"/>
      <c r="H1737" s="3" t="inlineStr">
        <is>
          <t>item: labour; value: all employees paid at or above the applicable national minimum wage or collective bargaining minimum (independent benchmarking tool); year: 2025; source: Fastned annual report 2025 VSME table B10</t>
        </is>
      </c>
      <c r="I1737" s="2" t="inlineStr">
        <is>
          <t>S3</t>
        </is>
      </c>
      <c r="J1737" s="2" t="n">
        <v>239</v>
      </c>
      <c r="K1737" s="3" t="inlineStr">
        <is>
          <t>we use an independent benchmarking tool to ensure that all Fastned employees are paid at or above the applicable national minimum wage</t>
        </is>
      </c>
      <c r="L1737" s="2" t="inlineStr">
        <is>
          <t>pend</t>
        </is>
      </c>
      <c r="M1737" s="2" t="n"/>
      <c r="N1737" s="2" t="n"/>
      <c r="O1737" s="3" t="inlineStr">
        <is>
          <t>https://vanillabonds.com/dossier-data/pdf/fastned/fastned-2025-annual-report.pdf#page=239</t>
        </is>
      </c>
    </row>
    <row r="1738">
      <c r="A1738" s="2" t="inlineStr">
        <is>
          <t>F1737</t>
        </is>
      </c>
      <c r="B1738" s="2" t="inlineStr">
        <is>
          <t>compliance</t>
        </is>
      </c>
      <c r="C1738" s="2" t="inlineStr">
        <is>
          <t>esg_fact</t>
        </is>
      </c>
      <c r="D1738" s="3" t="inlineStr">
        <is>
          <t>ESG fact: item (CSRD / VSME status, energy, emissions, taxonomy, permit, incident, labour); value; year; source</t>
        </is>
      </c>
      <c r="E1738" s="2" t="n"/>
      <c r="F1738" s="2" t="n"/>
      <c r="G1738" s="2" t="n"/>
      <c r="H1738" s="3" t="inlineStr">
        <is>
          <t>item: biodiversity; value: 19 locations in biodiversity sensitive areas (BE 2, CH 2, DE 6, FR 4, NL 5); year: 2025; source: Fastned annual report 2025 biodiversity appendix</t>
        </is>
      </c>
      <c r="I1738" s="2" t="inlineStr">
        <is>
          <t>S3</t>
        </is>
      </c>
      <c r="J1738" s="2" t="n">
        <v>240</v>
      </c>
      <c r="K1738" s="3" t="inlineStr">
        <is>
          <t>The following table lists the 19 Fastned locations that are located in biodiversity sensitive areas.</t>
        </is>
      </c>
      <c r="L1738" s="2" t="inlineStr">
        <is>
          <t>pend</t>
        </is>
      </c>
      <c r="M1738" s="2" t="n"/>
      <c r="N1738" s="2" t="n"/>
      <c r="O1738" s="3" t="inlineStr">
        <is>
          <t>https://vanillabonds.com/dossier-data/pdf/fastned/fastned-2025-annual-report.pdf#page=240</t>
        </is>
      </c>
    </row>
    <row r="1739">
      <c r="A1739" s="2" t="inlineStr">
        <is>
          <t>F1738</t>
        </is>
      </c>
      <c r="B1739" s="2" t="inlineStr">
        <is>
          <t>compliance</t>
        </is>
      </c>
      <c r="C1739" s="2" t="inlineStr">
        <is>
          <t>esg_fact</t>
        </is>
      </c>
      <c r="D1739" s="3" t="inlineStr">
        <is>
          <t>ESG fact: item (CSRD / VSME status, energy, emissions, taxonomy, permit, incident, labour); value; year; source</t>
        </is>
      </c>
      <c r="E1739" s="2" t="n"/>
      <c r="F1739" s="2" t="n"/>
      <c r="G1739" s="2" t="n"/>
      <c r="H1739" s="3" t="inlineStr">
        <is>
          <t>item: biodiversity; value: 14 operating locations within 20 m of a biodiversity sensitive area at end 2025 (2 in Belgium, 12 in the Netherlands); year: 2025; source: Fastned annual report 2025 biodiversity appendix</t>
        </is>
      </c>
      <c r="I1739" s="2" t="inlineStr">
        <is>
          <t>S3</t>
        </is>
      </c>
      <c r="J1739" s="2" t="n">
        <v>241</v>
      </c>
      <c r="K1739" s="3" t="inlineStr">
        <is>
          <t>This table shows all operating Fastned locations (by the end of 2025) that are located near a biodiversity sensitive area.</t>
        </is>
      </c>
      <c r="L1739" s="2" t="inlineStr">
        <is>
          <t>pend</t>
        </is>
      </c>
      <c r="M1739" s="2" t="n"/>
      <c r="N1739" s="2" t="n"/>
      <c r="O1739" s="3" t="inlineStr">
        <is>
          <t>https://vanillabonds.com/dossier-data/pdf/fastned/fastned-2025-annual-report.pdf#page=241</t>
        </is>
      </c>
    </row>
    <row r="1740">
      <c r="A1740" s="2" t="inlineStr">
        <is>
          <t>F1739</t>
        </is>
      </c>
      <c r="B1740" s="2" t="inlineStr">
        <is>
          <t>compliance</t>
        </is>
      </c>
      <c r="C1740" s="2" t="inlineStr">
        <is>
          <t>esg_fact</t>
        </is>
      </c>
      <c r="D1740" s="3" t="inlineStr">
        <is>
          <t>ESG fact: item (CSRD / VSME status, energy, emissions, taxonomy, permit, incident, labour); value; year; source</t>
        </is>
      </c>
      <c r="E1740" s="2" t="n"/>
      <c r="F1740" s="2" t="n"/>
      <c r="G1740" s="2" t="n"/>
      <c r="H1740" s="3" t="inlineStr">
        <is>
          <t>item: GRI status; value: GRI Standards used as guidance only, report not prepared with reference to the GRI Standards; year: 2025; source: Fastned annual report 2025 GRI content index</t>
        </is>
      </c>
      <c r="I1740" s="2" t="inlineStr">
        <is>
          <t>S3</t>
        </is>
      </c>
      <c r="J1740" s="2" t="n">
        <v>242</v>
      </c>
      <c r="K1740" s="3" t="inlineStr">
        <is>
          <t>This report is not prepared with reference to the GRI Standards.</t>
        </is>
      </c>
      <c r="L1740" s="2" t="inlineStr">
        <is>
          <t>pend</t>
        </is>
      </c>
      <c r="M1740" s="2" t="n"/>
      <c r="N1740" s="2" t="n"/>
      <c r="O1740" s="3" t="inlineStr">
        <is>
          <t>https://vanillabonds.com/dossier-data/pdf/fastned/fastned-2025-annual-report.pdf#page=242</t>
        </is>
      </c>
    </row>
    <row r="1741">
      <c r="A1741" s="2" t="inlineStr">
        <is>
          <t>F1740</t>
        </is>
      </c>
      <c r="B1741" s="2" t="inlineStr">
        <is>
          <t>market_data</t>
        </is>
      </c>
      <c r="C1741" s="2" t="inlineStr">
        <is>
          <t>instrument_term</t>
        </is>
      </c>
      <c r="D1741" s="3" t="inlineStr">
        <is>
          <t>Instrument term: term (rate type, base rate, maturity, call, listing, ISIN, denomination, settlement, holders, transfer); value</t>
        </is>
      </c>
      <c r="E1741" s="2" t="n"/>
      <c r="F1741" s="2" t="n"/>
      <c r="G1741" s="2" t="n"/>
      <c r="H1741" s="3" t="inlineStr">
        <is>
          <t>term: rate type; value: fixed 6% per annum, payable quarterly in arrears (2025 bond issues)</t>
        </is>
      </c>
      <c r="I1741" s="2" t="inlineStr">
        <is>
          <t>S3</t>
        </is>
      </c>
      <c r="J1741" s="2" t="n">
        <v>173</v>
      </c>
      <c r="K1741" s="3" t="inlineStr">
        <is>
          <t>Interest on this bond is 6% per annum, payable quarterly in arrears.</t>
        </is>
      </c>
      <c r="L1741" s="2" t="inlineStr">
        <is>
          <t>pend</t>
        </is>
      </c>
      <c r="M1741" s="2" t="n"/>
      <c r="N1741" s="2" t="n"/>
      <c r="O1741" s="3" t="inlineStr">
        <is>
          <t>https://vanillabonds.com/dossier-data/pdf/fastned/fastned-2025-annual-report.pdf#page=173</t>
        </is>
      </c>
    </row>
    <row r="1742">
      <c r="A1742" s="2" t="inlineStr">
        <is>
          <t>F1741</t>
        </is>
      </c>
      <c r="B1742" s="2" t="inlineStr">
        <is>
          <t>market_data</t>
        </is>
      </c>
      <c r="C1742" s="2" t="inlineStr">
        <is>
          <t>instrument_term</t>
        </is>
      </c>
      <c r="D1742" s="3" t="inlineStr">
        <is>
          <t>Instrument term: term (rate type, base rate, maturity, call, listing, ISIN, denomination, settlement, holders, transfer); value</t>
        </is>
      </c>
      <c r="E1742" s="2" t="n"/>
      <c r="F1742" s="2" t="n"/>
      <c r="G1742" s="2" t="n"/>
      <c r="H1742" s="3" t="inlineStr">
        <is>
          <t>term: maturity; value: 5 years from issue</t>
        </is>
      </c>
      <c r="I1742" s="2" t="inlineStr">
        <is>
          <t>S3</t>
        </is>
      </c>
      <c r="J1742" s="2" t="n">
        <v>173</v>
      </c>
      <c r="K1742" s="2" t="inlineStr">
        <is>
          <t>The bonds mature after 5 years.</t>
        </is>
      </c>
      <c r="L1742" s="2" t="inlineStr">
        <is>
          <t>pend</t>
        </is>
      </c>
      <c r="M1742" s="2" t="n"/>
      <c r="N1742" s="2" t="n"/>
      <c r="O1742" s="3" t="inlineStr">
        <is>
          <t>https://vanillabonds.com/dossier-data/pdf/fastned/fastned-2025-annual-report.pdf#page=173</t>
        </is>
      </c>
    </row>
    <row r="1743">
      <c r="A1743" s="2" t="inlineStr">
        <is>
          <t>F1742</t>
        </is>
      </c>
      <c r="B1743" s="2" t="inlineStr">
        <is>
          <t>market_data</t>
        </is>
      </c>
      <c r="C1743" s="2" t="inlineStr">
        <is>
          <t>instrument_term</t>
        </is>
      </c>
      <c r="D1743" s="3" t="inlineStr">
        <is>
          <t>Instrument term: term (rate type, base rate, maturity, call, listing, ISIN, denomination, settlement, holders, transfer); value</t>
        </is>
      </c>
      <c r="E1743" s="2" t="n"/>
      <c r="F1743" s="2" t="n"/>
      <c r="G1743" s="2" t="n"/>
      <c r="H1743" s="3" t="inlineStr">
        <is>
          <t>term: security and covenants; value: no security, no covenants that could require repayment</t>
        </is>
      </c>
      <c r="I1743" s="2" t="inlineStr">
        <is>
          <t>S3</t>
        </is>
      </c>
      <c r="J1743" s="2" t="n">
        <v>173</v>
      </c>
      <c r="K1743" s="3" t="inlineStr">
        <is>
          <t>There are no securities for the bonds and there are no covenants applicable that could require Fastned to repay any of the loans.</t>
        </is>
      </c>
      <c r="L1743" s="2" t="inlineStr">
        <is>
          <t>pend</t>
        </is>
      </c>
      <c r="M1743" s="2" t="n"/>
      <c r="N1743" s="2" t="n"/>
      <c r="O1743" s="3" t="inlineStr">
        <is>
          <t>https://vanillabonds.com/dossier-data/pdf/fastned/fastned-2025-annual-report.pdf#page=173</t>
        </is>
      </c>
    </row>
    <row r="1744">
      <c r="A1744" s="2" t="inlineStr">
        <is>
          <t>F1743</t>
        </is>
      </c>
      <c r="B1744" s="2" t="inlineStr">
        <is>
          <t>market_data</t>
        </is>
      </c>
      <c r="C1744" s="2" t="inlineStr">
        <is>
          <t>instrument_term</t>
        </is>
      </c>
      <c r="D1744" s="3" t="inlineStr">
        <is>
          <t>Instrument term: term (rate type, base rate, maturity, call, listing, ISIN, denomination, settlement, holders, transfer); value</t>
        </is>
      </c>
      <c r="E1744" s="2" t="n"/>
      <c r="F1744" s="2" t="n"/>
      <c r="G1744" s="2" t="n"/>
      <c r="H1744" s="3" t="inlineStr">
        <is>
          <t>term: ranking and listing; value: not subordinated; not registered on any exchange, trading very limited</t>
        </is>
      </c>
      <c r="I1744" s="2" t="inlineStr">
        <is>
          <t>S3</t>
        </is>
      </c>
      <c r="J1744" s="2" t="n">
        <v>173</v>
      </c>
      <c r="K1744" s="3" t="inlineStr">
        <is>
          <t>The bonds are not subordinated and trading is very limited as they are not registered on any exchange.</t>
        </is>
      </c>
      <c r="L1744" s="2" t="inlineStr">
        <is>
          <t>pend</t>
        </is>
      </c>
      <c r="M1744" s="2" t="n"/>
      <c r="N1744" s="2" t="n"/>
      <c r="O1744" s="3" t="inlineStr">
        <is>
          <t>https://vanillabonds.com/dossier-data/pdf/fastned/fastned-2025-annual-report.pdf#page=173</t>
        </is>
      </c>
    </row>
    <row r="1745">
      <c r="A1745" s="2" t="inlineStr">
        <is>
          <t>F1744</t>
        </is>
      </c>
      <c r="B1745" s="2" t="inlineStr">
        <is>
          <t>market_data</t>
        </is>
      </c>
      <c r="C1745" s="2" t="inlineStr">
        <is>
          <t>instrument_term</t>
        </is>
      </c>
      <c r="D1745" s="3" t="inlineStr">
        <is>
          <t>Instrument term: term (rate type, base rate, maturity, call, listing, ISIN, denomination, settlement, holders, transfer); value</t>
        </is>
      </c>
      <c r="E1745" s="2" t="n"/>
      <c r="F1745" s="2" t="n"/>
      <c r="G1745" s="2" t="n"/>
      <c r="H1745" s="3" t="inlineStr">
        <is>
          <t>term: use of proceeds; value: finance new stations and operating expenses</t>
        </is>
      </c>
      <c r="I1745" s="2" t="inlineStr">
        <is>
          <t>S3</t>
        </is>
      </c>
      <c r="J1745" s="2" t="n">
        <v>173</v>
      </c>
      <c r="K1745" s="3" t="inlineStr">
        <is>
          <t>The purpose of the bond is to finance new stations and operating expenses.</t>
        </is>
      </c>
      <c r="L1745" s="2" t="inlineStr">
        <is>
          <t>pend</t>
        </is>
      </c>
      <c r="M1745" s="2" t="n"/>
      <c r="N1745" s="2" t="n"/>
      <c r="O1745" s="3" t="inlineStr">
        <is>
          <t>https://vanillabonds.com/dossier-data/pdf/fastned/fastned-2025-annual-report.pdf#page=173</t>
        </is>
      </c>
    </row>
    <row r="1746">
      <c r="A1746" s="2" t="inlineStr">
        <is>
          <t>F1745</t>
        </is>
      </c>
      <c r="B1746" s="2" t="inlineStr">
        <is>
          <t>market_data</t>
        </is>
      </c>
      <c r="C1746" s="2" t="inlineStr">
        <is>
          <t>instrument_term</t>
        </is>
      </c>
      <c r="D1746" s="3" t="inlineStr">
        <is>
          <t>Instrument term: term (rate type, base rate, maturity, call, listing, ISIN, denomination, settlement, holders, transfer); value</t>
        </is>
      </c>
      <c r="E1746" s="2" t="n"/>
      <c r="F1746" s="2" t="n"/>
      <c r="G1746" s="2" t="n"/>
      <c r="H1746" s="3" t="inlineStr">
        <is>
          <t>term: rate type; value: fixed 6% per annum, payable quarterly in arrears (unsecured bonds issued February 2026)</t>
        </is>
      </c>
      <c r="I1746" s="2" t="inlineStr">
        <is>
          <t>S3</t>
        </is>
      </c>
      <c r="J1746" s="2" t="n">
        <v>195</v>
      </c>
      <c r="K1746" s="3" t="inlineStr">
        <is>
          <t>Interest on this bond is 6% per annum, payable quarterly in arrears.</t>
        </is>
      </c>
      <c r="L1746" s="2" t="inlineStr">
        <is>
          <t>pend</t>
        </is>
      </c>
      <c r="M1746" s="2" t="n"/>
      <c r="N1746" s="2" t="n"/>
      <c r="O1746" s="3" t="inlineStr">
        <is>
          <t>https://vanillabonds.com/dossier-data/pdf/fastned/fastned-2025-annual-report.pdf#page=195</t>
        </is>
      </c>
    </row>
    <row r="1747">
      <c r="A1747" s="2" t="inlineStr">
        <is>
          <t>F1746</t>
        </is>
      </c>
      <c r="B1747" s="2" t="inlineStr">
        <is>
          <t>market_data</t>
        </is>
      </c>
      <c r="C1747" s="2" t="inlineStr">
        <is>
          <t>instrument_term</t>
        </is>
      </c>
      <c r="D1747" s="3" t="inlineStr">
        <is>
          <t>Instrument term: term (rate type, base rate, maturity, call, listing, ISIN, denomination, settlement, holders, transfer); value</t>
        </is>
      </c>
      <c r="E1747" s="2" t="n"/>
      <c r="F1747" s="2" t="n"/>
      <c r="G1747" s="2" t="n"/>
      <c r="H1747" s="3" t="inlineStr">
        <is>
          <t>term: holders; value: retail investors (retail bonds issued in 2024; retail bond transactions a stated stakeholder expectation)</t>
        </is>
      </c>
      <c r="I1747" s="2" t="inlineStr">
        <is>
          <t>S3</t>
        </is>
      </c>
      <c r="J1747" s="2" t="n">
        <v>235</v>
      </c>
      <c r="K1747" s="3" t="inlineStr">
        <is>
          <t>Communications regarding process and structure of retail bonds issued in 2024</t>
        </is>
      </c>
      <c r="L1747" s="2" t="inlineStr">
        <is>
          <t>pend</t>
        </is>
      </c>
      <c r="M1747" s="2" t="n"/>
      <c r="N1747" s="2" t="n"/>
      <c r="O1747" s="3" t="inlineStr">
        <is>
          <t>https://vanillabonds.com/dossier-data/pdf/fastned/fastned-2025-annual-report.pdf#page=235</t>
        </is>
      </c>
    </row>
    <row r="1748">
      <c r="A1748" s="2" t="inlineStr">
        <is>
          <t>F1747</t>
        </is>
      </c>
      <c r="B1748" s="2" t="inlineStr">
        <is>
          <t>identity</t>
        </is>
      </c>
      <c r="C1748" s="2" t="inlineStr">
        <is>
          <t>legal_name</t>
        </is>
      </c>
      <c r="D1748" s="2" t="inlineStr">
        <is>
          <t>Legal name</t>
        </is>
      </c>
      <c r="E1748" s="2" t="n"/>
      <c r="F1748" s="2" t="n"/>
      <c r="G1748" s="2" t="n"/>
      <c r="H1748" s="2" t="inlineStr">
        <is>
          <t>Fastned B.V.</t>
        </is>
      </c>
      <c r="I1748" s="2" t="inlineStr">
        <is>
          <t>S4</t>
        </is>
      </c>
      <c r="J1748" s="2" t="n">
        <v>32</v>
      </c>
      <c r="K1748" s="3" t="inlineStr">
        <is>
          <t>Fastned B.V. is a limited company incorporated and domiciled in the Netherlands</t>
        </is>
      </c>
      <c r="L1748" s="2" t="inlineStr">
        <is>
          <t>pend</t>
        </is>
      </c>
      <c r="M1748" s="2" t="n"/>
      <c r="N1748" s="2" t="n"/>
      <c r="O1748" s="3" t="inlineStr">
        <is>
          <t>https://vanillabonds.com/dossier-data/pdf/fastned/fastned-h1-2026-interim-report.pdf#page=32</t>
        </is>
      </c>
    </row>
    <row r="1749">
      <c r="A1749" s="2" t="inlineStr">
        <is>
          <t>F1748</t>
        </is>
      </c>
      <c r="B1749" s="2" t="inlineStr">
        <is>
          <t>identity</t>
        </is>
      </c>
      <c r="C1749" s="2" t="inlineStr">
        <is>
          <t>legal_form</t>
        </is>
      </c>
      <c r="D1749" s="2" t="inlineStr">
        <is>
          <t>Legal form</t>
        </is>
      </c>
      <c r="E1749" s="2" t="n"/>
      <c r="F1749" s="2" t="n"/>
      <c r="G1749" s="2" t="n"/>
      <c r="H1749" s="2" t="inlineStr">
        <is>
          <t>Dutch B.V. (limited company)</t>
        </is>
      </c>
      <c r="I1749" s="2" t="inlineStr">
        <is>
          <t>S4</t>
        </is>
      </c>
      <c r="J1749" s="2" t="n">
        <v>32</v>
      </c>
      <c r="K1749" s="3" t="inlineStr">
        <is>
          <t>Fastned B.V. is a limited company incorporated and domiciled in the Netherlands</t>
        </is>
      </c>
      <c r="L1749" s="2" t="inlineStr">
        <is>
          <t>pend</t>
        </is>
      </c>
      <c r="M1749" s="2" t="n"/>
      <c r="N1749" s="2" t="n"/>
      <c r="O1749" s="3" t="inlineStr">
        <is>
          <t>https://vanillabonds.com/dossier-data/pdf/fastned/fastned-h1-2026-interim-report.pdf#page=32</t>
        </is>
      </c>
    </row>
    <row r="1750">
      <c r="A1750" s="2" t="inlineStr">
        <is>
          <t>F1749</t>
        </is>
      </c>
      <c r="B1750" s="2" t="inlineStr">
        <is>
          <t>identity</t>
        </is>
      </c>
      <c r="C1750" s="2" t="inlineStr">
        <is>
          <t>registry</t>
        </is>
      </c>
      <c r="D1750" s="2" t="inlineStr">
        <is>
          <t>Commercial register / registration no.</t>
        </is>
      </c>
      <c r="E1750" s="2" t="n"/>
      <c r="F1750" s="2" t="n"/>
      <c r="G1750" s="2" t="n"/>
      <c r="H1750" s="2" t="inlineStr">
        <is>
          <t>KvK 54606179</t>
        </is>
      </c>
      <c r="I1750" s="2" t="inlineStr">
        <is>
          <t>S4</t>
        </is>
      </c>
      <c r="J1750" s="2" t="n">
        <v>32</v>
      </c>
      <c r="K1750" s="2" t="inlineStr">
        <is>
          <t>(KvK no. 54606179)</t>
        </is>
      </c>
      <c r="L1750" s="2" t="inlineStr">
        <is>
          <t>pend</t>
        </is>
      </c>
      <c r="M1750" s="2" t="n"/>
      <c r="N1750" s="2" t="n"/>
      <c r="O1750" s="3" t="inlineStr">
        <is>
          <t>https://vanillabonds.com/dossier-data/pdf/fastned/fastned-h1-2026-interim-report.pdf#page=32</t>
        </is>
      </c>
    </row>
    <row r="1751">
      <c r="A1751" s="2" t="inlineStr">
        <is>
          <t>F1750</t>
        </is>
      </c>
      <c r="B1751" s="2" t="inlineStr">
        <is>
          <t>identity</t>
        </is>
      </c>
      <c r="C1751" s="2" t="inlineStr">
        <is>
          <t>founded</t>
        </is>
      </c>
      <c r="D1751" s="2" t="inlineStr">
        <is>
          <t>Founded</t>
        </is>
      </c>
      <c r="E1751" s="2" t="n"/>
      <c r="F1751" s="2" t="n"/>
      <c r="G1751" s="2" t="n"/>
      <c r="H1751" s="2" t="inlineStr">
        <is>
          <t>2012</t>
        </is>
      </c>
      <c r="I1751" s="2" t="inlineStr">
        <is>
          <t>S4</t>
        </is>
      </c>
      <c r="J1751" s="2" t="n">
        <v>5</v>
      </c>
      <c r="K1751" s="3" t="inlineStr">
        <is>
          <t>When Fastned was founded in 2012, we were often seen as an</t>
        </is>
      </c>
      <c r="L1751" s="2" t="inlineStr">
        <is>
          <t>pend</t>
        </is>
      </c>
      <c r="M1751" s="2" t="n"/>
      <c r="N1751" s="2" t="n"/>
      <c r="O1751" s="3" t="inlineStr">
        <is>
          <t>https://vanillabonds.com/dossier-data/pdf/fastned/fastned-h1-2026-interim-report.pdf#page=5</t>
        </is>
      </c>
    </row>
    <row r="1752">
      <c r="A1752" s="2" t="inlineStr">
        <is>
          <t>F1751</t>
        </is>
      </c>
      <c r="B1752" s="2" t="inlineStr">
        <is>
          <t>identity</t>
        </is>
      </c>
      <c r="C1752" s="2" t="inlineStr">
        <is>
          <t>registered_office</t>
        </is>
      </c>
      <c r="D1752" s="2" t="inlineStr">
        <is>
          <t>Registered office</t>
        </is>
      </c>
      <c r="E1752" s="2" t="n"/>
      <c r="F1752" s="2" t="n"/>
      <c r="G1752" s="2" t="n"/>
      <c r="H1752" s="3" t="inlineStr">
        <is>
          <t>Mondriaantoren, Amstelplein 44, Amsterdam</t>
        </is>
      </c>
      <c r="I1752" s="2" t="inlineStr">
        <is>
          <t>S4</t>
        </is>
      </c>
      <c r="J1752" s="2" t="n">
        <v>32</v>
      </c>
      <c r="K1752" s="3" t="inlineStr">
        <is>
          <t>The registered office is located at Mondriaantoren, Amstelplein 44 in Amsterdam.</t>
        </is>
      </c>
      <c r="L1752" s="2" t="inlineStr">
        <is>
          <t>pend</t>
        </is>
      </c>
      <c r="M1752" s="2" t="n"/>
      <c r="N1752" s="2" t="n"/>
      <c r="O1752" s="3" t="inlineStr">
        <is>
          <t>https://vanillabonds.com/dossier-data/pdf/fastned/fastned-h1-2026-interim-report.pdf#page=32</t>
        </is>
      </c>
    </row>
    <row r="1753">
      <c r="A1753" s="2" t="inlineStr">
        <is>
          <t>F1752</t>
        </is>
      </c>
      <c r="B1753" s="2" t="inlineStr">
        <is>
          <t>identity</t>
        </is>
      </c>
      <c r="C1753" s="2" t="inlineStr">
        <is>
          <t>country</t>
        </is>
      </c>
      <c r="D1753" s="2" t="inlineStr">
        <is>
          <t>Country of incorporation (ISO-2)</t>
        </is>
      </c>
      <c r="E1753" s="2" t="n"/>
      <c r="F1753" s="2" t="n"/>
      <c r="G1753" s="2" t="n"/>
      <c r="H1753" s="2" t="inlineStr">
        <is>
          <t>NL</t>
        </is>
      </c>
      <c r="I1753" s="2" t="inlineStr">
        <is>
          <t>S4</t>
        </is>
      </c>
      <c r="J1753" s="2" t="n">
        <v>32</v>
      </c>
      <c r="K1753" s="3" t="inlineStr">
        <is>
          <t>incorporated and domiciled in the Netherlands</t>
        </is>
      </c>
      <c r="L1753" s="2" t="inlineStr">
        <is>
          <t>pend</t>
        </is>
      </c>
      <c r="M1753" s="2" t="n"/>
      <c r="N1753" s="2" t="n"/>
      <c r="O1753" s="3" t="inlineStr">
        <is>
          <t>https://vanillabonds.com/dossier-data/pdf/fastned/fastned-h1-2026-interim-report.pdf#page=32</t>
        </is>
      </c>
    </row>
    <row r="1754">
      <c r="A1754" s="2" t="inlineStr">
        <is>
          <t>F1753</t>
        </is>
      </c>
      <c r="B1754" s="2" t="inlineStr">
        <is>
          <t>identity</t>
        </is>
      </c>
      <c r="C1754" s="2" t="inlineStr">
        <is>
          <t>sector</t>
        </is>
      </c>
      <c r="D1754" s="2" t="inlineStr">
        <is>
          <t>Sector</t>
        </is>
      </c>
      <c r="E1754" s="2" t="n"/>
      <c r="F1754" s="2" t="n"/>
      <c r="G1754" s="2" t="n"/>
      <c r="H1754" s="3" t="inlineStr">
        <is>
          <t>Fast charging facilities for electric cars</t>
        </is>
      </c>
      <c r="I1754" s="2" t="inlineStr">
        <is>
          <t>S4</t>
        </is>
      </c>
      <c r="J1754" s="2" t="n">
        <v>32</v>
      </c>
      <c r="K1754" s="3" t="inlineStr">
        <is>
          <t>consists of the exploitation of fast charging facilities for fully electric cars and hybrid cars.</t>
        </is>
      </c>
      <c r="L1754" s="2" t="inlineStr">
        <is>
          <t>pend</t>
        </is>
      </c>
      <c r="M1754" s="2" t="n"/>
      <c r="N1754" s="2" t="n"/>
      <c r="O1754" s="3" t="inlineStr">
        <is>
          <t>https://vanillabonds.com/dossier-data/pdf/fastned/fastned-h1-2026-interim-report.pdf#page=32</t>
        </is>
      </c>
    </row>
    <row r="1755">
      <c r="A1755" s="2" t="inlineStr">
        <is>
          <t>F1754</t>
        </is>
      </c>
      <c r="B1755" s="2" t="inlineStr">
        <is>
          <t>identity</t>
        </is>
      </c>
      <c r="C1755" s="2" t="inlineStr">
        <is>
          <t>sites</t>
        </is>
      </c>
      <c r="D1755" s="2" t="inlineStr">
        <is>
          <t>Sites / countries of operation</t>
        </is>
      </c>
      <c r="E1755" s="2" t="n"/>
      <c r="F1755" s="2" t="n"/>
      <c r="G1755" s="2" t="n"/>
      <c r="H1755" s="3" t="inlineStr">
        <is>
          <t>434 stations in 9 countries at 30 June 2026</t>
        </is>
      </c>
      <c r="I1755" s="2" t="inlineStr">
        <is>
          <t>S4</t>
        </is>
      </c>
      <c r="J1755" s="2" t="n">
        <v>39</v>
      </c>
      <c r="K1755" s="3" t="inlineStr">
        <is>
          <t>As at 30 June 2026, Fastned had 184 stations operational in the Netherlands, 66 in Germany, 62 in France, 55 in Belgium, 39 in the UK, 16 in Switzerland, 7 in Denmark, 3 in Italy and 2 in Spain.</t>
        </is>
      </c>
      <c r="L1755" s="2" t="inlineStr">
        <is>
          <t>pend</t>
        </is>
      </c>
      <c r="M1755" s="2" t="n"/>
      <c r="N1755" s="2" t="n"/>
      <c r="O1755" s="3" t="inlineStr">
        <is>
          <t>https://vanillabonds.com/dossier-data/pdf/fastned/fastned-h1-2026-interim-report.pdf#page=39</t>
        </is>
      </c>
    </row>
    <row r="1756">
      <c r="A1756" s="2" t="inlineStr">
        <is>
          <t>F1755</t>
        </is>
      </c>
      <c r="B1756" s="2" t="inlineStr">
        <is>
          <t>identity</t>
        </is>
      </c>
      <c r="C1756" s="2" t="inlineStr">
        <is>
          <t>sites</t>
        </is>
      </c>
      <c r="D1756" s="2" t="inlineStr">
        <is>
          <t>Sites / countries of operation</t>
        </is>
      </c>
      <c r="E1756" s="2" t="n"/>
      <c r="F1756" s="2" t="n"/>
      <c r="G1756" s="2" t="n"/>
      <c r="H1756" s="2" t="inlineStr">
        <is>
          <t>Group operates in ten countries</t>
        </is>
      </c>
      <c r="I1756" s="2" t="inlineStr">
        <is>
          <t>S4</t>
        </is>
      </c>
      <c r="J1756" s="2" t="n">
        <v>39</v>
      </c>
      <c r="K1756" s="2" t="inlineStr">
        <is>
          <t>The Group operates in ten countries.</t>
        </is>
      </c>
      <c r="L1756" s="2" t="inlineStr">
        <is>
          <t>pend</t>
        </is>
      </c>
      <c r="M1756" s="2" t="n"/>
      <c r="N1756" s="2" t="n"/>
      <c r="O1756" s="3" t="inlineStr">
        <is>
          <t>https://vanillabonds.com/dossier-data/pdf/fastned/fastned-h1-2026-interim-report.pdf#page=39</t>
        </is>
      </c>
    </row>
    <row r="1757">
      <c r="A1757" s="2" t="inlineStr">
        <is>
          <t>F1756</t>
        </is>
      </c>
      <c r="B1757" s="2" t="inlineStr">
        <is>
          <t>identity</t>
        </is>
      </c>
      <c r="C1757" s="2" t="inlineStr">
        <is>
          <t>employees</t>
        </is>
      </c>
      <c r="D1757" s="2" t="inlineStr">
        <is>
          <t>Employees (FTE, period end)</t>
        </is>
      </c>
      <c r="E1757" s="2" t="inlineStr">
        <is>
          <t>H1-2025</t>
        </is>
      </c>
      <c r="F1757" s="2" t="n">
        <v>354</v>
      </c>
      <c r="G1757" s="2" t="n"/>
      <c r="H1757" s="3" t="inlineStr">
        <is>
          <t>Average number of employees in H1 2025 (not period-end FTE)</t>
        </is>
      </c>
      <c r="I1757" s="2" t="inlineStr">
        <is>
          <t>S4</t>
        </is>
      </c>
      <c r="J1757" s="2" t="n">
        <v>39</v>
      </c>
      <c r="K1757" s="3" t="inlineStr">
        <is>
          <t>In the first half of 2026 the average number of employees of the Group was 432, while in the first half of 2025 the average number was 354.</t>
        </is>
      </c>
      <c r="L1757" s="2" t="inlineStr">
        <is>
          <t>pend</t>
        </is>
      </c>
      <c r="M1757" s="2" t="n"/>
      <c r="N1757" s="2" t="n"/>
      <c r="O1757" s="3" t="inlineStr">
        <is>
          <t>https://vanillabonds.com/dossier-data/pdf/fastned/fastned-h1-2026-interim-report.pdf#page=39</t>
        </is>
      </c>
    </row>
    <row r="1758">
      <c r="A1758" s="2" t="inlineStr">
        <is>
          <t>F1757</t>
        </is>
      </c>
      <c r="B1758" s="2" t="inlineStr">
        <is>
          <t>identity</t>
        </is>
      </c>
      <c r="C1758" s="2" t="inlineStr">
        <is>
          <t>employees</t>
        </is>
      </c>
      <c r="D1758" s="2" t="inlineStr">
        <is>
          <t>Employees (FTE, period end)</t>
        </is>
      </c>
      <c r="E1758" s="2" t="inlineStr">
        <is>
          <t>H1-2026</t>
        </is>
      </c>
      <c r="F1758" s="2" t="n">
        <v>432</v>
      </c>
      <c r="G1758" s="2" t="n"/>
      <c r="H1758" s="3" t="inlineStr">
        <is>
          <t>Average number of employees in H1 2026 (not period-end FTE)</t>
        </is>
      </c>
      <c r="I1758" s="2" t="inlineStr">
        <is>
          <t>S4</t>
        </is>
      </c>
      <c r="J1758" s="2" t="n">
        <v>39</v>
      </c>
      <c r="K1758" s="3" t="inlineStr">
        <is>
          <t>In the first half of 2026 the average number of employees of the Group was 432, while in the first half of 2025 the average number was 354.</t>
        </is>
      </c>
      <c r="L1758" s="2" t="inlineStr">
        <is>
          <t>pend</t>
        </is>
      </c>
      <c r="M1758" s="2" t="n"/>
      <c r="N1758" s="2" t="n"/>
      <c r="O1758" s="3" t="inlineStr">
        <is>
          <t>https://vanillabonds.com/dossier-data/pdf/fastned/fastned-h1-2026-interim-report.pdf#page=39</t>
        </is>
      </c>
    </row>
    <row r="1759">
      <c r="A1759" s="2" t="inlineStr">
        <is>
          <t>F1758</t>
        </is>
      </c>
      <c r="B1759" s="2" t="inlineStr">
        <is>
          <t>identity</t>
        </is>
      </c>
      <c r="C1759" s="2" t="inlineStr">
        <is>
          <t>ownership</t>
        </is>
      </c>
      <c r="D1759" s="2" t="inlineStr">
        <is>
          <t>Ownership / UBO</t>
        </is>
      </c>
      <c r="E1759" s="2" t="n"/>
      <c r="F1759" s="2" t="n"/>
      <c r="G1759" s="2" t="n"/>
      <c r="H1759" s="3" t="inlineStr">
        <is>
          <t>Ultimate parent FAST Foundation (certificate holders)</t>
        </is>
      </c>
      <c r="I1759" s="2" t="inlineStr">
        <is>
          <t>S4</t>
        </is>
      </c>
      <c r="J1759" s="2" t="n">
        <v>32</v>
      </c>
      <c r="K1759" s="3" t="inlineStr">
        <is>
          <t>The ultimate parent of the Group is the FAST Foundation.</t>
        </is>
      </c>
      <c r="L1759" s="2" t="inlineStr">
        <is>
          <t>pend</t>
        </is>
      </c>
      <c r="M1759" s="2" t="n"/>
      <c r="N1759" s="2" t="n"/>
      <c r="O1759" s="3" t="inlineStr">
        <is>
          <t>https://vanillabonds.com/dossier-data/pdf/fastned/fastned-h1-2026-interim-report.pdf#page=32</t>
        </is>
      </c>
    </row>
    <row r="1760">
      <c r="A1760" s="2" t="inlineStr">
        <is>
          <t>F1759</t>
        </is>
      </c>
      <c r="B1760" s="2" t="inlineStr">
        <is>
          <t>identity</t>
        </is>
      </c>
      <c r="C1760" s="2" t="inlineStr">
        <is>
          <t>listing</t>
        </is>
      </c>
      <c r="D1760" s="2" t="inlineStr">
        <is>
          <t>Listings (equity, bonds)</t>
        </is>
      </c>
      <c r="E1760" s="2" t="n"/>
      <c r="F1760" s="2" t="n"/>
      <c r="G1760" s="2" t="n"/>
      <c r="H1760" s="3" t="inlineStr">
        <is>
          <t>Certificates listed Euronext Amsterdam (AMS: FAST)</t>
        </is>
      </c>
      <c r="I1760" s="2" t="inlineStr">
        <is>
          <t>S4</t>
        </is>
      </c>
      <c r="J1760" s="2" t="n">
        <v>51</v>
      </c>
      <c r="K1760" s="3" t="inlineStr">
        <is>
          <t>Fastned is listed at Euronext Amsterdam (AMS: FAST).</t>
        </is>
      </c>
      <c r="L1760" s="2" t="inlineStr">
        <is>
          <t>pend</t>
        </is>
      </c>
      <c r="M1760" s="2" t="n"/>
      <c r="N1760" s="2" t="n"/>
      <c r="O1760" s="3" t="inlineStr">
        <is>
          <t>https://vanillabonds.com/dossier-data/pdf/fastned/fastned-h1-2026-interim-report.pdf#page=51</t>
        </is>
      </c>
    </row>
    <row r="1761">
      <c r="A1761" s="2" t="inlineStr">
        <is>
          <t>F1760</t>
        </is>
      </c>
      <c r="B1761" s="2" t="inlineStr">
        <is>
          <t>identity</t>
        </is>
      </c>
      <c r="C1761" s="2" t="inlineStr">
        <is>
          <t>audit_opinion</t>
        </is>
      </c>
      <c r="D1761" s="2" t="inlineStr">
        <is>
          <t>Audit opinion</t>
        </is>
      </c>
      <c r="E1761" s="2" t="inlineStr">
        <is>
          <t>H1-2026</t>
        </is>
      </c>
      <c r="F1761" s="2" t="n"/>
      <c r="G1761" s="2" t="n"/>
      <c r="H1761" s="3" t="inlineStr">
        <is>
          <t>Condensed interim statements unaudited; 31 December 2025 figures audited</t>
        </is>
      </c>
      <c r="I1761" s="2" t="inlineStr">
        <is>
          <t>S4</t>
        </is>
      </c>
      <c r="J1761" s="2" t="n">
        <v>27</v>
      </c>
      <c r="K1761" s="2" t="inlineStr">
        <is>
          <t>4 31 December 2025 figures audited.</t>
        </is>
      </c>
      <c r="L1761" s="2" t="inlineStr">
        <is>
          <t>pend</t>
        </is>
      </c>
      <c r="M1761" s="2" t="n"/>
      <c r="N1761" s="2" t="n"/>
      <c r="O1761" s="3" t="inlineStr">
        <is>
          <t>https://vanillabonds.com/dossier-data/pdf/fastned/fastned-h1-2026-interim-report.pdf#page=27</t>
        </is>
      </c>
    </row>
    <row r="1762">
      <c r="A1762" s="2" t="inlineStr">
        <is>
          <t>F1761</t>
        </is>
      </c>
      <c r="B1762" s="2" t="inlineStr">
        <is>
          <t>identity</t>
        </is>
      </c>
      <c r="C1762" s="2" t="inlineStr">
        <is>
          <t>accounting_standard</t>
        </is>
      </c>
      <c r="D1762" s="2" t="inlineStr">
        <is>
          <t>Accounting standard</t>
        </is>
      </c>
      <c r="E1762" s="2" t="n"/>
      <c r="F1762" s="2" t="n"/>
      <c r="G1762" s="2" t="n"/>
      <c r="H1762" s="3" t="inlineStr">
        <is>
          <t>IFRS as adopted by the EU (IAS 34 interim)</t>
        </is>
      </c>
      <c r="I1762" s="2" t="inlineStr">
        <is>
          <t>S4</t>
        </is>
      </c>
      <c r="J1762" s="2" t="n">
        <v>32</v>
      </c>
      <c r="K1762" s="3" t="inlineStr">
        <is>
          <t>prepared in accordance with IAS 34, Interim Financial Reporting of the International Financial Reporting Standards (IFRS) as adopted by the European Union (EU).</t>
        </is>
      </c>
      <c r="L1762" s="2" t="inlineStr">
        <is>
          <t>pend</t>
        </is>
      </c>
      <c r="M1762" s="2" t="n"/>
      <c r="N1762" s="2" t="n"/>
      <c r="O1762" s="3" t="inlineStr">
        <is>
          <t>https://vanillabonds.com/dossier-data/pdf/fastned/fastned-h1-2026-interim-report.pdf#page=32</t>
        </is>
      </c>
    </row>
    <row r="1763">
      <c r="A1763" s="2" t="inlineStr">
        <is>
          <t>F1762</t>
        </is>
      </c>
      <c r="B1763" s="2" t="inlineStr">
        <is>
          <t>identity</t>
        </is>
      </c>
      <c r="C1763" s="2" t="inlineStr">
        <is>
          <t>fiscal_year_end</t>
        </is>
      </c>
      <c r="D1763" s="2" t="inlineStr">
        <is>
          <t>Fiscal year end</t>
        </is>
      </c>
      <c r="E1763" s="2" t="n"/>
      <c r="F1763" s="2" t="n"/>
      <c r="G1763" s="2" t="n"/>
      <c r="H1763" s="2" t="inlineStr">
        <is>
          <t>31 December</t>
        </is>
      </c>
      <c r="I1763" s="2" t="inlineStr">
        <is>
          <t>S4</t>
        </is>
      </c>
      <c r="J1763" s="2" t="n">
        <v>33</v>
      </c>
      <c r="K1763" s="3" t="inlineStr">
        <is>
          <t>annual financial statements as at 31 December 2025</t>
        </is>
      </c>
      <c r="L1763" s="2" t="inlineStr">
        <is>
          <t>pend</t>
        </is>
      </c>
      <c r="M1763" s="2" t="n"/>
      <c r="N1763" s="2" t="n"/>
      <c r="O1763" s="3" t="inlineStr">
        <is>
          <t>https://vanillabonds.com/dossier-data/pdf/fastned/fastned-h1-2026-interim-report.pdf#page=33</t>
        </is>
      </c>
    </row>
    <row r="1764">
      <c r="A1764" s="2" t="inlineStr">
        <is>
          <t>F1763</t>
        </is>
      </c>
      <c r="B1764" s="2" t="inlineStr">
        <is>
          <t>business</t>
        </is>
      </c>
      <c r="C1764" s="2" t="inlineStr">
        <is>
          <t>business_fact</t>
        </is>
      </c>
      <c r="D1764" s="2" t="inlineStr">
        <is>
          <t>Business fact</t>
        </is>
      </c>
      <c r="E1764" s="2" t="n"/>
      <c r="F1764" s="2" t="n"/>
      <c r="G1764" s="2" t="n"/>
      <c r="H1764" s="3" t="inlineStr">
        <is>
          <t>723 secured locations at end H1 2026: 434 operational plus 289 secured for future development.</t>
        </is>
      </c>
      <c r="I1764" s="2" t="inlineStr">
        <is>
          <t>S4</t>
        </is>
      </c>
      <c r="J1764" s="2" t="n">
        <v>3</v>
      </c>
      <c r="K1764" s="3" t="inlineStr">
        <is>
          <t>*Figure comprises 434 locations with stations currently operational at end of H1 2026 and 289 locations which have been secured for future development</t>
        </is>
      </c>
      <c r="L1764" s="2" t="inlineStr">
        <is>
          <t>pend</t>
        </is>
      </c>
      <c r="M1764" s="2" t="n"/>
      <c r="N1764" s="2" t="n"/>
      <c r="O1764" s="3" t="inlineStr">
        <is>
          <t>https://vanillabonds.com/dossier-data/pdf/fastned/fastned-h1-2026-interim-report.pdf#page=3</t>
        </is>
      </c>
    </row>
    <row r="1765">
      <c r="A1765" s="2" t="inlineStr">
        <is>
          <t>F1764</t>
        </is>
      </c>
      <c r="B1765" s="2" t="inlineStr">
        <is>
          <t>business</t>
        </is>
      </c>
      <c r="C1765" s="2" t="inlineStr">
        <is>
          <t>business_fact</t>
        </is>
      </c>
      <c r="D1765" s="2" t="inlineStr">
        <is>
          <t>Business fact</t>
        </is>
      </c>
      <c r="E1765" s="2" t="n"/>
      <c r="F1765" s="2" t="n"/>
      <c r="G1765" s="2" t="n"/>
      <c r="H1765" s="3" t="inlineStr">
        <is>
          <t>2,826 chargers at end H1 2026, +197 year to date (vs +160 in H1 2025).</t>
        </is>
      </c>
      <c r="I1765" s="2" t="inlineStr">
        <is>
          <t>S4</t>
        </is>
      </c>
      <c r="J1765" s="2" t="n">
        <v>4</v>
      </c>
      <c r="K1765" s="2" t="inlineStr">
        <is>
          <t>2,826</t>
        </is>
      </c>
      <c r="L1765" s="2" t="inlineStr">
        <is>
          <t>pend</t>
        </is>
      </c>
      <c r="M1765" s="2" t="n"/>
      <c r="N1765" s="2" t="n"/>
      <c r="O1765" s="3" t="inlineStr">
        <is>
          <t>https://vanillabonds.com/dossier-data/pdf/fastned/fastned-h1-2026-interim-report.pdf#page=4</t>
        </is>
      </c>
    </row>
    <row r="1766">
      <c r="A1766" s="2" t="inlineStr">
        <is>
          <t>F1765</t>
        </is>
      </c>
      <c r="B1766" s="2" t="inlineStr">
        <is>
          <t>business</t>
        </is>
      </c>
      <c r="C1766" s="2" t="inlineStr">
        <is>
          <t>business_fact</t>
        </is>
      </c>
      <c r="D1766" s="2" t="inlineStr">
        <is>
          <t>Business fact</t>
        </is>
      </c>
      <c r="E1766" s="2" t="n"/>
      <c r="F1766" s="2" t="n"/>
      <c r="G1766" s="2" t="n"/>
      <c r="H1766" s="3" t="inlineStr">
        <is>
          <t>Energy sold 112.3 GWh in H1 2026, +38% vs H1 2025.</t>
        </is>
      </c>
      <c r="I1766" s="2" t="inlineStr">
        <is>
          <t>S4</t>
        </is>
      </c>
      <c r="J1766" s="2" t="n">
        <v>4</v>
      </c>
      <c r="K1766" s="2" t="inlineStr">
        <is>
          <t>112.3 GWh</t>
        </is>
      </c>
      <c r="L1766" s="2" t="inlineStr">
        <is>
          <t>pend</t>
        </is>
      </c>
      <c r="M1766" s="2" t="n"/>
      <c r="N1766" s="2" t="n"/>
      <c r="O1766" s="3" t="inlineStr">
        <is>
          <t>https://vanillabonds.com/dossier-data/pdf/fastned/fastned-h1-2026-interim-report.pdf#page=4</t>
        </is>
      </c>
    </row>
    <row r="1767">
      <c r="A1767" s="2" t="inlineStr">
        <is>
          <t>F1766</t>
        </is>
      </c>
      <c r="B1767" s="2" t="inlineStr">
        <is>
          <t>business</t>
        </is>
      </c>
      <c r="C1767" s="2" t="inlineStr">
        <is>
          <t>business_fact</t>
        </is>
      </c>
      <c r="D1767" s="2" t="inlineStr">
        <is>
          <t>Business fact</t>
        </is>
      </c>
      <c r="E1767" s="2" t="n"/>
      <c r="F1767" s="2" t="n"/>
      <c r="G1767" s="2" t="n"/>
      <c r="H1767" s="3" t="inlineStr">
        <is>
          <t>4.1 million charging sessions in H1 2026, +34% vs H1 2025.</t>
        </is>
      </c>
      <c r="I1767" s="2" t="inlineStr">
        <is>
          <t>S4</t>
        </is>
      </c>
      <c r="J1767" s="2" t="n">
        <v>4</v>
      </c>
      <c r="K1767" s="2" t="inlineStr">
        <is>
          <t>4.1 million</t>
        </is>
      </c>
      <c r="L1767" s="2" t="inlineStr">
        <is>
          <t>pend</t>
        </is>
      </c>
      <c r="M1767" s="2" t="n"/>
      <c r="N1767" s="2" t="n"/>
      <c r="O1767" s="3" t="inlineStr">
        <is>
          <t>https://vanillabonds.com/dossier-data/pdf/fastned/fastned-h1-2026-interim-report.pdf#page=4</t>
        </is>
      </c>
    </row>
    <row r="1768">
      <c r="A1768" s="2" t="inlineStr">
        <is>
          <t>F1767</t>
        </is>
      </c>
      <c r="B1768" s="2" t="inlineStr">
        <is>
          <t>business</t>
        </is>
      </c>
      <c r="C1768" s="2" t="inlineStr">
        <is>
          <t>business_fact</t>
        </is>
      </c>
      <c r="D1768" s="2" t="inlineStr">
        <is>
          <t>Business fact</t>
        </is>
      </c>
      <c r="E1768" s="2" t="n"/>
      <c r="F1768" s="2" t="n"/>
      <c r="G1768" s="2" t="n"/>
      <c r="H1768" s="3" t="inlineStr">
        <is>
          <t>CEO Michiel Langezaal is President of ChargeUp Europe, the sector organisation in Brussels.</t>
        </is>
      </c>
      <c r="I1768" s="2" t="inlineStr">
        <is>
          <t>S4</t>
        </is>
      </c>
      <c r="J1768" s="2" t="n">
        <v>6</v>
      </c>
      <c r="K1768" s="3" t="inlineStr">
        <is>
          <t>my role as President of ChargeUp Europe, the sector organisation</t>
        </is>
      </c>
      <c r="L1768" s="2" t="inlineStr">
        <is>
          <t>pend</t>
        </is>
      </c>
      <c r="M1768" s="2" t="n"/>
      <c r="N1768" s="2" t="n"/>
      <c r="O1768" s="3" t="inlineStr">
        <is>
          <t>https://vanillabonds.com/dossier-data/pdf/fastned/fastned-h1-2026-interim-report.pdf#page=6</t>
        </is>
      </c>
    </row>
    <row r="1769">
      <c r="A1769" s="2" t="inlineStr">
        <is>
          <t>F1768</t>
        </is>
      </c>
      <c r="B1769" s="2" t="inlineStr">
        <is>
          <t>business</t>
        </is>
      </c>
      <c r="C1769" s="2" t="inlineStr">
        <is>
          <t>business_fact</t>
        </is>
      </c>
      <c r="D1769" s="2" t="inlineStr">
        <is>
          <t>Business fact</t>
        </is>
      </c>
      <c r="E1769" s="2" t="n"/>
      <c r="F1769" s="2" t="n"/>
      <c r="G1769" s="2" t="n"/>
      <c r="H1769" s="3" t="inlineStr">
        <is>
          <t>Network of 434 operational stations across nine countries at 30 June 2026 after 28 openings in H1 2026, a 65% increase on H1 2025.</t>
        </is>
      </c>
      <c r="I1769" s="2" t="inlineStr">
        <is>
          <t>S4</t>
        </is>
      </c>
      <c r="J1769" s="2" t="n">
        <v>8</v>
      </c>
      <c r="K1769" s="3" t="inlineStr">
        <is>
          <t>Fastned opened 28 new stations in the first half of 2026: a 65% increase in new openings versus H1 2025</t>
        </is>
      </c>
      <c r="L1769" s="2" t="inlineStr">
        <is>
          <t>pend</t>
        </is>
      </c>
      <c r="M1769" s="2" t="n"/>
      <c r="N1769" s="2" t="n"/>
      <c r="O1769" s="3" t="inlineStr">
        <is>
          <t>https://vanillabonds.com/dossier-data/pdf/fastned/fastned-h1-2026-interim-report.pdf#page=8</t>
        </is>
      </c>
    </row>
    <row r="1770">
      <c r="A1770" s="2" t="inlineStr">
        <is>
          <t>F1769</t>
        </is>
      </c>
      <c r="B1770" s="2" t="inlineStr">
        <is>
          <t>business</t>
        </is>
      </c>
      <c r="C1770" s="2" t="inlineStr">
        <is>
          <t>business_fact</t>
        </is>
      </c>
      <c r="D1770" s="2" t="inlineStr">
        <is>
          <t>Business fact</t>
        </is>
      </c>
      <c r="E1770" s="2" t="n"/>
      <c r="F1770" s="2" t="n"/>
      <c r="G1770" s="2" t="n"/>
      <c r="H1770" s="3" t="inlineStr">
        <is>
          <t>A further 8 stations opened between 30 June 2026 and the publication date of the interim report.</t>
        </is>
      </c>
      <c r="I1770" s="2" t="inlineStr">
        <is>
          <t>S4</t>
        </is>
      </c>
      <c r="J1770" s="2" t="n">
        <v>8</v>
      </c>
      <c r="K1770" s="3" t="inlineStr">
        <is>
          <t>An additional 8 stations were opened between the end of H1 and the publication date of this Interim Report.</t>
        </is>
      </c>
      <c r="L1770" s="2" t="inlineStr">
        <is>
          <t>pend</t>
        </is>
      </c>
      <c r="M1770" s="2" t="n"/>
      <c r="N1770" s="2" t="n"/>
      <c r="O1770" s="3" t="inlineStr">
        <is>
          <t>https://vanillabonds.com/dossier-data/pdf/fastned/fastned-h1-2026-interim-report.pdf#page=8</t>
        </is>
      </c>
    </row>
    <row r="1771">
      <c r="A1771" s="2" t="inlineStr">
        <is>
          <t>F1770</t>
        </is>
      </c>
      <c r="B1771" s="2" t="inlineStr">
        <is>
          <t>business</t>
        </is>
      </c>
      <c r="C1771" s="2" t="inlineStr">
        <is>
          <t>business_fact</t>
        </is>
      </c>
      <c r="D1771" s="2" t="inlineStr">
        <is>
          <t>Business fact</t>
        </is>
      </c>
      <c r="E1771" s="2" t="n"/>
      <c r="F1771" s="2" t="n"/>
      <c r="G1771" s="2" t="n"/>
      <c r="H1771" s="3" t="inlineStr">
        <is>
          <t>Germany reached 60 operational stations in Q2 2026 with 12 openings in the quarter under the Deutschlandnetz commitments.</t>
        </is>
      </c>
      <c r="I1771" s="2" t="inlineStr">
        <is>
          <t>S4</t>
        </is>
      </c>
      <c r="J1771" s="2" t="n">
        <v>8</v>
      </c>
      <c r="K1771" s="3" t="inlineStr">
        <is>
          <t>We reached our '60 station' milestone during Q2, with 12 new stations opening in the quarter alone</t>
        </is>
      </c>
      <c r="L1771" s="2" t="inlineStr">
        <is>
          <t>pend</t>
        </is>
      </c>
      <c r="M1771" s="2" t="n"/>
      <c r="N1771" s="2" t="n"/>
      <c r="O1771" s="3" t="inlineStr">
        <is>
          <t>https://vanillabonds.com/dossier-data/pdf/fastned/fastned-h1-2026-interim-report.pdf#page=8</t>
        </is>
      </c>
    </row>
    <row r="1772">
      <c r="A1772" s="2" t="inlineStr">
        <is>
          <t>F1771</t>
        </is>
      </c>
      <c r="B1772" s="2" t="inlineStr">
        <is>
          <t>business</t>
        </is>
      </c>
      <c r="C1772" s="2" t="inlineStr">
        <is>
          <t>business_fact</t>
        </is>
      </c>
      <c r="D1772" s="2" t="inlineStr">
        <is>
          <t>Business fact</t>
        </is>
      </c>
      <c r="E1772" s="2" t="n"/>
      <c r="F1772" s="2" t="n"/>
      <c r="G1772" s="2" t="n"/>
      <c r="H1772" s="3" t="inlineStr">
        <is>
          <t>60 new locations added to the development pipeline and 68 building permits secured in H1 2026 (+89% year-on-year); 36 stations upgraded or expanded.</t>
        </is>
      </c>
      <c r="I1772" s="2" t="inlineStr">
        <is>
          <t>S4</t>
        </is>
      </c>
      <c r="J1772" s="2" t="n">
        <v>8</v>
      </c>
      <c r="K1772" s="3" t="inlineStr">
        <is>
          <t>We also secured 68 building permits, an increase of 89% year-on-year</t>
        </is>
      </c>
      <c r="L1772" s="2" t="inlineStr">
        <is>
          <t>pend</t>
        </is>
      </c>
      <c r="M1772" s="2" t="n"/>
      <c r="N1772" s="2" t="n"/>
      <c r="O1772" s="3" t="inlineStr">
        <is>
          <t>https://vanillabonds.com/dossier-data/pdf/fastned/fastned-h1-2026-interim-report.pdf#page=8</t>
        </is>
      </c>
    </row>
    <row r="1773">
      <c r="A1773" s="2" t="inlineStr">
        <is>
          <t>F1772</t>
        </is>
      </c>
      <c r="B1773" s="2" t="inlineStr">
        <is>
          <t>business</t>
        </is>
      </c>
      <c r="C1773" s="2" t="inlineStr">
        <is>
          <t>business_fact</t>
        </is>
      </c>
      <c r="D1773" s="2" t="inlineStr">
        <is>
          <t>Business fact</t>
        </is>
      </c>
      <c r="E1773" s="2" t="n"/>
      <c r="F1773" s="2" t="n"/>
      <c r="G1773" s="2" t="n"/>
      <c r="H1773" s="3" t="inlineStr">
        <is>
          <t>Gold Membership (monthly subscription, 30% charging discount) doubled from about 5,000 to over 10,000 subscribers during H1 2026.</t>
        </is>
      </c>
      <c r="I1773" s="2" t="inlineStr">
        <is>
          <t>S4</t>
        </is>
      </c>
      <c r="J1773" s="2" t="n">
        <v>10</v>
      </c>
      <c r="K1773" s="3" t="inlineStr">
        <is>
          <t>doubled from approximately 5,000 to over 10,000 subscribers over the course of H1</t>
        </is>
      </c>
      <c r="L1773" s="2" t="inlineStr">
        <is>
          <t>pend</t>
        </is>
      </c>
      <c r="M1773" s="2" t="n"/>
      <c r="N1773" s="2" t="n"/>
      <c r="O1773" s="3" t="inlineStr">
        <is>
          <t>https://vanillabonds.com/dossier-data/pdf/fastned/fastned-h1-2026-interim-report.pdf#page=10</t>
        </is>
      </c>
    </row>
    <row r="1774">
      <c r="A1774" s="2" t="inlineStr">
        <is>
          <t>F1773</t>
        </is>
      </c>
      <c r="B1774" s="2" t="inlineStr">
        <is>
          <t>business</t>
        </is>
      </c>
      <c r="C1774" s="2" t="inlineStr">
        <is>
          <t>business_fact</t>
        </is>
      </c>
      <c r="D1774" s="2" t="inlineStr">
        <is>
          <t>Business fact</t>
        </is>
      </c>
      <c r="E1774" s="2" t="n"/>
      <c r="F1774" s="2" t="n"/>
      <c r="G1774" s="2" t="n"/>
      <c r="H1774" s="3" t="inlineStr">
        <is>
          <t>Physical B2B charge card introduced; more than 35 fleets onboarded to date; roaming expanded via third-party platforms including ChargeLeague.</t>
        </is>
      </c>
      <c r="I1774" s="2" t="inlineStr">
        <is>
          <t>S4</t>
        </is>
      </c>
      <c r="J1774" s="2" t="n">
        <v>10</v>
      </c>
      <c r="K1774" s="2" t="inlineStr">
        <is>
          <t>with more than 35 fleets onboarded to</t>
        </is>
      </c>
      <c r="L1774" s="2" t="inlineStr">
        <is>
          <t>pend</t>
        </is>
      </c>
      <c r="M1774" s="2" t="n"/>
      <c r="N1774" s="2" t="n"/>
      <c r="O1774" s="3" t="inlineStr">
        <is>
          <t>https://vanillabonds.com/dossier-data/pdf/fastned/fastned-h1-2026-interim-report.pdf#page=10</t>
        </is>
      </c>
    </row>
    <row r="1775">
      <c r="A1775" s="2" t="inlineStr">
        <is>
          <t>F1774</t>
        </is>
      </c>
      <c r="B1775" s="2" t="inlineStr">
        <is>
          <t>business</t>
        </is>
      </c>
      <c r="C1775" s="2" t="inlineStr">
        <is>
          <t>business_fact</t>
        </is>
      </c>
      <c r="D1775" s="2" t="inlineStr">
        <is>
          <t>Business fact</t>
        </is>
      </c>
      <c r="E1775" s="2" t="n"/>
      <c r="F1775" s="2" t="n"/>
      <c r="G1775" s="2" t="n"/>
      <c r="H1775" s="3" t="inlineStr">
        <is>
          <t>Company states network uptime of over 99%.</t>
        </is>
      </c>
      <c r="I1775" s="2" t="inlineStr">
        <is>
          <t>S4</t>
        </is>
      </c>
      <c r="J1775" s="2" t="n">
        <v>10</v>
      </c>
      <c r="K1775" s="3" t="inlineStr">
        <is>
          <t>Uptime of over 99% is among the highest of any operator on the market</t>
        </is>
      </c>
      <c r="L1775" s="2" t="inlineStr">
        <is>
          <t>pend</t>
        </is>
      </c>
      <c r="M1775" s="2" t="n"/>
      <c r="N1775" s="2" t="n"/>
      <c r="O1775" s="3" t="inlineStr">
        <is>
          <t>https://vanillabonds.com/dossier-data/pdf/fastned/fastned-h1-2026-interim-report.pdf#page=10</t>
        </is>
      </c>
    </row>
    <row r="1776">
      <c r="A1776" s="2" t="inlineStr">
        <is>
          <t>F1775</t>
        </is>
      </c>
      <c r="B1776" s="2" t="inlineStr">
        <is>
          <t>business</t>
        </is>
      </c>
      <c r="C1776" s="2" t="inlineStr">
        <is>
          <t>business_fact</t>
        </is>
      </c>
      <c r="D1776" s="2" t="inlineStr">
        <is>
          <t>Business fact</t>
        </is>
      </c>
      <c r="E1776" s="2" t="n"/>
      <c r="F1776" s="2" t="n"/>
      <c r="G1776" s="2" t="n"/>
      <c r="H1776" s="3" t="inlineStr">
        <is>
          <t>CFO a.i. states operating costs per station fell in Q2 2026 from EUR 139k to EUR 136k.</t>
        </is>
      </c>
      <c r="I1776" s="2" t="inlineStr">
        <is>
          <t>S4</t>
        </is>
      </c>
      <c r="J1776" s="2" t="n">
        <v>11</v>
      </c>
      <c r="K1776" s="3" t="inlineStr">
        <is>
          <t>our operating costs per station actually went down, from €139k to €136k.</t>
        </is>
      </c>
      <c r="L1776" s="2" t="inlineStr">
        <is>
          <t>pend</t>
        </is>
      </c>
      <c r="M1776" s="2" t="n"/>
      <c r="N1776" s="2" t="n"/>
      <c r="O1776" s="3" t="inlineStr">
        <is>
          <t>https://vanillabonds.com/dossier-data/pdf/fastned/fastned-h1-2026-interim-report.pdf#page=11</t>
        </is>
      </c>
    </row>
    <row r="1777">
      <c r="A1777" s="2" t="inlineStr">
        <is>
          <t>F1776</t>
        </is>
      </c>
      <c r="B1777" s="2" t="inlineStr">
        <is>
          <t>business</t>
        </is>
      </c>
      <c r="C1777" s="2" t="inlineStr">
        <is>
          <t>business_fact</t>
        </is>
      </c>
      <c r="D1777" s="2" t="inlineStr">
        <is>
          <t>Business fact</t>
        </is>
      </c>
      <c r="E1777" s="2" t="n"/>
      <c r="F1777" s="2" t="n"/>
      <c r="G1777" s="2" t="n"/>
      <c r="H1777" s="3" t="inlineStr">
        <is>
          <t>Stations operate on leases of 15 years or more.</t>
        </is>
      </c>
      <c r="I1777" s="2" t="inlineStr">
        <is>
          <t>S4</t>
        </is>
      </c>
      <c r="J1777" s="2" t="n">
        <v>12</v>
      </c>
      <c r="K1777" s="3" t="inlineStr">
        <is>
          <t>Fastned stations are long-term assets, operating on leases of 15 years or more</t>
        </is>
      </c>
      <c r="L1777" s="2" t="inlineStr">
        <is>
          <t>pend</t>
        </is>
      </c>
      <c r="M1777" s="2" t="n"/>
      <c r="N1777" s="2" t="n"/>
      <c r="O1777" s="3" t="inlineStr">
        <is>
          <t>https://vanillabonds.com/dossier-data/pdf/fastned/fastned-h1-2026-interim-report.pdf#page=12</t>
        </is>
      </c>
    </row>
    <row r="1778">
      <c r="A1778" s="2" t="inlineStr">
        <is>
          <t>F1777</t>
        </is>
      </c>
      <c r="B1778" s="2" t="inlineStr">
        <is>
          <t>business</t>
        </is>
      </c>
      <c r="C1778" s="2" t="inlineStr">
        <is>
          <t>business_fact</t>
        </is>
      </c>
      <c r="D1778" s="2" t="inlineStr">
        <is>
          <t>Business fact</t>
        </is>
      </c>
      <c r="E1778" s="2" t="n"/>
      <c r="F1778" s="2" t="n"/>
      <c r="G1778" s="2" t="n"/>
      <c r="H1778" s="3" t="inlineStr">
        <is>
          <t>Total funding raised since 2012 over EUR 740m (equity, retail bonds, bank financing).</t>
        </is>
      </c>
      <c r="I1778" s="2" t="inlineStr">
        <is>
          <t>S4</t>
        </is>
      </c>
      <c r="J1778" s="2" t="n">
        <v>12</v>
      </c>
      <c r="K1778" s="3" t="inlineStr">
        <is>
          <t>a total of over €740 million raised in funding since 2012</t>
        </is>
      </c>
      <c r="L1778" s="2" t="inlineStr">
        <is>
          <t>pend</t>
        </is>
      </c>
      <c r="M1778" s="2" t="n"/>
      <c r="N1778" s="2" t="n"/>
      <c r="O1778" s="3" t="inlineStr">
        <is>
          <t>https://vanillabonds.com/dossier-data/pdf/fastned/fastned-h1-2026-interim-report.pdf#page=12</t>
        </is>
      </c>
    </row>
    <row r="1779">
      <c r="A1779" s="2" t="inlineStr">
        <is>
          <t>F1778</t>
        </is>
      </c>
      <c r="B1779" s="2" t="inlineStr">
        <is>
          <t>business</t>
        </is>
      </c>
      <c r="C1779" s="2" t="inlineStr">
        <is>
          <t>business_fact</t>
        </is>
      </c>
      <c r="D1779" s="2" t="inlineStr">
        <is>
          <t>Business fact</t>
        </is>
      </c>
      <c r="E1779" s="2" t="n"/>
      <c r="F1779" s="2" t="n"/>
      <c r="G1779" s="2" t="n"/>
      <c r="H1779" s="3" t="inlineStr">
        <is>
          <t>Retail bonds outstanding EUR 337m after the two H1 2026 campaigns; more than 12,000 bondholders.</t>
        </is>
      </c>
      <c r="I1779" s="2" t="inlineStr">
        <is>
          <t>S4</t>
        </is>
      </c>
      <c r="J1779" s="2" t="n">
        <v>12</v>
      </c>
      <c r="K1779" s="3" t="inlineStr">
        <is>
          <t>bringing the total outstanding amount of retail bonds to €337 million.</t>
        </is>
      </c>
      <c r="L1779" s="2" t="inlineStr">
        <is>
          <t>pend</t>
        </is>
      </c>
      <c r="M1779" s="2" t="n"/>
      <c r="N1779" s="2" t="n"/>
      <c r="O1779" s="3" t="inlineStr">
        <is>
          <t>https://vanillabonds.com/dossier-data/pdf/fastned/fastned-h1-2026-interim-report.pdf#page=12</t>
        </is>
      </c>
    </row>
    <row r="1780">
      <c r="A1780" s="2" t="inlineStr">
        <is>
          <t>F1779</t>
        </is>
      </c>
      <c r="B1780" s="2" t="inlineStr">
        <is>
          <t>business</t>
        </is>
      </c>
      <c r="C1780" s="2" t="inlineStr">
        <is>
          <t>business_fact</t>
        </is>
      </c>
      <c r="D1780" s="2" t="inlineStr">
        <is>
          <t>Business fact</t>
        </is>
      </c>
      <c r="E1780" s="2" t="n"/>
      <c r="F1780" s="2" t="n"/>
      <c r="G1780" s="2" t="n"/>
      <c r="H1780" s="3" t="inlineStr">
        <is>
          <t>Retail bond programme since inception: over EUR 300m raised.</t>
        </is>
      </c>
      <c r="I1780" s="2" t="inlineStr">
        <is>
          <t>S4</t>
        </is>
      </c>
      <c r="J1780" s="2" t="n">
        <v>12</v>
      </c>
      <c r="K1780" s="3" t="inlineStr">
        <is>
          <t>since its inception, over €300 million has been raised through retail bonds</t>
        </is>
      </c>
      <c r="L1780" s="2" t="inlineStr">
        <is>
          <t>pend</t>
        </is>
      </c>
      <c r="M1780" s="2" t="n"/>
      <c r="N1780" s="2" t="n"/>
      <c r="O1780" s="3" t="inlineStr">
        <is>
          <t>https://vanillabonds.com/dossier-data/pdf/fastned/fastned-h1-2026-interim-report.pdf#page=12</t>
        </is>
      </c>
    </row>
    <row r="1781">
      <c r="A1781" s="2" t="inlineStr">
        <is>
          <t>F1780</t>
        </is>
      </c>
      <c r="B1781" s="2" t="inlineStr">
        <is>
          <t>business</t>
        </is>
      </c>
      <c r="C1781" s="2" t="inlineStr">
        <is>
          <t>business_fact</t>
        </is>
      </c>
      <c r="D1781" s="2" t="inlineStr">
        <is>
          <t>Business fact</t>
        </is>
      </c>
      <c r="E1781" s="2" t="n"/>
      <c r="F1781" s="2" t="n"/>
      <c r="G1781" s="2" t="n"/>
      <c r="H1781" s="3" t="inlineStr">
        <is>
          <t>Operational EBITDA (non-IFRS) EUR 37.4m in H1 2026, EUR 17.9m in H1 2025 and EUR 14.7m in H1 2024.</t>
        </is>
      </c>
      <c r="I1781" s="2" t="inlineStr">
        <is>
          <t>S4</t>
        </is>
      </c>
      <c r="J1781" s="2" t="n">
        <v>17</v>
      </c>
      <c r="K1781" s="2" t="inlineStr">
        <is>
          <t>Operational EBITDA 37.4 17.9 14.7 109%</t>
        </is>
      </c>
      <c r="L1781" s="2" t="inlineStr">
        <is>
          <t>pend</t>
        </is>
      </c>
      <c r="M1781" s="2" t="n"/>
      <c r="N1781" s="2" t="n"/>
      <c r="O1781" s="3" t="inlineStr">
        <is>
          <t>https://vanillabonds.com/dossier-data/pdf/fastned/fastned-h1-2026-interim-report.pdf#page=17</t>
        </is>
      </c>
    </row>
    <row r="1782">
      <c r="A1782" s="2" t="inlineStr">
        <is>
          <t>F1781</t>
        </is>
      </c>
      <c r="B1782" s="2" t="inlineStr">
        <is>
          <t>business</t>
        </is>
      </c>
      <c r="C1782" s="2" t="inlineStr">
        <is>
          <t>business_fact</t>
        </is>
      </c>
      <c r="D1782" s="2" t="inlineStr">
        <is>
          <t>Business fact</t>
        </is>
      </c>
      <c r="E1782" s="2" t="n"/>
      <c r="F1782" s="2" t="n"/>
      <c r="G1782" s="2" t="n"/>
      <c r="H1782" s="3" t="inlineStr">
        <is>
          <t>Revenue related to charging EUR 75.1m in H1 2026 (H1 2025: 53.5; H1 2024: 37.8), +40%.</t>
        </is>
      </c>
      <c r="I1782" s="2" t="inlineStr">
        <is>
          <t>S4</t>
        </is>
      </c>
      <c r="J1782" s="2" t="n">
        <v>17</v>
      </c>
      <c r="K1782" s="3" t="inlineStr">
        <is>
          <t>Revenue related to charging 75.1 53.5 37.8 40%</t>
        </is>
      </c>
      <c r="L1782" s="2" t="inlineStr">
        <is>
          <t>pend</t>
        </is>
      </c>
      <c r="M1782" s="2" t="n"/>
      <c r="N1782" s="2" t="n"/>
      <c r="O1782" s="3" t="inlineStr">
        <is>
          <t>https://vanillabonds.com/dossier-data/pdf/fastned/fastned-h1-2026-interim-report.pdf#page=17</t>
        </is>
      </c>
    </row>
    <row r="1783">
      <c r="A1783" s="2" t="inlineStr">
        <is>
          <t>F1782</t>
        </is>
      </c>
      <c r="B1783" s="2" t="inlineStr">
        <is>
          <t>business</t>
        </is>
      </c>
      <c r="C1783" s="2" t="inlineStr">
        <is>
          <t>business_fact</t>
        </is>
      </c>
      <c r="D1783" s="2" t="inlineStr">
        <is>
          <t>Business fact</t>
        </is>
      </c>
      <c r="E1783" s="2" t="n"/>
      <c r="F1783" s="2" t="n"/>
      <c r="G1783" s="2" t="n"/>
      <c r="H1783" s="3" t="inlineStr">
        <is>
          <t>Revenue from station construction as part of service concessions EUR 8.5m in H1 2026 (H1 2025: 4.3).</t>
        </is>
      </c>
      <c r="I1783" s="2" t="inlineStr">
        <is>
          <t>S4</t>
        </is>
      </c>
      <c r="J1783" s="2" t="n">
        <v>17</v>
      </c>
      <c r="K1783" s="3" t="inlineStr">
        <is>
          <t>Revenue from station construction as part of service concessions 8.5 4.3</t>
        </is>
      </c>
      <c r="L1783" s="2" t="inlineStr">
        <is>
          <t>pend</t>
        </is>
      </c>
      <c r="M1783" s="2" t="n"/>
      <c r="N1783" s="2" t="n"/>
      <c r="O1783" s="3" t="inlineStr">
        <is>
          <t>https://vanillabonds.com/dossier-data/pdf/fastned/fastned-h1-2026-interim-report.pdf#page=17</t>
        </is>
      </c>
    </row>
    <row r="1784">
      <c r="A1784" s="2" t="inlineStr">
        <is>
          <t>F1783</t>
        </is>
      </c>
      <c r="B1784" s="2" t="inlineStr">
        <is>
          <t>business</t>
        </is>
      </c>
      <c r="C1784" s="2" t="inlineStr">
        <is>
          <t>business_fact</t>
        </is>
      </c>
      <c r="D1784" s="2" t="inlineStr">
        <is>
          <t>Business fact</t>
        </is>
      </c>
      <c r="E1784" s="2" t="n"/>
      <c r="F1784" s="2" t="n"/>
      <c r="G1784" s="2" t="n"/>
      <c r="H1784" s="3" t="inlineStr">
        <is>
          <t>Gross profit related to charging EUR 66.0m in H1 2026 (H1 2025: 41.0; H1 2024: 29.8); margin 88% (77%; 79%).</t>
        </is>
      </c>
      <c r="I1784" s="2" t="inlineStr">
        <is>
          <t>S4</t>
        </is>
      </c>
      <c r="J1784" s="2" t="n">
        <v>17</v>
      </c>
      <c r="K1784" s="3" t="inlineStr">
        <is>
          <t>Gross profit related to charging 66.0 41.0 29.8 61%</t>
        </is>
      </c>
      <c r="L1784" s="2" t="inlineStr">
        <is>
          <t>pend</t>
        </is>
      </c>
      <c r="M1784" s="2" t="n"/>
      <c r="N1784" s="2" t="n"/>
      <c r="O1784" s="3" t="inlineStr">
        <is>
          <t>https://vanillabonds.com/dossier-data/pdf/fastned/fastned-h1-2026-interim-report.pdf#page=17</t>
        </is>
      </c>
    </row>
    <row r="1785">
      <c r="A1785" s="2" t="inlineStr">
        <is>
          <t>F1784</t>
        </is>
      </c>
      <c r="B1785" s="2" t="inlineStr">
        <is>
          <t>business</t>
        </is>
      </c>
      <c r="C1785" s="2" t="inlineStr">
        <is>
          <t>business_fact</t>
        </is>
      </c>
      <c r="D1785" s="2" t="inlineStr">
        <is>
          <t>Business fact</t>
        </is>
      </c>
      <c r="E1785" s="2" t="n"/>
      <c r="F1785" s="2" t="n"/>
      <c r="G1785" s="2" t="n"/>
      <c r="H1785" s="3" t="inlineStr">
        <is>
          <t>Network operation costs (non-IFRS) EUR 28.2m in H1 2026 (H1 2025: 23.2; H1 2024: 15.0).</t>
        </is>
      </c>
      <c r="I1785" s="2" t="inlineStr">
        <is>
          <t>S4</t>
        </is>
      </c>
      <c r="J1785" s="2" t="n">
        <v>17</v>
      </c>
      <c r="K1785" s="3" t="inlineStr">
        <is>
          <t>Network operation costs (28.2) (23.2) (15.0) 22%</t>
        </is>
      </c>
      <c r="L1785" s="2" t="inlineStr">
        <is>
          <t>pend</t>
        </is>
      </c>
      <c r="M1785" s="2" t="n"/>
      <c r="N1785" s="2" t="n"/>
      <c r="O1785" s="3" t="inlineStr">
        <is>
          <t>https://vanillabonds.com/dossier-data/pdf/fastned/fastned-h1-2026-interim-report.pdf#page=17</t>
        </is>
      </c>
    </row>
    <row r="1786">
      <c r="A1786" s="2" t="inlineStr">
        <is>
          <t>F1785</t>
        </is>
      </c>
      <c r="B1786" s="2" t="inlineStr">
        <is>
          <t>business</t>
        </is>
      </c>
      <c r="C1786" s="2" t="inlineStr">
        <is>
          <t>business_fact</t>
        </is>
      </c>
      <c r="D1786" s="2" t="inlineStr">
        <is>
          <t>Business fact</t>
        </is>
      </c>
      <c r="E1786" s="2" t="n"/>
      <c r="F1786" s="2" t="n"/>
      <c r="G1786" s="2" t="n"/>
      <c r="H1786" s="3" t="inlineStr">
        <is>
          <t>Underlying net loss EUR -15.1m in H1 2026 (H1 2025: -19.9; H1 2024: -11.6); net loss -13.0.</t>
        </is>
      </c>
      <c r="I1786" s="2" t="inlineStr">
        <is>
          <t>S4</t>
        </is>
      </c>
      <c r="J1786" s="2" t="n">
        <v>17</v>
      </c>
      <c r="K1786" s="3" t="inlineStr">
        <is>
          <t>Underlying net profit / (loss) (15.1) (19.9) (11.6)</t>
        </is>
      </c>
      <c r="L1786" s="2" t="inlineStr">
        <is>
          <t>pend</t>
        </is>
      </c>
      <c r="M1786" s="2" t="n"/>
      <c r="N1786" s="2" t="n"/>
      <c r="O1786" s="3" t="inlineStr">
        <is>
          <t>https://vanillabonds.com/dossier-data/pdf/fastned/fastned-h1-2026-interim-report.pdf#page=17</t>
        </is>
      </c>
    </row>
    <row r="1787">
      <c r="A1787" s="2" t="inlineStr">
        <is>
          <t>F1786</t>
        </is>
      </c>
      <c r="B1787" s="2" t="inlineStr">
        <is>
          <t>business</t>
        </is>
      </c>
      <c r="C1787" s="2" t="inlineStr">
        <is>
          <t>business_fact</t>
        </is>
      </c>
      <c r="D1787" s="2" t="inlineStr">
        <is>
          <t>Business fact</t>
        </is>
      </c>
      <c r="E1787" s="2" t="n"/>
      <c r="F1787" s="2" t="n"/>
      <c r="G1787" s="2" t="n"/>
      <c r="H1787" s="3" t="inlineStr">
        <is>
          <t>Diluted loss per depository receipt EUR -0.67 in H1 2026 (H1 2025: -0.94; H1 2024: -0.59).</t>
        </is>
      </c>
      <c r="I1787" s="2" t="inlineStr">
        <is>
          <t>S4</t>
        </is>
      </c>
      <c r="J1787" s="2" t="n">
        <v>17</v>
      </c>
      <c r="K1787" s="3" t="inlineStr">
        <is>
          <t>Earnings per share (depository receipt) (diluted) (0.67) (0.94) (0.59)</t>
        </is>
      </c>
      <c r="L1787" s="2" t="inlineStr">
        <is>
          <t>pend</t>
        </is>
      </c>
      <c r="M1787" s="2" t="n"/>
      <c r="N1787" s="2" t="n"/>
      <c r="O1787" s="3" t="inlineStr">
        <is>
          <t>https://vanillabonds.com/dossier-data/pdf/fastned/fastned-h1-2026-interim-report.pdf#page=17</t>
        </is>
      </c>
    </row>
    <row r="1788">
      <c r="A1788" s="2" t="inlineStr">
        <is>
          <t>F1787</t>
        </is>
      </c>
      <c r="B1788" s="2" t="inlineStr">
        <is>
          <t>business</t>
        </is>
      </c>
      <c r="C1788" s="2" t="inlineStr">
        <is>
          <t>business_fact</t>
        </is>
      </c>
      <c r="D1788" s="2" t="inlineStr">
        <is>
          <t>Business fact</t>
        </is>
      </c>
      <c r="E1788" s="2" t="n"/>
      <c r="F1788" s="2" t="n"/>
      <c r="G1788" s="2" t="n"/>
      <c r="H1788" s="3" t="inlineStr">
        <is>
          <t>Annualised revenue per station EUR 363 thousand in H1 2026, +18% year-on-year.</t>
        </is>
      </c>
      <c r="I1788" s="2" t="inlineStr">
        <is>
          <t>S4</t>
        </is>
      </c>
      <c r="J1788" s="2" t="n">
        <v>18</v>
      </c>
      <c r="K1788" s="3" t="inlineStr">
        <is>
          <t>Annualised revenue per station rose to €363 thousand, reflecting a significant increase of 18%</t>
        </is>
      </c>
      <c r="L1788" s="2" t="inlineStr">
        <is>
          <t>pend</t>
        </is>
      </c>
      <c r="M1788" s="2" t="n"/>
      <c r="N1788" s="2" t="n"/>
      <c r="O1788" s="3" t="inlineStr">
        <is>
          <t>https://vanillabonds.com/dossier-data/pdf/fastned/fastned-h1-2026-interim-report.pdf#page=18</t>
        </is>
      </c>
    </row>
    <row r="1789">
      <c r="A1789" s="2" t="inlineStr">
        <is>
          <t>F1788</t>
        </is>
      </c>
      <c r="B1789" s="2" t="inlineStr">
        <is>
          <t>business</t>
        </is>
      </c>
      <c r="C1789" s="2" t="inlineStr">
        <is>
          <t>business_fact</t>
        </is>
      </c>
      <c r="D1789" s="2" t="inlineStr">
        <is>
          <t>Business fact</t>
        </is>
      </c>
      <c r="E1789" s="2" t="n"/>
      <c r="F1789" s="2" t="n"/>
      <c r="G1789" s="2" t="n"/>
      <c r="H1789" s="3" t="inlineStr">
        <is>
          <t>Network utilisation 13.7% in H1 2026 (H1 2025: 13.0%); average number of chargers 25% higher than H1 2025.</t>
        </is>
      </c>
      <c r="I1789" s="2" t="inlineStr">
        <is>
          <t>S4</t>
        </is>
      </c>
      <c r="J1789" s="2" t="n">
        <v>18</v>
      </c>
      <c r="K1789" s="3" t="inlineStr">
        <is>
          <t>Network utilisation stood at 13.7% in the first half of 2026, up from 13.0% in the same period of the prior</t>
        </is>
      </c>
      <c r="L1789" s="2" t="inlineStr">
        <is>
          <t>pend</t>
        </is>
      </c>
      <c r="M1789" s="2" t="n"/>
      <c r="N1789" s="2" t="n"/>
      <c r="O1789" s="3" t="inlineStr">
        <is>
          <t>https://vanillabonds.com/dossier-data/pdf/fastned/fastned-h1-2026-interim-report.pdf#page=18</t>
        </is>
      </c>
    </row>
    <row r="1790">
      <c r="A1790" s="2" t="inlineStr">
        <is>
          <t>F1789</t>
        </is>
      </c>
      <c r="B1790" s="2" t="inlineStr">
        <is>
          <t>business</t>
        </is>
      </c>
      <c r="C1790" s="2" t="inlineStr">
        <is>
          <t>business_fact</t>
        </is>
      </c>
      <c r="D1790" s="2" t="inlineStr">
        <is>
          <t>Business fact</t>
        </is>
      </c>
      <c r="E1790" s="2" t="n"/>
      <c r="F1790" s="2" t="n"/>
      <c r="G1790" s="2" t="n"/>
      <c r="H1790" s="3" t="inlineStr">
        <is>
          <t>Weighted EV fleet penetration in Fastned markets 5.7% (weighted by charging volume), +3% year-on-year.</t>
        </is>
      </c>
      <c r="I1790" s="2" t="inlineStr">
        <is>
          <t>S4</t>
        </is>
      </c>
      <c r="J1790" s="2" t="n">
        <v>18</v>
      </c>
      <c r="K1790" s="3" t="inlineStr">
        <is>
          <t>fleet penetration, which reached 5.7% when weighted by charging volume in the respective markets.</t>
        </is>
      </c>
      <c r="L1790" s="2" t="inlineStr">
        <is>
          <t>pend</t>
        </is>
      </c>
      <c r="M1790" s="2" t="n"/>
      <c r="N1790" s="2" t="n"/>
      <c r="O1790" s="3" t="inlineStr">
        <is>
          <t>https://vanillabonds.com/dossier-data/pdf/fastned/fastned-h1-2026-interim-report.pdf#page=18</t>
        </is>
      </c>
    </row>
    <row r="1791">
      <c r="A1791" s="2" t="inlineStr">
        <is>
          <t>F1790</t>
        </is>
      </c>
      <c r="B1791" s="2" t="inlineStr">
        <is>
          <t>business</t>
        </is>
      </c>
      <c r="C1791" s="2" t="inlineStr">
        <is>
          <t>business_fact</t>
        </is>
      </c>
      <c r="D1791" s="2" t="inlineStr">
        <is>
          <t>Business fact</t>
        </is>
      </c>
      <c r="E1791" s="2" t="n"/>
      <c r="F1791" s="2" t="n"/>
      <c r="G1791" s="2" t="n"/>
      <c r="H1791" s="3" t="inlineStr">
        <is>
          <t>Annualised network operation costs per charger EUR 20.6 thousand, down 2%; network operation costs grew 22%.</t>
        </is>
      </c>
      <c r="I1791" s="2" t="inlineStr">
        <is>
          <t>S4</t>
        </is>
      </c>
      <c r="J1791" s="2" t="n">
        <v>18</v>
      </c>
      <c r="K1791" s="3" t="inlineStr">
        <is>
          <t>network operation costs per charger fell 2% to €20.6 thousand</t>
        </is>
      </c>
      <c r="L1791" s="2" t="inlineStr">
        <is>
          <t>pend</t>
        </is>
      </c>
      <c r="M1791" s="2" t="n"/>
      <c r="N1791" s="2" t="n"/>
      <c r="O1791" s="3" t="inlineStr">
        <is>
          <t>https://vanillabonds.com/dossier-data/pdf/fastned/fastned-h1-2026-interim-report.pdf#page=18</t>
        </is>
      </c>
    </row>
    <row r="1792">
      <c r="A1792" s="2" t="inlineStr">
        <is>
          <t>F1791</t>
        </is>
      </c>
      <c r="B1792" s="2" t="inlineStr">
        <is>
          <t>business</t>
        </is>
      </c>
      <c r="C1792" s="2" t="inlineStr">
        <is>
          <t>business_fact</t>
        </is>
      </c>
      <c r="D1792" s="2" t="inlineStr">
        <is>
          <t>Business fact</t>
        </is>
      </c>
      <c r="E1792" s="2" t="n"/>
      <c r="F1792" s="2" t="n"/>
      <c r="G1792" s="2" t="n"/>
      <c r="H1792" s="3" t="inlineStr">
        <is>
          <t>Operational EBITDA per station EUR 89.8 thousand in H1 2026 (H1 2025: EUR 50.6 thousand).</t>
        </is>
      </c>
      <c r="I1792" s="2" t="inlineStr">
        <is>
          <t>S4</t>
        </is>
      </c>
      <c r="J1792" s="2" t="n">
        <v>22</v>
      </c>
      <c r="K1792" s="2" t="inlineStr">
        <is>
          <t>Operational EBITDA per station 89.8 50.6</t>
        </is>
      </c>
      <c r="L1792" s="2" t="inlineStr">
        <is>
          <t>pend</t>
        </is>
      </c>
      <c r="M1792" s="2" t="n"/>
      <c r="N1792" s="2" t="n"/>
      <c r="O1792" s="3" t="inlineStr">
        <is>
          <t>https://vanillabonds.com/dossier-data/pdf/fastned/fastned-h1-2026-interim-report.pdf#page=22</t>
        </is>
      </c>
    </row>
    <row r="1793">
      <c r="A1793" s="2" t="inlineStr">
        <is>
          <t>F1792</t>
        </is>
      </c>
      <c r="B1793" s="2" t="inlineStr">
        <is>
          <t>business</t>
        </is>
      </c>
      <c r="C1793" s="2" t="inlineStr">
        <is>
          <t>business_fact</t>
        </is>
      </c>
      <c r="D1793" s="2" t="inlineStr">
        <is>
          <t>Business fact</t>
        </is>
      </c>
      <c r="E1793" s="2" t="n"/>
      <c r="F1793" s="2" t="n"/>
      <c r="G1793" s="2" t="n"/>
      <c r="H1793" s="3" t="inlineStr">
        <is>
          <t>IFRS gross profit EUR 68.4m in H1 2026 (H1 2025 restated: 42.6).</t>
        </is>
      </c>
      <c r="I1793" s="2" t="inlineStr">
        <is>
          <t>S4</t>
        </is>
      </c>
      <c r="J1793" s="2" t="n">
        <v>25</v>
      </c>
      <c r="K1793" s="2" t="inlineStr">
        <is>
          <t>Gross profit 68,439 42,614</t>
        </is>
      </c>
      <c r="L1793" s="2" t="inlineStr">
        <is>
          <t>pend</t>
        </is>
      </c>
      <c r="M1793" s="2" t="n"/>
      <c r="N1793" s="2" t="n"/>
      <c r="O1793" s="3" t="inlineStr">
        <is>
          <t>https://vanillabonds.com/dossier-data/pdf/fastned/fastned-h1-2026-interim-report.pdf#page=25</t>
        </is>
      </c>
    </row>
    <row r="1794">
      <c r="A1794" s="2" t="inlineStr">
        <is>
          <t>F1793</t>
        </is>
      </c>
      <c r="B1794" s="2" t="inlineStr">
        <is>
          <t>business</t>
        </is>
      </c>
      <c r="C1794" s="2" t="inlineStr">
        <is>
          <t>business_fact</t>
        </is>
      </c>
      <c r="D1794" s="2" t="inlineStr">
        <is>
          <t>Business fact</t>
        </is>
      </c>
      <c r="E1794" s="2" t="n"/>
      <c r="F1794" s="2" t="n"/>
      <c r="G1794" s="2" t="n"/>
      <c r="H1794" s="3" t="inlineStr">
        <is>
          <t>Property, plant and equipment EUR 326.0m at 30 June 2026 (31 Dec 2025: 292.9); right-of-use assets 71.6 (59.1).</t>
        </is>
      </c>
      <c r="I1794" s="2" t="inlineStr">
        <is>
          <t>S4</t>
        </is>
      </c>
      <c r="J1794" s="2" t="n">
        <v>27</v>
      </c>
      <c r="K1794" s="2" t="inlineStr">
        <is>
          <t>326,022 292,932</t>
        </is>
      </c>
      <c r="L1794" s="2" t="inlineStr">
        <is>
          <t>pend</t>
        </is>
      </c>
      <c r="M1794" s="2" t="n"/>
      <c r="N1794" s="2" t="n"/>
      <c r="O1794" s="3" t="inlineStr">
        <is>
          <t>https://vanillabonds.com/dossier-data/pdf/fastned/fastned-h1-2026-interim-report.pdf#page=27</t>
        </is>
      </c>
    </row>
    <row r="1795">
      <c r="A1795" s="2" t="inlineStr">
        <is>
          <t>F1794</t>
        </is>
      </c>
      <c r="B1795" s="2" t="inlineStr">
        <is>
          <t>business</t>
        </is>
      </c>
      <c r="C1795" s="2" t="inlineStr">
        <is>
          <t>business_fact</t>
        </is>
      </c>
      <c r="D1795" s="2" t="inlineStr">
        <is>
          <t>Business fact</t>
        </is>
      </c>
      <c r="E1795" s="2" t="n"/>
      <c r="F1795" s="2" t="n"/>
      <c r="G1795" s="2" t="n"/>
      <c r="H1795" s="3" t="inlineStr">
        <is>
          <t>Interest paid in cash EUR 11.5m in H1 2026 (H1 2025: 6.8).</t>
        </is>
      </c>
      <c r="I1795" s="2" t="inlineStr">
        <is>
          <t>S4</t>
        </is>
      </c>
      <c r="J1795" s="2" t="n">
        <v>29</v>
      </c>
      <c r="K1795" s="2" t="inlineStr">
        <is>
          <t>Interest paid (11,466) (6,828)</t>
        </is>
      </c>
      <c r="L1795" s="2" t="inlineStr">
        <is>
          <t>pend</t>
        </is>
      </c>
      <c r="M1795" s="2" t="n"/>
      <c r="N1795" s="2" t="n"/>
      <c r="O1795" s="3" t="inlineStr">
        <is>
          <t>https://vanillabonds.com/dossier-data/pdf/fastned/fastned-h1-2026-interim-report.pdf#page=29</t>
        </is>
      </c>
    </row>
    <row r="1796">
      <c r="A1796" s="2" t="inlineStr">
        <is>
          <t>F1795</t>
        </is>
      </c>
      <c r="B1796" s="2" t="inlineStr">
        <is>
          <t>business</t>
        </is>
      </c>
      <c r="C1796" s="2" t="inlineStr">
        <is>
          <t>business_fact</t>
        </is>
      </c>
      <c r="D1796" s="2" t="inlineStr">
        <is>
          <t>Business fact</t>
        </is>
      </c>
      <c r="E1796" s="2" t="n"/>
      <c r="F1796" s="2" t="n"/>
      <c r="G1796" s="2" t="n"/>
      <c r="H1796" s="3" t="inlineStr">
        <is>
          <t>Proceeds from borrowings EUR 85.9m in H1 2026 (H1 2025: 46.2); no repayments of borrowings; net financing inflow 85.5 (44.1).</t>
        </is>
      </c>
      <c r="I1796" s="2" t="inlineStr">
        <is>
          <t>S4</t>
        </is>
      </c>
      <c r="J1796" s="2" t="n">
        <v>30</v>
      </c>
      <c r="K1796" s="2" t="inlineStr">
        <is>
          <t>Proceeds from borrowings 85,870 46,172</t>
        </is>
      </c>
      <c r="L1796" s="2" t="inlineStr">
        <is>
          <t>pend</t>
        </is>
      </c>
      <c r="M1796" s="2" t="n"/>
      <c r="N1796" s="2" t="n"/>
      <c r="O1796" s="3" t="inlineStr">
        <is>
          <t>https://vanillabonds.com/dossier-data/pdf/fastned/fastned-h1-2026-interim-report.pdf#page=30</t>
        </is>
      </c>
    </row>
    <row r="1797">
      <c r="A1797" s="2" t="inlineStr">
        <is>
          <t>F1796</t>
        </is>
      </c>
      <c r="B1797" s="2" t="inlineStr">
        <is>
          <t>business</t>
        </is>
      </c>
      <c r="C1797" s="2" t="inlineStr">
        <is>
          <t>business_fact</t>
        </is>
      </c>
      <c r="D1797" s="2" t="inlineStr">
        <is>
          <t>Business fact</t>
        </is>
      </c>
      <c r="E1797" s="2" t="n"/>
      <c r="F1797" s="2" t="n"/>
      <c r="G1797" s="2" t="n"/>
      <c r="H1797" s="3" t="inlineStr">
        <is>
          <t>German government grants (Bundesministerium fuer Verkehr) received EUR 3.2m cash in H1 2026, accounted for as an interest-free loan under IAS 20 / IFRS 9.</t>
        </is>
      </c>
      <c r="I1797" s="2" t="inlineStr">
        <is>
          <t>S4</t>
        </is>
      </c>
      <c r="J1797" s="2" t="n">
        <v>30</v>
      </c>
      <c r="K1797" s="3" t="inlineStr">
        <is>
          <t>Proceeds from Government grants received 3,157</t>
        </is>
      </c>
      <c r="L1797" s="2" t="inlineStr">
        <is>
          <t>pend</t>
        </is>
      </c>
      <c r="M1797" s="2" t="n"/>
      <c r="N1797" s="2" t="n"/>
      <c r="O1797" s="3" t="inlineStr">
        <is>
          <t>https://vanillabonds.com/dossier-data/pdf/fastned/fastned-h1-2026-interim-report.pdf#page=30</t>
        </is>
      </c>
    </row>
    <row r="1798">
      <c r="A1798" s="2" t="inlineStr">
        <is>
          <t>F1797</t>
        </is>
      </c>
      <c r="B1798" s="2" t="inlineStr">
        <is>
          <t>business</t>
        </is>
      </c>
      <c r="C1798" s="2" t="inlineStr">
        <is>
          <t>business_fact</t>
        </is>
      </c>
      <c r="D1798" s="2" t="inlineStr">
        <is>
          <t>Business fact</t>
        </is>
      </c>
      <c r="E1798" s="2" t="n"/>
      <c r="F1798" s="2" t="n"/>
      <c r="G1798" s="2" t="n"/>
      <c r="H1798" s="3" t="inlineStr">
        <is>
          <t>Net cash used in investing activities EUR 44.6m in H1 2026 (H1 2025: 42.8).</t>
        </is>
      </c>
      <c r="I1798" s="2" t="inlineStr">
        <is>
          <t>S4</t>
        </is>
      </c>
      <c r="J1798" s="2" t="n">
        <v>30</v>
      </c>
      <c r="K1798" s="3" t="inlineStr">
        <is>
          <t>Net cash flows used in investing activities (44,635) (42,761)</t>
        </is>
      </c>
      <c r="L1798" s="2" t="inlineStr">
        <is>
          <t>pend</t>
        </is>
      </c>
      <c r="M1798" s="2" t="n"/>
      <c r="N1798" s="2" t="n"/>
      <c r="O1798" s="3" t="inlineStr">
        <is>
          <t>https://vanillabonds.com/dossier-data/pdf/fastned/fastned-h1-2026-interim-report.pdf#page=30</t>
        </is>
      </c>
    </row>
    <row r="1799">
      <c r="A1799" s="2" t="inlineStr">
        <is>
          <t>F1798</t>
        </is>
      </c>
      <c r="B1799" s="2" t="inlineStr">
        <is>
          <t>business</t>
        </is>
      </c>
      <c r="C1799" s="2" t="inlineStr">
        <is>
          <t>business_fact</t>
        </is>
      </c>
      <c r="D1799" s="2" t="inlineStr">
        <is>
          <t>Business fact</t>
        </is>
      </c>
      <c r="E1799" s="2" t="n"/>
      <c r="F1799" s="2" t="n"/>
      <c r="G1799" s="2" t="n"/>
      <c r="H1799" s="3" t="inlineStr">
        <is>
          <t>Joint venture Fast Places Limited (with Places for London, established 5 Dec 2024) 51% held via Fastned UK, equity-accounted, not consolidated; carrying amount EUR 4.3m.</t>
        </is>
      </c>
      <c r="I1799" s="2" t="inlineStr">
        <is>
          <t>S4</t>
        </is>
      </c>
      <c r="J1799" s="2" t="n">
        <v>32</v>
      </c>
      <c r="K1799" s="3" t="inlineStr">
        <is>
          <t>Fastned holds its interest through Fastned UK who holds 51% of the equity of Fast Places.</t>
        </is>
      </c>
      <c r="L1799" s="2" t="inlineStr">
        <is>
          <t>pend</t>
        </is>
      </c>
      <c r="M1799" s="2" t="n"/>
      <c r="N1799" s="2" t="n"/>
      <c r="O1799" s="3" t="inlineStr">
        <is>
          <t>https://vanillabonds.com/dossier-data/pdf/fastned/fastned-h1-2026-interim-report.pdf#page=32</t>
        </is>
      </c>
    </row>
    <row r="1800">
      <c r="A1800" s="2" t="inlineStr">
        <is>
          <t>F1799</t>
        </is>
      </c>
      <c r="B1800" s="2" t="inlineStr">
        <is>
          <t>business</t>
        </is>
      </c>
      <c r="C1800" s="2" t="inlineStr">
        <is>
          <t>business_fact</t>
        </is>
      </c>
      <c r="D1800" s="2" t="inlineStr">
        <is>
          <t>Business fact</t>
        </is>
      </c>
      <c r="E1800" s="2" t="n"/>
      <c r="F1800" s="2" t="n"/>
      <c r="G1800" s="2" t="n"/>
      <c r="H1800" s="3" t="inlineStr">
        <is>
          <t>Sales of electricity EUR 68.2m in H1 2026 (H1 2025: 48.8); sales of renewable energy units EUR 6.8m (4.7).</t>
        </is>
      </c>
      <c r="I1800" s="2" t="inlineStr">
        <is>
          <t>S4</t>
        </is>
      </c>
      <c r="J1800" s="2" t="n">
        <v>35</v>
      </c>
      <c r="K1800" s="3" t="inlineStr">
        <is>
          <t>Sales of electricity Goods transferred at a point in time 68,213 48,790</t>
        </is>
      </c>
      <c r="L1800" s="2" t="inlineStr">
        <is>
          <t>pend</t>
        </is>
      </c>
      <c r="M1800" s="2" t="n"/>
      <c r="N1800" s="2" t="n"/>
      <c r="O1800" s="3" t="inlineStr">
        <is>
          <t>https://vanillabonds.com/dossier-data/pdf/fastned/fastned-h1-2026-interim-report.pdf#page=35</t>
        </is>
      </c>
    </row>
    <row r="1801">
      <c r="A1801" s="2" t="inlineStr">
        <is>
          <t>F1800</t>
        </is>
      </c>
      <c r="B1801" s="2" t="inlineStr">
        <is>
          <t>business</t>
        </is>
      </c>
      <c r="C1801" s="2" t="inlineStr">
        <is>
          <t>business_fact</t>
        </is>
      </c>
      <c r="D1801" s="2" t="inlineStr">
        <is>
          <t>Business fact</t>
        </is>
      </c>
      <c r="E1801" s="2" t="n"/>
      <c r="F1801" s="2" t="n"/>
      <c r="G1801" s="2" t="n"/>
      <c r="H1801" s="3" t="inlineStr">
        <is>
          <t>Staff expenses (excluding share options) rose EUR 5.9m vs H1 2025; staff share options EUR 4 thousand (H1 2025: 14 thousand).</t>
        </is>
      </c>
      <c r="I1801" s="2" t="inlineStr">
        <is>
          <t>S4</t>
        </is>
      </c>
      <c r="J1801" s="2" t="n">
        <v>39</v>
      </c>
      <c r="K1801" s="3" t="inlineStr">
        <is>
          <t>increased in total by €5.9 million compared to first half of 2025.</t>
        </is>
      </c>
      <c r="L1801" s="2" t="inlineStr">
        <is>
          <t>pend</t>
        </is>
      </c>
      <c r="M1801" s="2" t="n"/>
      <c r="N1801" s="2" t="n"/>
      <c r="O1801" s="3" t="inlineStr">
        <is>
          <t>https://vanillabonds.com/dossier-data/pdf/fastned/fastned-h1-2026-interim-report.pdf#page=39</t>
        </is>
      </c>
    </row>
    <row r="1802">
      <c r="A1802" s="2" t="inlineStr">
        <is>
          <t>F1801</t>
        </is>
      </c>
      <c r="B1802" s="2" t="inlineStr">
        <is>
          <t>business</t>
        </is>
      </c>
      <c r="C1802" s="2" t="inlineStr">
        <is>
          <t>business_fact</t>
        </is>
      </c>
      <c r="D1802" s="2" t="inlineStr">
        <is>
          <t>Business fact</t>
        </is>
      </c>
      <c r="E1802" s="2" t="n"/>
      <c r="F1802" s="2" t="n"/>
      <c r="G1802" s="2" t="n"/>
      <c r="H1802" s="3" t="inlineStr">
        <is>
          <t>Interest on debts and borrowings EUR 8.7m in H1 2026 (H1 2025: 7.4); interest on lease liabilities 2.6 (1.6); total finance costs 11.8 (9.4).</t>
        </is>
      </c>
      <c r="I1802" s="2" t="inlineStr">
        <is>
          <t>S4</t>
        </is>
      </c>
      <c r="J1802" s="2" t="n">
        <v>40</v>
      </c>
      <c r="K1802" s="3" t="inlineStr">
        <is>
          <t>Interest on debts and borrowings 8,711 7,410</t>
        </is>
      </c>
      <c r="L1802" s="2" t="inlineStr">
        <is>
          <t>pend</t>
        </is>
      </c>
      <c r="M1802" s="2" t="n"/>
      <c r="N1802" s="2" t="n"/>
      <c r="O1802" s="3" t="inlineStr">
        <is>
          <t>https://vanillabonds.com/dossier-data/pdf/fastned/fastned-h1-2026-interim-report.pdf#page=40</t>
        </is>
      </c>
    </row>
    <row r="1803">
      <c r="A1803" s="2" t="inlineStr">
        <is>
          <t>F1802</t>
        </is>
      </c>
      <c r="B1803" s="2" t="inlineStr">
        <is>
          <t>business</t>
        </is>
      </c>
      <c r="C1803" s="2" t="inlineStr">
        <is>
          <t>business_fact</t>
        </is>
      </c>
      <c r="D1803" s="2" t="inlineStr">
        <is>
          <t>Business fact</t>
        </is>
      </c>
      <c r="E1803" s="2" t="n"/>
      <c r="F1803" s="2" t="n"/>
      <c r="G1803" s="2" t="n"/>
      <c r="H1803" s="3" t="inlineStr">
        <is>
          <t>Receivable from German highway authorities EUR 13.7m (2025: 6.1) and long-term deposits 2.1 (1.8) in other non-current financial assets.</t>
        </is>
      </c>
      <c r="I1803" s="2" t="inlineStr">
        <is>
          <t>S4</t>
        </is>
      </c>
      <c r="J1803" s="2" t="n">
        <v>42</v>
      </c>
      <c r="K1803" s="3" t="inlineStr">
        <is>
          <t>amounts receivable from the German Highway authorities of €13.7 million (2025: €6.1 million)</t>
        </is>
      </c>
      <c r="L1803" s="2" t="inlineStr">
        <is>
          <t>pend</t>
        </is>
      </c>
      <c r="M1803" s="2" t="n"/>
      <c r="N1803" s="2" t="n"/>
      <c r="O1803" s="3" t="inlineStr">
        <is>
          <t>https://vanillabonds.com/dossier-data/pdf/fastned/fastned-h1-2026-interim-report.pdf#page=42</t>
        </is>
      </c>
    </row>
    <row r="1804">
      <c r="A1804" s="2" t="inlineStr">
        <is>
          <t>F1803</t>
        </is>
      </c>
      <c r="B1804" s="2" t="inlineStr">
        <is>
          <t>business</t>
        </is>
      </c>
      <c r="C1804" s="2" t="inlineStr">
        <is>
          <t>business_fact</t>
        </is>
      </c>
      <c r="D1804" s="2" t="inlineStr">
        <is>
          <t>Business fact</t>
        </is>
      </c>
      <c r="E1804" s="2" t="n"/>
      <c r="F1804" s="2" t="n"/>
      <c r="G1804" s="2" t="n"/>
      <c r="H1804" s="3" t="inlineStr">
        <is>
          <t>Contract assets from the German highway construction contract EUR 4.2m at 30 June 2026 (31 Dec 2025: 6.0).</t>
        </is>
      </c>
      <c r="I1804" s="2" t="inlineStr">
        <is>
          <t>S4</t>
        </is>
      </c>
      <c r="J1804" s="2" t="n">
        <v>45</v>
      </c>
      <c r="K1804" s="2" t="inlineStr">
        <is>
          <t>Contract assets 4,240 6,028</t>
        </is>
      </c>
      <c r="L1804" s="2" t="inlineStr">
        <is>
          <t>pend</t>
        </is>
      </c>
      <c r="M1804" s="2" t="n"/>
      <c r="N1804" s="2" t="n"/>
      <c r="O1804" s="3" t="inlineStr">
        <is>
          <t>https://vanillabonds.com/dossier-data/pdf/fastned/fastned-h1-2026-interim-report.pdf#page=45</t>
        </is>
      </c>
    </row>
    <row r="1805">
      <c r="A1805" s="2" t="inlineStr">
        <is>
          <t>F1804</t>
        </is>
      </c>
      <c r="B1805" s="2" t="inlineStr">
        <is>
          <t>business</t>
        </is>
      </c>
      <c r="C1805" s="2" t="inlineStr">
        <is>
          <t>business_fact</t>
        </is>
      </c>
      <c r="D1805" s="2" t="inlineStr">
        <is>
          <t>Business fact</t>
        </is>
      </c>
      <c r="E1805" s="2" t="n"/>
      <c r="F1805" s="2" t="n"/>
      <c r="G1805" s="2" t="n"/>
      <c r="H1805" s="3" t="inlineStr">
        <is>
          <t>Inventories EUR 14.7m at 30 June 2026 (31 Dec 2025: 9.4), of which renewable energy units granted 12.2 (5.9).</t>
        </is>
      </c>
      <c r="I1805" s="2" t="inlineStr">
        <is>
          <t>S4</t>
        </is>
      </c>
      <c r="J1805" s="2" t="n">
        <v>46</v>
      </c>
      <c r="K1805" s="3" t="inlineStr">
        <is>
          <t>Renewable energy units granted 12,202 5,869</t>
        </is>
      </c>
      <c r="L1805" s="2" t="inlineStr">
        <is>
          <t>pend</t>
        </is>
      </c>
      <c r="M1805" s="2" t="n"/>
      <c r="N1805" s="2" t="n"/>
      <c r="O1805" s="3" t="inlineStr">
        <is>
          <t>https://vanillabonds.com/dossier-data/pdf/fastned/fastned-h1-2026-interim-report.pdf#page=46</t>
        </is>
      </c>
    </row>
    <row r="1806">
      <c r="A1806" s="2" t="inlineStr">
        <is>
          <t>F1805</t>
        </is>
      </c>
      <c r="B1806" s="2" t="inlineStr">
        <is>
          <t>business</t>
        </is>
      </c>
      <c r="C1806" s="2" t="inlineStr">
        <is>
          <t>business_fact</t>
        </is>
      </c>
      <c r="D1806" s="2" t="inlineStr">
        <is>
          <t>Business fact</t>
        </is>
      </c>
      <c r="E1806" s="2" t="n"/>
      <c r="F1806" s="2" t="n"/>
      <c r="G1806" s="2" t="n"/>
      <c r="H1806" s="3" t="inlineStr">
        <is>
          <t>Issued shares 19,552,048 of EUR 0.01 at 30 June 2026 (incl. 15,400 treasury shares); 87,912 DRs issued to option holders in H1 2026; 105,490 options outstanding.</t>
        </is>
      </c>
      <c r="I1806" s="2" t="inlineStr">
        <is>
          <t>S4</t>
        </is>
      </c>
      <c r="J1806" s="2" t="n">
        <v>46</v>
      </c>
      <c r="K1806" s="2" t="inlineStr">
        <is>
          <t>19,552,048 196</t>
        </is>
      </c>
      <c r="L1806" s="2" t="inlineStr">
        <is>
          <t>pend</t>
        </is>
      </c>
      <c r="M1806" s="2" t="n"/>
      <c r="N1806" s="2" t="n"/>
      <c r="O1806" s="3" t="inlineStr">
        <is>
          <t>https://vanillabonds.com/dossier-data/pdf/fastned/fastned-h1-2026-interim-report.pdf#page=46</t>
        </is>
      </c>
    </row>
    <row r="1807">
      <c r="A1807" s="2" t="inlineStr">
        <is>
          <t>F1806</t>
        </is>
      </c>
      <c r="B1807" s="2" t="inlineStr">
        <is>
          <t>business</t>
        </is>
      </c>
      <c r="C1807" s="2" t="inlineStr">
        <is>
          <t>business_fact</t>
        </is>
      </c>
      <c r="D1807" s="2" t="inlineStr">
        <is>
          <t>Business fact</t>
        </is>
      </c>
      <c r="E1807" s="2" t="n"/>
      <c r="F1807" s="2" t="n"/>
      <c r="G1807" s="2" t="n"/>
      <c r="H1807" s="3" t="inlineStr">
        <is>
          <t>Decommissioning provisions EUR 21.3m at 30 June 2026 (31 Dec 2025: 20.3); discount rate 3.01% (2025: 2.0%), inflation 2.0%.</t>
        </is>
      </c>
      <c r="I1807" s="2" t="inlineStr">
        <is>
          <t>S4</t>
        </is>
      </c>
      <c r="J1807" s="2" t="n">
        <v>47</v>
      </c>
      <c r="K1807" s="3" t="inlineStr">
        <is>
          <t>The discount rate increased to 3.01% (2025: 2.0%) and the inflation remained consistent at 2.0% (2025: 2.0%).</t>
        </is>
      </c>
      <c r="L1807" s="2" t="inlineStr">
        <is>
          <t>pend</t>
        </is>
      </c>
      <c r="M1807" s="2" t="n"/>
      <c r="N1807" s="2" t="n"/>
      <c r="O1807" s="3" t="inlineStr">
        <is>
          <t>https://vanillabonds.com/dossier-data/pdf/fastned/fastned-h1-2026-interim-report.pdf#page=47</t>
        </is>
      </c>
    </row>
    <row r="1808">
      <c r="A1808" s="2" t="inlineStr">
        <is>
          <t>F1807</t>
        </is>
      </c>
      <c r="B1808" s="2" t="inlineStr">
        <is>
          <t>business</t>
        </is>
      </c>
      <c r="C1808" s="2" t="inlineStr">
        <is>
          <t>business_fact</t>
        </is>
      </c>
      <c r="D1808" s="2" t="inlineStr">
        <is>
          <t>Business fact</t>
        </is>
      </c>
      <c r="E1808" s="2" t="n"/>
      <c r="F1808" s="2" t="n"/>
      <c r="G1808" s="2" t="n"/>
      <c r="H1808" s="3" t="inlineStr">
        <is>
          <t>Trade and other payables EUR 36.4m at 30 June 2026 (31 Dec 2025: 31.3), including higher VAT and tax liabilities and accrued interest.</t>
        </is>
      </c>
      <c r="I1808" s="2" t="inlineStr">
        <is>
          <t>S4</t>
        </is>
      </c>
      <c r="J1808" s="2" t="n">
        <v>47</v>
      </c>
      <c r="K1808" s="3" t="inlineStr">
        <is>
          <t>Trade and other payables increased to €36.4 million as at 30 June 2026 (31 December 2025: €31.3 million).</t>
        </is>
      </c>
      <c r="L1808" s="2" t="inlineStr">
        <is>
          <t>pend</t>
        </is>
      </c>
      <c r="M1808" s="2" t="n"/>
      <c r="N1808" s="2" t="n"/>
      <c r="O1808" s="3" t="inlineStr">
        <is>
          <t>https://vanillabonds.com/dossier-data/pdf/fastned/fastned-h1-2026-interim-report.pdf#page=47</t>
        </is>
      </c>
    </row>
    <row r="1809">
      <c r="A1809" s="2" t="inlineStr">
        <is>
          <t>F1808</t>
        </is>
      </c>
      <c r="B1809" s="2" t="inlineStr">
        <is>
          <t>business</t>
        </is>
      </c>
      <c r="C1809" s="2" t="inlineStr">
        <is>
          <t>business_fact</t>
        </is>
      </c>
      <c r="D1809" s="2" t="inlineStr">
        <is>
          <t>Business fact</t>
        </is>
      </c>
      <c r="E1809" s="2" t="n"/>
      <c r="F1809" s="2" t="n"/>
      <c r="G1809" s="2" t="n"/>
      <c r="H1809" s="3" t="inlineStr">
        <is>
          <t>Fastned Founders Club: 69 members with lifetime free charging; 52,569 kWh charged free in H1 2026 (H1 2025: 38,395 kWh).</t>
        </is>
      </c>
      <c r="I1809" s="2" t="inlineStr">
        <is>
          <t>S4</t>
        </is>
      </c>
      <c r="J1809" s="2" t="n">
        <v>47</v>
      </c>
      <c r="K1809" s="3" t="inlineStr">
        <is>
          <t>On 30 June 2026, there were 69 members in this Club.</t>
        </is>
      </c>
      <c r="L1809" s="2" t="inlineStr">
        <is>
          <t>pend</t>
        </is>
      </c>
      <c r="M1809" s="2" t="n"/>
      <c r="N1809" s="2" t="n"/>
      <c r="O1809" s="3" t="inlineStr">
        <is>
          <t>https://vanillabonds.com/dossier-data/pdf/fastned/fastned-h1-2026-interim-report.pdf#page=47</t>
        </is>
      </c>
    </row>
    <row r="1810">
      <c r="A1810" s="2" t="inlineStr">
        <is>
          <t>F1809</t>
        </is>
      </c>
      <c r="B1810" s="2" t="inlineStr">
        <is>
          <t>business</t>
        </is>
      </c>
      <c r="C1810" s="2" t="inlineStr">
        <is>
          <t>business_fact</t>
        </is>
      </c>
      <c r="D1810" s="2" t="inlineStr">
        <is>
          <t>Business fact</t>
        </is>
      </c>
      <c r="E1810" s="2" t="n"/>
      <c r="F1810" s="2" t="n"/>
      <c r="G1810" s="2" t="n"/>
      <c r="H1810" s="3" t="inlineStr">
        <is>
          <t>Green loan facility borrower is Fastned Tico Holding I B.V., a ring-fenced wholly-owned subsidiary.</t>
        </is>
      </c>
      <c r="I1810" s="2" t="inlineStr">
        <is>
          <t>S4</t>
        </is>
      </c>
      <c r="J1810" s="2" t="n">
        <v>49</v>
      </c>
      <c r="K1810" s="3" t="inlineStr">
        <is>
          <t>in connection with the senior debt facilities of Fastned Tico Holding I B.V.</t>
        </is>
      </c>
      <c r="L1810" s="2" t="inlineStr">
        <is>
          <t>pend</t>
        </is>
      </c>
      <c r="M1810" s="2" t="n"/>
      <c r="N1810" s="2" t="n"/>
      <c r="O1810" s="3" t="inlineStr">
        <is>
          <t>https://vanillabonds.com/dossier-data/pdf/fastned/fastned-h1-2026-interim-report.pdf#page=49</t>
        </is>
      </c>
    </row>
    <row r="1811">
      <c r="A1811" s="2" t="inlineStr">
        <is>
          <t>F1810</t>
        </is>
      </c>
      <c r="B1811" s="2" t="inlineStr">
        <is>
          <t>business</t>
        </is>
      </c>
      <c r="C1811" s="2" t="inlineStr">
        <is>
          <t>key_event</t>
        </is>
      </c>
      <c r="D1811" s="2" t="inlineStr">
        <is>
          <t>Key event (M&amp;A, financing, strategy)</t>
        </is>
      </c>
      <c r="E1811" s="2" t="n"/>
      <c r="F1811" s="2" t="n"/>
      <c r="G1811" s="2" t="n"/>
      <c r="H1811" s="3" t="inlineStr">
        <is>
          <t>April 2026: Fastned reported over EUR 100m annual revenue related to charging for the first time.</t>
        </is>
      </c>
      <c r="I1811" s="2" t="inlineStr">
        <is>
          <t>S4</t>
        </is>
      </c>
      <c r="J1811" s="2" t="n">
        <v>2</v>
      </c>
      <c r="K1811" s="3" t="inlineStr">
        <is>
          <t>Fastned reports over €100m in annual revenue related to charging for the first time.</t>
        </is>
      </c>
      <c r="L1811" s="2" t="inlineStr">
        <is>
          <t>pend</t>
        </is>
      </c>
      <c r="M1811" s="2" t="n"/>
      <c r="N1811" s="2" t="n"/>
      <c r="O1811" s="3" t="inlineStr">
        <is>
          <t>https://vanillabonds.com/dossier-data/pdf/fastned/fastned-h1-2026-interim-report.pdf#page=2</t>
        </is>
      </c>
    </row>
    <row r="1812">
      <c r="A1812" s="2" t="inlineStr">
        <is>
          <t>F1811</t>
        </is>
      </c>
      <c r="B1812" s="2" t="inlineStr">
        <is>
          <t>business</t>
        </is>
      </c>
      <c r="C1812" s="2" t="inlineStr">
        <is>
          <t>key_event</t>
        </is>
      </c>
      <c r="D1812" s="2" t="inlineStr">
        <is>
          <t>Key event (M&amp;A, financing, strategy)</t>
        </is>
      </c>
      <c r="E1812" s="2" t="n"/>
      <c r="F1812" s="2" t="n"/>
      <c r="G1812" s="2" t="n"/>
      <c r="H1812" s="3" t="inlineStr">
        <is>
          <t>June 2026: first London hub opened at Hatton Cross (next to Heathrow) under the Fast Places joint venture with Places for London.</t>
        </is>
      </c>
      <c r="I1812" s="2" t="inlineStr">
        <is>
          <t>S4</t>
        </is>
      </c>
      <c r="J1812" s="2" t="n">
        <v>8</v>
      </c>
      <c r="K1812" s="3" t="inlineStr">
        <is>
          <t>the opening of our first station under our unique joint venture with Places for London</t>
        </is>
      </c>
      <c r="L1812" s="2" t="inlineStr">
        <is>
          <t>pend</t>
        </is>
      </c>
      <c r="M1812" s="2" t="n"/>
      <c r="N1812" s="2" t="n"/>
      <c r="O1812" s="3" t="inlineStr">
        <is>
          <t>https://vanillabonds.com/dossier-data/pdf/fastned/fastned-h1-2026-interim-report.pdf#page=8</t>
        </is>
      </c>
    </row>
    <row r="1813">
      <c r="A1813" s="2" t="inlineStr">
        <is>
          <t>F1812</t>
        </is>
      </c>
      <c r="B1813" s="2" t="inlineStr">
        <is>
          <t>business</t>
        </is>
      </c>
      <c r="C1813" s="2" t="inlineStr">
        <is>
          <t>key_event</t>
        </is>
      </c>
      <c r="D1813" s="2" t="inlineStr">
        <is>
          <t>Key event (M&amp;A, financing, strategy)</t>
        </is>
      </c>
      <c r="E1813" s="2" t="n"/>
      <c r="F1813" s="2" t="n"/>
      <c r="G1813" s="2" t="n"/>
      <c r="H1813" s="3" t="inlineStr">
        <is>
          <t>January 2026: green loan facility of up to EUR 200m closed with ABN AMRO, Credit Agricole, ING, Invest-NL and Rabobank; EUR 100m committed for Belgium and Switzerland.</t>
        </is>
      </c>
      <c r="I1813" s="2" t="inlineStr">
        <is>
          <t>S4</t>
        </is>
      </c>
      <c r="J1813" s="2" t="n">
        <v>12</v>
      </c>
      <c r="K1813" s="3" t="inlineStr">
        <is>
          <t>In January 2026, Fastned closed a green loan facility of up to €200 million from a syndicate of five leading European lenders</t>
        </is>
      </c>
      <c r="L1813" s="2" t="inlineStr">
        <is>
          <t>pend</t>
        </is>
      </c>
      <c r="M1813" s="2" t="n"/>
      <c r="N1813" s="2" t="n"/>
      <c r="O1813" s="3" t="inlineStr">
        <is>
          <t>https://vanillabonds.com/dossier-data/pdf/fastned/fastned-h1-2026-interim-report.pdf#page=12</t>
        </is>
      </c>
    </row>
    <row r="1814">
      <c r="A1814" s="2" t="inlineStr">
        <is>
          <t>F1813</t>
        </is>
      </c>
      <c r="B1814" s="2" t="inlineStr">
        <is>
          <t>business</t>
        </is>
      </c>
      <c r="C1814" s="2" t="inlineStr">
        <is>
          <t>key_event</t>
        </is>
      </c>
      <c r="D1814" s="2" t="inlineStr">
        <is>
          <t>Key event (M&amp;A, financing, strategy)</t>
        </is>
      </c>
      <c r="E1814" s="2" t="n"/>
      <c r="F1814" s="2" t="n"/>
      <c r="G1814" s="2" t="n"/>
      <c r="H1814" s="3" t="inlineStr">
        <is>
          <t>March 2026: first retail bond campaign of 2026 closed, raising EUR 32.4m (20th tranche of the programme).</t>
        </is>
      </c>
      <c r="I1814" s="2" t="inlineStr">
        <is>
          <t>S4</t>
        </is>
      </c>
      <c r="J1814" s="2" t="n">
        <v>12</v>
      </c>
      <c r="K1814" s="3" t="inlineStr">
        <is>
          <t>The year's first campaign, which closed in March 2026, raised €32.4 million and was the 20th tranche in the programme.</t>
        </is>
      </c>
      <c r="L1814" s="2" t="inlineStr">
        <is>
          <t>pend</t>
        </is>
      </c>
      <c r="M1814" s="2" t="n"/>
      <c r="N1814" s="2" t="n"/>
      <c r="O1814" s="3" t="inlineStr">
        <is>
          <t>https://vanillabonds.com/dossier-data/pdf/fastned/fastned-h1-2026-interim-report.pdf#page=12</t>
        </is>
      </c>
    </row>
    <row r="1815">
      <c r="A1815" s="2" t="inlineStr">
        <is>
          <t>F1814</t>
        </is>
      </c>
      <c r="B1815" s="2" t="inlineStr">
        <is>
          <t>business</t>
        </is>
      </c>
      <c r="C1815" s="2" t="inlineStr">
        <is>
          <t>key_event</t>
        </is>
      </c>
      <c r="D1815" s="2" t="inlineStr">
        <is>
          <t>Key event (M&amp;A, financing, strategy)</t>
        </is>
      </c>
      <c r="E1815" s="2" t="n"/>
      <c r="F1815" s="2" t="n"/>
      <c r="G1815" s="2" t="n"/>
      <c r="H1815" s="3" t="inlineStr">
        <is>
          <t>21 June 2026: second retail bond campaign closed, raising EUR 36.5m of which EUR 35.1m new money, a record single round.</t>
        </is>
      </c>
      <c r="I1815" s="2" t="inlineStr">
        <is>
          <t>S4</t>
        </is>
      </c>
      <c r="J1815" s="2" t="n">
        <v>12</v>
      </c>
      <c r="K1815" s="3" t="inlineStr">
        <is>
          <t>Another closed on 21 June 2026 and raised €36.5 million, with €35.1 million in new investment</t>
        </is>
      </c>
      <c r="L1815" s="2" t="inlineStr">
        <is>
          <t>pend</t>
        </is>
      </c>
      <c r="M1815" s="2" t="n"/>
      <c r="N1815" s="2" t="n"/>
      <c r="O1815" s="3" t="inlineStr">
        <is>
          <t>https://vanillabonds.com/dossier-data/pdf/fastned/fastned-h1-2026-interim-report.pdf#page=12</t>
        </is>
      </c>
    </row>
    <row r="1816">
      <c r="A1816" s="2" t="inlineStr">
        <is>
          <t>F1815</t>
        </is>
      </c>
      <c r="B1816" s="2" t="inlineStr">
        <is>
          <t>business</t>
        </is>
      </c>
      <c r="C1816" s="2" t="inlineStr">
        <is>
          <t>key_event</t>
        </is>
      </c>
      <c r="D1816" s="2" t="inlineStr">
        <is>
          <t>Key event (M&amp;A, financing, strategy)</t>
        </is>
      </c>
      <c r="E1816" s="2" t="n"/>
      <c r="F1816" s="2" t="n"/>
      <c r="G1816" s="2" t="n"/>
      <c r="H1816" s="3" t="inlineStr">
        <is>
          <t>H1 2026: bank guarantee facility renegotiated, raised from EUR 17m to EUR 20m with all financial covenants removed.</t>
        </is>
      </c>
      <c r="I1816" s="2" t="inlineStr">
        <is>
          <t>S4</t>
        </is>
      </c>
      <c r="J1816" s="2" t="n">
        <v>48</v>
      </c>
      <c r="K1816" s="3" t="inlineStr">
        <is>
          <t>increasing the total available amount from €17 million to €20 million and removing all financial covenants</t>
        </is>
      </c>
      <c r="L1816" s="2" t="inlineStr">
        <is>
          <t>pend</t>
        </is>
      </c>
      <c r="M1816" s="2" t="n"/>
      <c r="N1816" s="2" t="n"/>
      <c r="O1816" s="3" t="inlineStr">
        <is>
          <t>https://vanillabonds.com/dossier-data/pdf/fastned/fastned-h1-2026-interim-report.pdf#page=48</t>
        </is>
      </c>
    </row>
    <row r="1817">
      <c r="A1817" s="2" t="inlineStr">
        <is>
          <t>F1816</t>
        </is>
      </c>
      <c r="B1817" s="2" t="inlineStr">
        <is>
          <t>business</t>
        </is>
      </c>
      <c r="C1817" s="2" t="inlineStr">
        <is>
          <t>key_event</t>
        </is>
      </c>
      <c r="D1817" s="2" t="inlineStr">
        <is>
          <t>Key event (M&amp;A, financing, strategy)</t>
        </is>
      </c>
      <c r="E1817" s="2" t="n"/>
      <c r="F1817" s="2" t="n"/>
      <c r="G1817" s="2" t="n"/>
      <c r="H1817" s="3" t="inlineStr">
        <is>
          <t>H1 2026: three interest rate swaps entered for the green facility; the Group held no derivatives at 31 December 2025.</t>
        </is>
      </c>
      <c r="I1817" s="2" t="inlineStr">
        <is>
          <t>S4</t>
        </is>
      </c>
      <c r="J1817" s="2" t="n">
        <v>49</v>
      </c>
      <c r="K1817" s="3" t="inlineStr">
        <is>
          <t>During the period the group entered into three interest rate derivative contracts</t>
        </is>
      </c>
      <c r="L1817" s="2" t="inlineStr">
        <is>
          <t>pend</t>
        </is>
      </c>
      <c r="M1817" s="2" t="n"/>
      <c r="N1817" s="2" t="n"/>
      <c r="O1817" s="3" t="inlineStr">
        <is>
          <t>https://vanillabonds.com/dossier-data/pdf/fastned/fastned-h1-2026-interim-report.pdf#page=49</t>
        </is>
      </c>
    </row>
    <row r="1818">
      <c r="A1818" s="2" t="inlineStr">
        <is>
          <t>F1817</t>
        </is>
      </c>
      <c r="B1818" s="2" t="inlineStr">
        <is>
          <t>business</t>
        </is>
      </c>
      <c r="C1818" s="2" t="inlineStr">
        <is>
          <t>key_event</t>
        </is>
      </c>
      <c r="D1818" s="2" t="inlineStr">
        <is>
          <t>Key event (M&amp;A, financing, strategy)</t>
        </is>
      </c>
      <c r="E1818" s="2" t="n"/>
      <c r="F1818" s="2" t="n"/>
      <c r="G1818" s="2" t="n"/>
      <c r="H1818" s="3" t="inlineStr">
        <is>
          <t>No significant changes in group composition in H1 2026; no post-balance-sheet events requiring adjustment or disclosure.</t>
        </is>
      </c>
      <c r="I1818" s="2" t="inlineStr">
        <is>
          <t>S4</t>
        </is>
      </c>
      <c r="J1818" s="2" t="n">
        <v>49</v>
      </c>
      <c r="K1818" s="3" t="inlineStr">
        <is>
          <t>No events have been identified that would require adjustment to, or disclosure in,</t>
        </is>
      </c>
      <c r="L1818" s="2" t="inlineStr">
        <is>
          <t>pend</t>
        </is>
      </c>
      <c r="M1818" s="2" t="n"/>
      <c r="N1818" s="2" t="n"/>
      <c r="O1818" s="3" t="inlineStr">
        <is>
          <t>https://vanillabonds.com/dossier-data/pdf/fastned/fastned-h1-2026-interim-report.pdf#page=49</t>
        </is>
      </c>
    </row>
    <row r="1819">
      <c r="A1819" s="2" t="inlineStr">
        <is>
          <t>F1818</t>
        </is>
      </c>
      <c r="B1819" s="2" t="inlineStr">
        <is>
          <t>financials</t>
        </is>
      </c>
      <c r="C1819" s="2" t="inlineStr">
        <is>
          <t>revenue</t>
        </is>
      </c>
      <c r="D1819" s="2" t="inlineStr">
        <is>
          <t>Revenue</t>
        </is>
      </c>
      <c r="E1819" s="2" t="inlineStr">
        <is>
          <t>H1-2024</t>
        </is>
      </c>
      <c r="F1819" s="2" t="n">
        <v>37.8</v>
      </c>
      <c r="G1819" s="2" t="inlineStr">
        <is>
          <t>EUR m</t>
        </is>
      </c>
      <c r="H1819" s="3" t="inlineStr">
        <is>
          <t>Total revenue H1 2024 (key figures table)</t>
        </is>
      </c>
      <c r="I1819" s="2" t="inlineStr">
        <is>
          <t>S4</t>
        </is>
      </c>
      <c r="J1819" s="2" t="n">
        <v>17</v>
      </c>
      <c r="K1819" s="2" t="inlineStr">
        <is>
          <t>Total revenue 83.5 57.8 37.8 45%</t>
        </is>
      </c>
      <c r="L1819" s="2" t="inlineStr">
        <is>
          <t>pend</t>
        </is>
      </c>
      <c r="M1819" s="2" t="n"/>
      <c r="N1819" s="2" t="n"/>
      <c r="O1819" s="3" t="inlineStr">
        <is>
          <t>https://vanillabonds.com/dossier-data/pdf/fastned/fastned-h1-2026-interim-report.pdf#page=17</t>
        </is>
      </c>
    </row>
    <row r="1820">
      <c r="A1820" s="2" t="inlineStr">
        <is>
          <t>F1819</t>
        </is>
      </c>
      <c r="B1820" s="2" t="inlineStr">
        <is>
          <t>financials</t>
        </is>
      </c>
      <c r="C1820" s="2" t="inlineStr">
        <is>
          <t>revenue</t>
        </is>
      </c>
      <c r="D1820" s="2" t="inlineStr">
        <is>
          <t>Revenue</t>
        </is>
      </c>
      <c r="E1820" s="2" t="inlineStr">
        <is>
          <t>H1-2025</t>
        </is>
      </c>
      <c r="F1820" s="2" t="n">
        <v>57.8</v>
      </c>
      <c r="G1820" s="2" t="inlineStr">
        <is>
          <t>EUR m</t>
        </is>
      </c>
      <c r="H1820" s="3" t="inlineStr">
        <is>
          <t>Total revenue, restated for renewable energy units policy</t>
        </is>
      </c>
      <c r="I1820" s="2" t="inlineStr">
        <is>
          <t>S4</t>
        </is>
      </c>
      <c r="J1820" s="2" t="n">
        <v>25</v>
      </c>
      <c r="K1820" s="2" t="inlineStr">
        <is>
          <t>83,523 57,775</t>
        </is>
      </c>
      <c r="L1820" s="2" t="inlineStr">
        <is>
          <t>pend</t>
        </is>
      </c>
      <c r="M1820" s="2" t="n"/>
      <c r="N1820" s="2" t="n"/>
      <c r="O1820" s="3" t="inlineStr">
        <is>
          <t>https://vanillabonds.com/dossier-data/pdf/fastned/fastned-h1-2026-interim-report.pdf#page=25</t>
        </is>
      </c>
    </row>
    <row r="1821">
      <c r="A1821" s="2" t="inlineStr">
        <is>
          <t>F1820</t>
        </is>
      </c>
      <c r="B1821" s="2" t="inlineStr">
        <is>
          <t>financials</t>
        </is>
      </c>
      <c r="C1821" s="2" t="inlineStr">
        <is>
          <t>revenue</t>
        </is>
      </c>
      <c r="D1821" s="2" t="inlineStr">
        <is>
          <t>Revenue</t>
        </is>
      </c>
      <c r="E1821" s="2" t="inlineStr">
        <is>
          <t>H1-2026</t>
        </is>
      </c>
      <c r="F1821" s="2" t="n">
        <v>83.5</v>
      </c>
      <c r="G1821" s="2" t="inlineStr">
        <is>
          <t>EUR m</t>
        </is>
      </c>
      <c r="H1821" s="3" t="inlineStr">
        <is>
          <t>Total revenue incl. 8.5 station construction (IFRIC 12)</t>
        </is>
      </c>
      <c r="I1821" s="2" t="inlineStr">
        <is>
          <t>S4</t>
        </is>
      </c>
      <c r="J1821" s="2" t="n">
        <v>25</v>
      </c>
      <c r="K1821" s="2" t="inlineStr">
        <is>
          <t>83,523 57,775</t>
        </is>
      </c>
      <c r="L1821" s="2" t="inlineStr">
        <is>
          <t>pend</t>
        </is>
      </c>
      <c r="M1821" s="2" t="n"/>
      <c r="N1821" s="2" t="n"/>
      <c r="O1821" s="3" t="inlineStr">
        <is>
          <t>https://vanillabonds.com/dossier-data/pdf/fastned/fastned-h1-2026-interim-report.pdf#page=25</t>
        </is>
      </c>
    </row>
    <row r="1822">
      <c r="A1822" s="2" t="inlineStr">
        <is>
          <t>F1821</t>
        </is>
      </c>
      <c r="B1822" s="2" t="inlineStr">
        <is>
          <t>financials</t>
        </is>
      </c>
      <c r="C1822" s="2" t="inlineStr">
        <is>
          <t>ebitda</t>
        </is>
      </c>
      <c r="D1822" s="2" t="inlineStr">
        <is>
          <t>EBITDA (as reported)</t>
        </is>
      </c>
      <c r="E1822" s="2" t="inlineStr">
        <is>
          <t>H1-2024</t>
        </is>
      </c>
      <c r="F1822" s="2" t="n">
        <v>3.3</v>
      </c>
      <c r="G1822" s="2" t="inlineStr">
        <is>
          <t>EUR m</t>
        </is>
      </c>
      <c r="H1822" s="2" t="inlineStr">
        <is>
          <t>EBITDA H1 2024 (key figures table)</t>
        </is>
      </c>
      <c r="I1822" s="2" t="inlineStr">
        <is>
          <t>S4</t>
        </is>
      </c>
      <c r="J1822" s="2" t="n">
        <v>17</v>
      </c>
      <c r="K1822" s="2" t="inlineStr">
        <is>
          <t>EBITDA 15.9 3.0 3.3 426%</t>
        </is>
      </c>
      <c r="L1822" s="2" t="inlineStr">
        <is>
          <t>pend</t>
        </is>
      </c>
      <c r="M1822" s="2" t="n"/>
      <c r="N1822" s="2" t="n"/>
      <c r="O1822" s="3" t="inlineStr">
        <is>
          <t>https://vanillabonds.com/dossier-data/pdf/fastned/fastned-h1-2026-interim-report.pdf#page=17</t>
        </is>
      </c>
    </row>
    <row r="1823">
      <c r="A1823" s="2" t="inlineStr">
        <is>
          <t>F1822</t>
        </is>
      </c>
      <c r="B1823" s="2" t="inlineStr">
        <is>
          <t>financials</t>
        </is>
      </c>
      <c r="C1823" s="2" t="inlineStr">
        <is>
          <t>ebitda</t>
        </is>
      </c>
      <c r="D1823" s="2" t="inlineStr">
        <is>
          <t>EBITDA (as reported)</t>
        </is>
      </c>
      <c r="E1823" s="2" t="inlineStr">
        <is>
          <t>H1-2025</t>
        </is>
      </c>
      <c r="F1823" s="2" t="n">
        <v>3</v>
      </c>
      <c r="G1823" s="2" t="inlineStr">
        <is>
          <t>EUR m</t>
        </is>
      </c>
      <c r="H1823" s="2" t="inlineStr">
        <is>
          <t>EBITDA as labelled by the company</t>
        </is>
      </c>
      <c r="I1823" s="2" t="inlineStr">
        <is>
          <t>S4</t>
        </is>
      </c>
      <c r="J1823" s="2" t="n">
        <v>22</v>
      </c>
      <c r="K1823" s="2" t="inlineStr">
        <is>
          <t>17,889 (16,355) (125) 1,620 3,029</t>
        </is>
      </c>
      <c r="L1823" s="2" t="inlineStr">
        <is>
          <t>pend</t>
        </is>
      </c>
      <c r="M1823" s="2" t="n"/>
      <c r="N1823" s="2" t="n"/>
      <c r="O1823" s="3" t="inlineStr">
        <is>
          <t>https://vanillabonds.com/dossier-data/pdf/fastned/fastned-h1-2026-interim-report.pdf#page=22</t>
        </is>
      </c>
    </row>
    <row r="1824">
      <c r="A1824" s="2" t="inlineStr">
        <is>
          <t>F1823</t>
        </is>
      </c>
      <c r="B1824" s="2" t="inlineStr">
        <is>
          <t>financials</t>
        </is>
      </c>
      <c r="C1824" s="2" t="inlineStr">
        <is>
          <t>ebitda</t>
        </is>
      </c>
      <c r="D1824" s="2" t="inlineStr">
        <is>
          <t>EBITDA (as reported)</t>
        </is>
      </c>
      <c r="E1824" s="2" t="inlineStr">
        <is>
          <t>H1-2026</t>
        </is>
      </c>
      <c r="F1824" s="2" t="n">
        <v>15.9</v>
      </c>
      <c r="G1824" s="2" t="inlineStr">
        <is>
          <t>EUR m</t>
        </is>
      </c>
      <c r="H1824" s="3" t="inlineStr">
        <is>
          <t>EBITDA as labelled by the company (IFRS reconciliation)</t>
        </is>
      </c>
      <c r="I1824" s="2" t="inlineStr">
        <is>
          <t>S4</t>
        </is>
      </c>
      <c r="J1824" s="2" t="n">
        <v>22</v>
      </c>
      <c r="K1824" s="3" t="inlineStr">
        <is>
          <t>EBITDA 37,367 (22,886) (747) 2,205 15,939</t>
        </is>
      </c>
      <c r="L1824" s="2" t="inlineStr">
        <is>
          <t>pend</t>
        </is>
      </c>
      <c r="M1824" s="2" t="n"/>
      <c r="N1824" s="2" t="n"/>
      <c r="O1824" s="3" t="inlineStr">
        <is>
          <t>https://vanillabonds.com/dossier-data/pdf/fastned/fastned-h1-2026-interim-report.pdf#page=22</t>
        </is>
      </c>
    </row>
    <row r="1825">
      <c r="A1825" s="2" t="inlineStr">
        <is>
          <t>F1824</t>
        </is>
      </c>
      <c r="B1825" s="2" t="inlineStr">
        <is>
          <t>financials</t>
        </is>
      </c>
      <c r="C1825" s="2" t="inlineStr">
        <is>
          <t>ebitda_adj</t>
        </is>
      </c>
      <c r="D1825" s="3" t="inlineStr">
        <is>
          <t>EBITDA adjusted / underlying (as reported)</t>
        </is>
      </c>
      <c r="E1825" s="2" t="inlineStr">
        <is>
          <t>H1-2024</t>
        </is>
      </c>
      <c r="F1825" s="2" t="n">
        <v>3.2</v>
      </c>
      <c r="G1825" s="2" t="inlineStr">
        <is>
          <t>EUR m</t>
        </is>
      </c>
      <c r="H1825" s="2" t="inlineStr">
        <is>
          <t>Underlying company EBITDA</t>
        </is>
      </c>
      <c r="I1825" s="2" t="inlineStr">
        <is>
          <t>S4</t>
        </is>
      </c>
      <c r="J1825" s="2" t="n">
        <v>17</v>
      </c>
      <c r="K1825" s="3" t="inlineStr">
        <is>
          <t>Underlying company EBITDA 13.7 1.4 3.2 874%</t>
        </is>
      </c>
      <c r="L1825" s="2" t="inlineStr">
        <is>
          <t>pend</t>
        </is>
      </c>
      <c r="M1825" s="2" t="n"/>
      <c r="N1825" s="2" t="n"/>
      <c r="O1825" s="3" t="inlineStr">
        <is>
          <t>https://vanillabonds.com/dossier-data/pdf/fastned/fastned-h1-2026-interim-report.pdf#page=17</t>
        </is>
      </c>
    </row>
    <row r="1826">
      <c r="A1826" s="2" t="inlineStr">
        <is>
          <t>F1825</t>
        </is>
      </c>
      <c r="B1826" s="2" t="inlineStr">
        <is>
          <t>financials</t>
        </is>
      </c>
      <c r="C1826" s="2" t="inlineStr">
        <is>
          <t>ebitda_adj</t>
        </is>
      </c>
      <c r="D1826" s="3" t="inlineStr">
        <is>
          <t>EBITDA adjusted / underlying (as reported)</t>
        </is>
      </c>
      <c r="E1826" s="2" t="inlineStr">
        <is>
          <t>H1-2025</t>
        </is>
      </c>
      <c r="F1826" s="2" t="n">
        <v>1.4</v>
      </c>
      <c r="G1826" s="2" t="inlineStr">
        <is>
          <t>EUR m</t>
        </is>
      </c>
      <c r="H1826" s="2" t="inlineStr">
        <is>
          <t>Underlying company EBITDA</t>
        </is>
      </c>
      <c r="I1826" s="2" t="inlineStr">
        <is>
          <t>S4</t>
        </is>
      </c>
      <c r="J1826" s="2" t="n">
        <v>17</v>
      </c>
      <c r="K1826" s="3" t="inlineStr">
        <is>
          <t>Underlying company EBITDA 13.7 1.4 3.2 874%</t>
        </is>
      </c>
      <c r="L1826" s="2" t="inlineStr">
        <is>
          <t>pend</t>
        </is>
      </c>
      <c r="M1826" s="2" t="n"/>
      <c r="N1826" s="2" t="n"/>
      <c r="O1826" s="3" t="inlineStr">
        <is>
          <t>https://vanillabonds.com/dossier-data/pdf/fastned/fastned-h1-2026-interim-report.pdf#page=17</t>
        </is>
      </c>
    </row>
    <row r="1827">
      <c r="A1827" s="2" t="inlineStr">
        <is>
          <t>F1826</t>
        </is>
      </c>
      <c r="B1827" s="2" t="inlineStr">
        <is>
          <t>financials</t>
        </is>
      </c>
      <c r="C1827" s="2" t="inlineStr">
        <is>
          <t>ebitda_adj</t>
        </is>
      </c>
      <c r="D1827" s="3" t="inlineStr">
        <is>
          <t>EBITDA adjusted / underlying (as reported)</t>
        </is>
      </c>
      <c r="E1827" s="2" t="inlineStr">
        <is>
          <t>H1-2026</t>
        </is>
      </c>
      <c r="F1827" s="2" t="n">
        <v>13.7</v>
      </c>
      <c r="G1827" s="2" t="inlineStr">
        <is>
          <t>EUR m</t>
        </is>
      </c>
      <c r="H1827" s="3" t="inlineStr">
        <is>
          <t>Underlying company EBITDA: before exceptional items and gross profit on station construction for third parties</t>
        </is>
      </c>
      <c r="I1827" s="2" t="inlineStr">
        <is>
          <t>S4</t>
        </is>
      </c>
      <c r="J1827" s="2" t="n">
        <v>17</v>
      </c>
      <c r="K1827" s="3" t="inlineStr">
        <is>
          <t>Underlying company EBITDA 13.7 1.4 3.2 874%</t>
        </is>
      </c>
      <c r="L1827" s="2" t="inlineStr">
        <is>
          <t>pend</t>
        </is>
      </c>
      <c r="M1827" s="2" t="n"/>
      <c r="N1827" s="2" t="n"/>
      <c r="O1827" s="3" t="inlineStr">
        <is>
          <t>https://vanillabonds.com/dossier-data/pdf/fastned/fastned-h1-2026-interim-report.pdf#page=17</t>
        </is>
      </c>
    </row>
    <row r="1828">
      <c r="A1828" s="2" t="inlineStr">
        <is>
          <t>F1827</t>
        </is>
      </c>
      <c r="B1828" s="2" t="inlineStr">
        <is>
          <t>financials</t>
        </is>
      </c>
      <c r="C1828" s="2" t="inlineStr">
        <is>
          <t>ebit</t>
        </is>
      </c>
      <c r="D1828" s="2" t="inlineStr">
        <is>
          <t>EBIT / operating result</t>
        </is>
      </c>
      <c r="E1828" s="2" t="inlineStr">
        <is>
          <t>H1-2025</t>
        </is>
      </c>
      <c r="F1828" s="2" t="n">
        <v>-10</v>
      </c>
      <c r="G1828" s="2" t="inlineStr">
        <is>
          <t>EUR m</t>
        </is>
      </c>
      <c r="H1828" s="2" t="inlineStr">
        <is>
          <t>Operating loss, restated</t>
        </is>
      </c>
      <c r="I1828" s="2" t="inlineStr">
        <is>
          <t>S4</t>
        </is>
      </c>
      <c r="J1828" s="2" t="n">
        <v>25</v>
      </c>
      <c r="K1828" s="2" t="inlineStr">
        <is>
          <t>Operating loss (1,653) (10,011)</t>
        </is>
      </c>
      <c r="L1828" s="2" t="inlineStr">
        <is>
          <t>pend</t>
        </is>
      </c>
      <c r="M1828" s="2" t="n"/>
      <c r="N1828" s="2" t="n"/>
      <c r="O1828" s="3" t="inlineStr">
        <is>
          <t>https://vanillabonds.com/dossier-data/pdf/fastned/fastned-h1-2026-interim-report.pdf#page=25</t>
        </is>
      </c>
    </row>
    <row r="1829">
      <c r="A1829" s="2" t="inlineStr">
        <is>
          <t>F1828</t>
        </is>
      </c>
      <c r="B1829" s="2" t="inlineStr">
        <is>
          <t>financials</t>
        </is>
      </c>
      <c r="C1829" s="2" t="inlineStr">
        <is>
          <t>ebit</t>
        </is>
      </c>
      <c r="D1829" s="2" t="inlineStr">
        <is>
          <t>EBIT / operating result</t>
        </is>
      </c>
      <c r="E1829" s="2" t="inlineStr">
        <is>
          <t>H1-2026</t>
        </is>
      </c>
      <c r="F1829" s="2" t="n">
        <v>-1.7</v>
      </c>
      <c r="G1829" s="2" t="inlineStr">
        <is>
          <t>EUR m</t>
        </is>
      </c>
      <c r="H1829" s="2" t="inlineStr">
        <is>
          <t>Operating loss</t>
        </is>
      </c>
      <c r="I1829" s="2" t="inlineStr">
        <is>
          <t>S4</t>
        </is>
      </c>
      <c r="J1829" s="2" t="n">
        <v>25</v>
      </c>
      <c r="K1829" s="2" t="inlineStr">
        <is>
          <t>Operating loss (1,653) (10,011)</t>
        </is>
      </c>
      <c r="L1829" s="2" t="inlineStr">
        <is>
          <t>pend</t>
        </is>
      </c>
      <c r="M1829" s="2" t="n"/>
      <c r="N1829" s="2" t="n"/>
      <c r="O1829" s="3" t="inlineStr">
        <is>
          <t>https://vanillabonds.com/dossier-data/pdf/fastned/fastned-h1-2026-interim-report.pdf#page=25</t>
        </is>
      </c>
    </row>
    <row r="1830">
      <c r="A1830" s="2" t="inlineStr">
        <is>
          <t>F1829</t>
        </is>
      </c>
      <c r="B1830" s="2" t="inlineStr">
        <is>
          <t>financials</t>
        </is>
      </c>
      <c r="C1830" s="2" t="inlineStr">
        <is>
          <t>net_income</t>
        </is>
      </c>
      <c r="D1830" s="2" t="inlineStr">
        <is>
          <t>Net result</t>
        </is>
      </c>
      <c r="E1830" s="2" t="inlineStr">
        <is>
          <t>H1-2024</t>
        </is>
      </c>
      <c r="F1830" s="2" t="n">
        <v>-11.4</v>
      </c>
      <c r="G1830" s="2" t="inlineStr">
        <is>
          <t>EUR m</t>
        </is>
      </c>
      <c r="H1830" s="2" t="inlineStr">
        <is>
          <t>Net loss H1 2024 (key figures table)</t>
        </is>
      </c>
      <c r="I1830" s="2" t="inlineStr">
        <is>
          <t>S4</t>
        </is>
      </c>
      <c r="J1830" s="2" t="n">
        <v>17</v>
      </c>
      <c r="K1830" s="2" t="inlineStr">
        <is>
          <t>Net profit / (loss) (13.0) (18.3) (11.4)</t>
        </is>
      </c>
      <c r="L1830" s="2" t="inlineStr">
        <is>
          <t>pend</t>
        </is>
      </c>
      <c r="M1830" s="2" t="n"/>
      <c r="N1830" s="2" t="n"/>
      <c r="O1830" s="3" t="inlineStr">
        <is>
          <t>https://vanillabonds.com/dossier-data/pdf/fastned/fastned-h1-2026-interim-report.pdf#page=17</t>
        </is>
      </c>
    </row>
    <row r="1831">
      <c r="A1831" s="2" t="inlineStr">
        <is>
          <t>F1830</t>
        </is>
      </c>
      <c r="B1831" s="2" t="inlineStr">
        <is>
          <t>financials</t>
        </is>
      </c>
      <c r="C1831" s="2" t="inlineStr">
        <is>
          <t>net_income</t>
        </is>
      </c>
      <c r="D1831" s="2" t="inlineStr">
        <is>
          <t>Net result</t>
        </is>
      </c>
      <c r="E1831" s="2" t="inlineStr">
        <is>
          <t>H1-2025</t>
        </is>
      </c>
      <c r="F1831" s="2" t="n">
        <v>-18.3</v>
      </c>
      <c r="G1831" s="2" t="inlineStr">
        <is>
          <t>EUR m</t>
        </is>
      </c>
      <c r="H1831" s="2" t="inlineStr">
        <is>
          <t>Loss for the period, restated</t>
        </is>
      </c>
      <c r="I1831" s="2" t="inlineStr">
        <is>
          <t>S4</t>
        </is>
      </c>
      <c r="J1831" s="2" t="n">
        <v>25</v>
      </c>
      <c r="K1831" s="2" t="inlineStr">
        <is>
          <t>Loss for the period (13,019) (18,324)</t>
        </is>
      </c>
      <c r="L1831" s="2" t="inlineStr">
        <is>
          <t>pend</t>
        </is>
      </c>
      <c r="M1831" s="2" t="n"/>
      <c r="N1831" s="2" t="n"/>
      <c r="O1831" s="3" t="inlineStr">
        <is>
          <t>https://vanillabonds.com/dossier-data/pdf/fastned/fastned-h1-2026-interim-report.pdf#page=25</t>
        </is>
      </c>
    </row>
    <row r="1832">
      <c r="A1832" s="2" t="inlineStr">
        <is>
          <t>F1831</t>
        </is>
      </c>
      <c r="B1832" s="2" t="inlineStr">
        <is>
          <t>financials</t>
        </is>
      </c>
      <c r="C1832" s="2" t="inlineStr">
        <is>
          <t>net_income</t>
        </is>
      </c>
      <c r="D1832" s="2" t="inlineStr">
        <is>
          <t>Net result</t>
        </is>
      </c>
      <c r="E1832" s="2" t="inlineStr">
        <is>
          <t>H1-2026</t>
        </is>
      </c>
      <c r="F1832" s="2" t="n">
        <v>-13</v>
      </c>
      <c r="G1832" s="2" t="inlineStr">
        <is>
          <t>EUR m</t>
        </is>
      </c>
      <c r="H1832" s="2" t="inlineStr">
        <is>
          <t>Loss for the period</t>
        </is>
      </c>
      <c r="I1832" s="2" t="inlineStr">
        <is>
          <t>S4</t>
        </is>
      </c>
      <c r="J1832" s="2" t="n">
        <v>25</v>
      </c>
      <c r="K1832" s="2" t="inlineStr">
        <is>
          <t>Loss for the period (13,019) (18,324)</t>
        </is>
      </c>
      <c r="L1832" s="2" t="inlineStr">
        <is>
          <t>pend</t>
        </is>
      </c>
      <c r="M1832" s="2" t="n"/>
      <c r="N1832" s="2" t="n"/>
      <c r="O1832" s="3" t="inlineStr">
        <is>
          <t>https://vanillabonds.com/dossier-data/pdf/fastned/fastned-h1-2026-interim-report.pdf#page=25</t>
        </is>
      </c>
    </row>
    <row r="1833">
      <c r="A1833" s="2" t="inlineStr">
        <is>
          <t>F1832</t>
        </is>
      </c>
      <c r="B1833" s="2" t="inlineStr">
        <is>
          <t>financials</t>
        </is>
      </c>
      <c r="C1833" s="2" t="inlineStr">
        <is>
          <t>da</t>
        </is>
      </c>
      <c r="D1833" s="2" t="inlineStr">
        <is>
          <t>Depreciation &amp; amortisation</t>
        </is>
      </c>
      <c r="E1833" s="2" t="inlineStr">
        <is>
          <t>H1-2024</t>
        </is>
      </c>
      <c r="F1833" s="2" t="n">
        <v>9.800000000000001</v>
      </c>
      <c r="G1833" s="2" t="inlineStr">
        <is>
          <t>EUR m</t>
        </is>
      </c>
      <c r="H1833" s="3" t="inlineStr">
        <is>
          <t>Depreciation &amp; amortisation H1 2024 (key figures table)</t>
        </is>
      </c>
      <c r="I1833" s="2" t="inlineStr">
        <is>
          <t>S4</t>
        </is>
      </c>
      <c r="J1833" s="2" t="n">
        <v>17</v>
      </c>
      <c r="K1833" s="3" t="inlineStr">
        <is>
          <t>Depreciation &amp; amortisation (17.6) (13.0) (9.8)</t>
        </is>
      </c>
      <c r="L1833" s="2" t="inlineStr">
        <is>
          <t>pend</t>
        </is>
      </c>
      <c r="M1833" s="2" t="n"/>
      <c r="N1833" s="2" t="n"/>
      <c r="O1833" s="3" t="inlineStr">
        <is>
          <t>https://vanillabonds.com/dossier-data/pdf/fastned/fastned-h1-2026-interim-report.pdf#page=17</t>
        </is>
      </c>
    </row>
    <row r="1834">
      <c r="A1834" s="2" t="inlineStr">
        <is>
          <t>F1833</t>
        </is>
      </c>
      <c r="B1834" s="2" t="inlineStr">
        <is>
          <t>financials</t>
        </is>
      </c>
      <c r="C1834" s="2" t="inlineStr">
        <is>
          <t>da</t>
        </is>
      </c>
      <c r="D1834" s="2" t="inlineStr">
        <is>
          <t>Depreciation &amp; amortisation</t>
        </is>
      </c>
      <c r="E1834" s="2" t="inlineStr">
        <is>
          <t>H1-2025</t>
        </is>
      </c>
      <c r="F1834" s="2" t="n">
        <v>13</v>
      </c>
      <c r="G1834" s="2" t="inlineStr">
        <is>
          <t>EUR m</t>
        </is>
      </c>
      <c r="H1834" s="3" t="inlineStr">
        <is>
          <t>Depreciation, amortisation and impairment</t>
        </is>
      </c>
      <c r="I1834" s="2" t="inlineStr">
        <is>
          <t>S4</t>
        </is>
      </c>
      <c r="J1834" s="2" t="n">
        <v>29</v>
      </c>
      <c r="K1834" s="3" t="inlineStr">
        <is>
          <t>Depreciation, amortisation and impairment 17,568 13,049</t>
        </is>
      </c>
      <c r="L1834" s="2" t="inlineStr">
        <is>
          <t>pend</t>
        </is>
      </c>
      <c r="M1834" s="2" t="n"/>
      <c r="N1834" s="2" t="n"/>
      <c r="O1834" s="3" t="inlineStr">
        <is>
          <t>https://vanillabonds.com/dossier-data/pdf/fastned/fastned-h1-2026-interim-report.pdf#page=29</t>
        </is>
      </c>
    </row>
    <row r="1835">
      <c r="A1835" s="2" t="inlineStr">
        <is>
          <t>F1834</t>
        </is>
      </c>
      <c r="B1835" s="2" t="inlineStr">
        <is>
          <t>financials</t>
        </is>
      </c>
      <c r="C1835" s="2" t="inlineStr">
        <is>
          <t>da</t>
        </is>
      </c>
      <c r="D1835" s="2" t="inlineStr">
        <is>
          <t>Depreciation &amp; amortisation</t>
        </is>
      </c>
      <c r="E1835" s="2" t="inlineStr">
        <is>
          <t>H1-2026</t>
        </is>
      </c>
      <c r="F1835" s="2" t="n">
        <v>17.6</v>
      </c>
      <c r="G1835" s="2" t="inlineStr">
        <is>
          <t>EUR m</t>
        </is>
      </c>
      <c r="H1835" s="3" t="inlineStr">
        <is>
          <t>Depreciation, amortisation and impairment</t>
        </is>
      </c>
      <c r="I1835" s="2" t="inlineStr">
        <is>
          <t>S4</t>
        </is>
      </c>
      <c r="J1835" s="2" t="n">
        <v>29</v>
      </c>
      <c r="K1835" s="3" t="inlineStr">
        <is>
          <t>Depreciation, amortisation and impairment 17,568 13,049</t>
        </is>
      </c>
      <c r="L1835" s="2" t="inlineStr">
        <is>
          <t>pend</t>
        </is>
      </c>
      <c r="M1835" s="2" t="n"/>
      <c r="N1835" s="2" t="n"/>
      <c r="O1835" s="3" t="inlineStr">
        <is>
          <t>https://vanillabonds.com/dossier-data/pdf/fastned/fastned-h1-2026-interim-report.pdf#page=29</t>
        </is>
      </c>
    </row>
    <row r="1836">
      <c r="A1836" s="2" t="inlineStr">
        <is>
          <t>F1835</t>
        </is>
      </c>
      <c r="B1836" s="2" t="inlineStr">
        <is>
          <t>financials</t>
        </is>
      </c>
      <c r="C1836" s="2" t="inlineStr">
        <is>
          <t>net_interest</t>
        </is>
      </c>
      <c r="D1836" s="2" t="inlineStr">
        <is>
          <t>Net finance cost</t>
        </is>
      </c>
      <c r="E1836" s="2" t="inlineStr">
        <is>
          <t>H1-2024</t>
        </is>
      </c>
      <c r="F1836" s="2" t="n">
        <v>4.9</v>
      </c>
      <c r="G1836" s="2" t="inlineStr">
        <is>
          <t>EUR m</t>
        </is>
      </c>
      <c r="H1836" s="2" t="inlineStr">
        <is>
          <t>Net finance cost H1 2024</t>
        </is>
      </c>
      <c r="I1836" s="2" t="inlineStr">
        <is>
          <t>S4</t>
        </is>
      </c>
      <c r="J1836" s="2" t="n">
        <v>17</v>
      </c>
      <c r="K1836" s="2" t="inlineStr">
        <is>
          <t>Finance income/(cost) (11.2) (8.2) (4.9)</t>
        </is>
      </c>
      <c r="L1836" s="2" t="inlineStr">
        <is>
          <t>pend</t>
        </is>
      </c>
      <c r="M1836" s="2" t="n"/>
      <c r="N1836" s="2" t="n"/>
      <c r="O1836" s="3" t="inlineStr">
        <is>
          <t>https://vanillabonds.com/dossier-data/pdf/fastned/fastned-h1-2026-interim-report.pdf#page=17</t>
        </is>
      </c>
    </row>
    <row r="1837">
      <c r="A1837" s="2" t="inlineStr">
        <is>
          <t>F1836</t>
        </is>
      </c>
      <c r="B1837" s="2" t="inlineStr">
        <is>
          <t>financials</t>
        </is>
      </c>
      <c r="C1837" s="2" t="inlineStr">
        <is>
          <t>net_interest</t>
        </is>
      </c>
      <c r="D1837" s="2" t="inlineStr">
        <is>
          <t>Net finance cost</t>
        </is>
      </c>
      <c r="E1837" s="2" t="inlineStr">
        <is>
          <t>H1-2025</t>
        </is>
      </c>
      <c r="F1837" s="2" t="n">
        <v>8.199999999999999</v>
      </c>
      <c r="G1837" s="2" t="inlineStr">
        <is>
          <t>EUR m</t>
        </is>
      </c>
      <c r="H1837" s="3" t="inlineStr">
        <is>
          <t>Net finance cost: finance costs 9.4 less finance income 1.2</t>
        </is>
      </c>
      <c r="I1837" s="2" t="inlineStr">
        <is>
          <t>S4</t>
        </is>
      </c>
      <c r="J1837" s="2" t="n">
        <v>17</v>
      </c>
      <c r="K1837" s="2" t="inlineStr">
        <is>
          <t>Finance income/(cost) (11.2) (8.2) (4.9)</t>
        </is>
      </c>
      <c r="L1837" s="2" t="inlineStr">
        <is>
          <t>pend</t>
        </is>
      </c>
      <c r="M1837" s="2" t="n"/>
      <c r="N1837" s="2" t="n"/>
      <c r="O1837" s="3" t="inlineStr">
        <is>
          <t>https://vanillabonds.com/dossier-data/pdf/fastned/fastned-h1-2026-interim-report.pdf#page=17</t>
        </is>
      </c>
    </row>
    <row r="1838">
      <c r="A1838" s="2" t="inlineStr">
        <is>
          <t>F1837</t>
        </is>
      </c>
      <c r="B1838" s="2" t="inlineStr">
        <is>
          <t>financials</t>
        </is>
      </c>
      <c r="C1838" s="2" t="inlineStr">
        <is>
          <t>net_interest</t>
        </is>
      </c>
      <c r="D1838" s="2" t="inlineStr">
        <is>
          <t>Net finance cost</t>
        </is>
      </c>
      <c r="E1838" s="2" t="inlineStr">
        <is>
          <t>H1-2026</t>
        </is>
      </c>
      <c r="F1838" s="2" t="n">
        <v>11.2</v>
      </c>
      <c r="G1838" s="2" t="inlineStr">
        <is>
          <t>EUR m</t>
        </is>
      </c>
      <c r="H1838" s="3" t="inlineStr">
        <is>
          <t>Net finance cost: finance costs 11.8 less finance income 0.6</t>
        </is>
      </c>
      <c r="I1838" s="2" t="inlineStr">
        <is>
          <t>S4</t>
        </is>
      </c>
      <c r="J1838" s="2" t="n">
        <v>17</v>
      </c>
      <c r="K1838" s="2" t="inlineStr">
        <is>
          <t>Finance income/(cost) (11.2) (8.2) (4.9)</t>
        </is>
      </c>
      <c r="L1838" s="2" t="inlineStr">
        <is>
          <t>pend</t>
        </is>
      </c>
      <c r="M1838" s="2" t="n"/>
      <c r="N1838" s="2" t="n"/>
      <c r="O1838" s="3" t="inlineStr">
        <is>
          <t>https://vanillabonds.com/dossier-data/pdf/fastned/fastned-h1-2026-interim-report.pdf#page=17</t>
        </is>
      </c>
    </row>
    <row r="1839">
      <c r="A1839" s="2" t="inlineStr">
        <is>
          <t>F1838</t>
        </is>
      </c>
      <c r="B1839" s="2" t="inlineStr">
        <is>
          <t>financials</t>
        </is>
      </c>
      <c r="C1839" s="2" t="inlineStr">
        <is>
          <t>cfo</t>
        </is>
      </c>
      <c r="D1839" s="2" t="inlineStr">
        <is>
          <t>Cash flow from operating activities</t>
        </is>
      </c>
      <c r="E1839" s="2" t="inlineStr">
        <is>
          <t>H1-2025</t>
        </is>
      </c>
      <c r="F1839" s="2" t="n">
        <v>-6</v>
      </c>
      <c r="G1839" s="2" t="inlineStr">
        <is>
          <t>EUR m</t>
        </is>
      </c>
      <c r="H1839" s="3" t="inlineStr">
        <is>
          <t>Net cash flows from operating activities, restated</t>
        </is>
      </c>
      <c r="I1839" s="2" t="inlineStr">
        <is>
          <t>S4</t>
        </is>
      </c>
      <c r="J1839" s="2" t="n">
        <v>29</v>
      </c>
      <c r="K1839" s="3" t="inlineStr">
        <is>
          <t>Net cash flows from operating activities (10,099) (5,977)</t>
        </is>
      </c>
      <c r="L1839" s="2" t="inlineStr">
        <is>
          <t>pend</t>
        </is>
      </c>
      <c r="M1839" s="2" t="n"/>
      <c r="N1839" s="2" t="n"/>
      <c r="O1839" s="3" t="inlineStr">
        <is>
          <t>https://vanillabonds.com/dossier-data/pdf/fastned/fastned-h1-2026-interim-report.pdf#page=29</t>
        </is>
      </c>
    </row>
    <row r="1840">
      <c r="A1840" s="2" t="inlineStr">
        <is>
          <t>F1839</t>
        </is>
      </c>
      <c r="B1840" s="2" t="inlineStr">
        <is>
          <t>financials</t>
        </is>
      </c>
      <c r="C1840" s="2" t="inlineStr">
        <is>
          <t>cfo</t>
        </is>
      </c>
      <c r="D1840" s="2" t="inlineStr">
        <is>
          <t>Cash flow from operating activities</t>
        </is>
      </c>
      <c r="E1840" s="2" t="inlineStr">
        <is>
          <t>H1-2026</t>
        </is>
      </c>
      <c r="F1840" s="2" t="n">
        <v>-10.1</v>
      </c>
      <c r="G1840" s="2" t="inlineStr">
        <is>
          <t>EUR m</t>
        </is>
      </c>
      <c r="H1840" s="2" t="inlineStr">
        <is>
          <t>Net cash flows from operating activities</t>
        </is>
      </c>
      <c r="I1840" s="2" t="inlineStr">
        <is>
          <t>S4</t>
        </is>
      </c>
      <c r="J1840" s="2" t="n">
        <v>29</v>
      </c>
      <c r="K1840" s="3" t="inlineStr">
        <is>
          <t>Net cash flows from operating activities (10,099) (5,977)</t>
        </is>
      </c>
      <c r="L1840" s="2" t="inlineStr">
        <is>
          <t>pend</t>
        </is>
      </c>
      <c r="M1840" s="2" t="n"/>
      <c r="N1840" s="2" t="n"/>
      <c r="O1840" s="3" t="inlineStr">
        <is>
          <t>https://vanillabonds.com/dossier-data/pdf/fastned/fastned-h1-2026-interim-report.pdf#page=29</t>
        </is>
      </c>
    </row>
    <row r="1841">
      <c r="A1841" s="2" t="inlineStr">
        <is>
          <t>F1840</t>
        </is>
      </c>
      <c r="B1841" s="2" t="inlineStr">
        <is>
          <t>financials</t>
        </is>
      </c>
      <c r="C1841" s="2" t="inlineStr">
        <is>
          <t>capex</t>
        </is>
      </c>
      <c r="D1841" s="2" t="inlineStr">
        <is>
          <t>Capex (PP&amp;E + intangibles)</t>
        </is>
      </c>
      <c r="E1841" s="2" t="inlineStr">
        <is>
          <t>H1-2025</t>
        </is>
      </c>
      <c r="F1841" s="2" t="n">
        <v>41</v>
      </c>
      <c r="G1841" s="2" t="inlineStr">
        <is>
          <t>EUR m</t>
        </is>
      </c>
      <c r="H1841" s="3" t="inlineStr">
        <is>
          <t>Payments for PP&amp;E and other intangible assets</t>
        </is>
      </c>
      <c r="I1841" s="2" t="inlineStr">
        <is>
          <t>S4</t>
        </is>
      </c>
      <c r="J1841" s="2" t="n">
        <v>29</v>
      </c>
      <c r="K1841" s="3" t="inlineStr">
        <is>
          <t>Payments for property, plant and equipment and other intangible assets (44,699) (40,990)</t>
        </is>
      </c>
      <c r="L1841" s="2" t="inlineStr">
        <is>
          <t>pend</t>
        </is>
      </c>
      <c r="M1841" s="2" t="n"/>
      <c r="N1841" s="2" t="n"/>
      <c r="O1841" s="3" t="inlineStr">
        <is>
          <t>https://vanillabonds.com/dossier-data/pdf/fastned/fastned-h1-2026-interim-report.pdf#page=29</t>
        </is>
      </c>
    </row>
    <row r="1842">
      <c r="A1842" s="2" t="inlineStr">
        <is>
          <t>F1841</t>
        </is>
      </c>
      <c r="B1842" s="2" t="inlineStr">
        <is>
          <t>financials</t>
        </is>
      </c>
      <c r="C1842" s="2" t="inlineStr">
        <is>
          <t>capex</t>
        </is>
      </c>
      <c r="D1842" s="2" t="inlineStr">
        <is>
          <t>Capex (PP&amp;E + intangibles)</t>
        </is>
      </c>
      <c r="E1842" s="2" t="inlineStr">
        <is>
          <t>H1-2026</t>
        </is>
      </c>
      <c r="F1842" s="2" t="n">
        <v>44.7</v>
      </c>
      <c r="G1842" s="2" t="inlineStr">
        <is>
          <t>EUR m</t>
        </is>
      </c>
      <c r="H1842" s="3" t="inlineStr">
        <is>
          <t>Payments for PP&amp;E and other intangible assets</t>
        </is>
      </c>
      <c r="I1842" s="2" t="inlineStr">
        <is>
          <t>S4</t>
        </is>
      </c>
      <c r="J1842" s="2" t="n">
        <v>29</v>
      </c>
      <c r="K1842" s="3" t="inlineStr">
        <is>
          <t>Payments for property, plant and equipment and other intangible assets (44,699) (40,990)</t>
        </is>
      </c>
      <c r="L1842" s="2" t="inlineStr">
        <is>
          <t>pend</t>
        </is>
      </c>
      <c r="M1842" s="2" t="n"/>
      <c r="N1842" s="2" t="n"/>
      <c r="O1842" s="3" t="inlineStr">
        <is>
          <t>https://vanillabonds.com/dossier-data/pdf/fastned/fastned-h1-2026-interim-report.pdf#page=29</t>
        </is>
      </c>
    </row>
    <row r="1843">
      <c r="A1843" s="2" t="inlineStr">
        <is>
          <t>F1842</t>
        </is>
      </c>
      <c r="B1843" s="2" t="inlineStr">
        <is>
          <t>financials</t>
        </is>
      </c>
      <c r="C1843" s="2" t="inlineStr">
        <is>
          <t>cash</t>
        </is>
      </c>
      <c r="D1843" s="2" t="inlineStr">
        <is>
          <t>Cash &amp; equivalents</t>
        </is>
      </c>
      <c r="E1843" s="2" t="inlineStr">
        <is>
          <t>FY2024</t>
        </is>
      </c>
      <c r="F1843" s="2" t="n">
        <v>117.4</v>
      </c>
      <c r="G1843" s="2" t="inlineStr">
        <is>
          <t>EUR m</t>
        </is>
      </c>
      <c r="H1843" s="3" t="inlineStr">
        <is>
          <t>Cash and cash equivalents at 1 January 2025</t>
        </is>
      </c>
      <c r="I1843" s="2" t="inlineStr">
        <is>
          <t>S4</t>
        </is>
      </c>
      <c r="J1843" s="2" t="n">
        <v>30</v>
      </c>
      <c r="K1843" s="3" t="inlineStr">
        <is>
          <t>Cash and cash equivalents at 1 January 69,918 117,416</t>
        </is>
      </c>
      <c r="L1843" s="2" t="inlineStr">
        <is>
          <t>pend</t>
        </is>
      </c>
      <c r="M1843" s="2" t="n"/>
      <c r="N1843" s="2" t="n"/>
      <c r="O1843" s="3" t="inlineStr">
        <is>
          <t>https://vanillabonds.com/dossier-data/pdf/fastned/fastned-h1-2026-interim-report.pdf#page=30</t>
        </is>
      </c>
    </row>
    <row r="1844">
      <c r="A1844" s="2" t="inlineStr">
        <is>
          <t>F1843</t>
        </is>
      </c>
      <c r="B1844" s="2" t="inlineStr">
        <is>
          <t>financials</t>
        </is>
      </c>
      <c r="C1844" s="2" t="inlineStr">
        <is>
          <t>cash</t>
        </is>
      </c>
      <c r="D1844" s="2" t="inlineStr">
        <is>
          <t>Cash &amp; equivalents</t>
        </is>
      </c>
      <c r="E1844" s="2" t="inlineStr">
        <is>
          <t>FY2025</t>
        </is>
      </c>
      <c r="F1844" s="2" t="n">
        <v>69.90000000000001</v>
      </c>
      <c r="G1844" s="2" t="inlineStr">
        <is>
          <t>EUR m</t>
        </is>
      </c>
      <c r="H1844" s="3" t="inlineStr">
        <is>
          <t>Cash and cash equivalents at 31 December 2025 (audited)</t>
        </is>
      </c>
      <c r="I1844" s="2" t="inlineStr">
        <is>
          <t>S4</t>
        </is>
      </c>
      <c r="J1844" s="2" t="n">
        <v>27</v>
      </c>
      <c r="K1844" s="2" t="inlineStr">
        <is>
          <t>100,704 69,918</t>
        </is>
      </c>
      <c r="L1844" s="2" t="inlineStr">
        <is>
          <t>pend</t>
        </is>
      </c>
      <c r="M1844" s="2" t="n"/>
      <c r="N1844" s="2" t="n"/>
      <c r="O1844" s="3" t="inlineStr">
        <is>
          <t>https://vanillabonds.com/dossier-data/pdf/fastned/fastned-h1-2026-interim-report.pdf#page=27</t>
        </is>
      </c>
    </row>
    <row r="1845">
      <c r="A1845" s="2" t="inlineStr">
        <is>
          <t>F1844</t>
        </is>
      </c>
      <c r="B1845" s="2" t="inlineStr">
        <is>
          <t>financials</t>
        </is>
      </c>
      <c r="C1845" s="2" t="inlineStr">
        <is>
          <t>cash</t>
        </is>
      </c>
      <c r="D1845" s="2" t="inlineStr">
        <is>
          <t>Cash &amp; equivalents</t>
        </is>
      </c>
      <c r="E1845" s="2" t="inlineStr">
        <is>
          <t>H1-2025</t>
        </is>
      </c>
      <c r="F1845" s="2" t="n">
        <v>112.7</v>
      </c>
      <c r="G1845" s="2" t="inlineStr">
        <is>
          <t>EUR m</t>
        </is>
      </c>
      <c r="H1845" s="3" t="inlineStr">
        <is>
          <t>Cash and cash equivalents at 30 June 2025</t>
        </is>
      </c>
      <c r="I1845" s="2" t="inlineStr">
        <is>
          <t>S4</t>
        </is>
      </c>
      <c r="J1845" s="2" t="n">
        <v>30</v>
      </c>
      <c r="K1845" s="2" t="inlineStr">
        <is>
          <t>100,704 112,712</t>
        </is>
      </c>
      <c r="L1845" s="2" t="inlineStr">
        <is>
          <t>pend</t>
        </is>
      </c>
      <c r="M1845" s="2" t="n"/>
      <c r="N1845" s="2" t="n"/>
      <c r="O1845" s="3" t="inlineStr">
        <is>
          <t>https://vanillabonds.com/dossier-data/pdf/fastned/fastned-h1-2026-interim-report.pdf#page=30</t>
        </is>
      </c>
    </row>
    <row r="1846">
      <c r="A1846" s="2" t="inlineStr">
        <is>
          <t>F1845</t>
        </is>
      </c>
      <c r="B1846" s="2" t="inlineStr">
        <is>
          <t>financials</t>
        </is>
      </c>
      <c r="C1846" s="2" t="inlineStr">
        <is>
          <t>cash</t>
        </is>
      </c>
      <c r="D1846" s="2" t="inlineStr">
        <is>
          <t>Cash &amp; equivalents</t>
        </is>
      </c>
      <c r="E1846" s="2" t="inlineStr">
        <is>
          <t>H1-2026</t>
        </is>
      </c>
      <c r="F1846" s="2" t="n">
        <v>100.7</v>
      </c>
      <c r="G1846" s="2" t="inlineStr">
        <is>
          <t>EUR m</t>
        </is>
      </c>
      <c r="H1846" s="3" t="inlineStr">
        <is>
          <t>Cash and cash equivalents at 30 June 2026; no restricted cash</t>
        </is>
      </c>
      <c r="I1846" s="2" t="inlineStr">
        <is>
          <t>S4</t>
        </is>
      </c>
      <c r="J1846" s="2" t="n">
        <v>27</v>
      </c>
      <c r="K1846" s="2" t="inlineStr">
        <is>
          <t>100,704 69,918</t>
        </is>
      </c>
      <c r="L1846" s="2" t="inlineStr">
        <is>
          <t>pend</t>
        </is>
      </c>
      <c r="M1846" s="2" t="n"/>
      <c r="N1846" s="2" t="n"/>
      <c r="O1846" s="3" t="inlineStr">
        <is>
          <t>https://vanillabonds.com/dossier-data/pdf/fastned/fastned-h1-2026-interim-report.pdf#page=27</t>
        </is>
      </c>
    </row>
    <row r="1847">
      <c r="A1847" s="2" t="inlineStr">
        <is>
          <t>F1846</t>
        </is>
      </c>
      <c r="B1847" s="2" t="inlineStr">
        <is>
          <t>financials</t>
        </is>
      </c>
      <c r="C1847" s="2" t="inlineStr">
        <is>
          <t>gross_debt</t>
        </is>
      </c>
      <c r="D1847" s="3" t="inlineStr">
        <is>
          <t>Gross financial debt (bonds + loans, excl. leases)</t>
        </is>
      </c>
      <c r="E1847" s="2" t="inlineStr">
        <is>
          <t>FY2025</t>
        </is>
      </c>
      <c r="F1847" s="2" t="n">
        <v>295.1</v>
      </c>
      <c r="G1847" s="2" t="inlineStr">
        <is>
          <t>EUR m</t>
        </is>
      </c>
      <c r="H1847" s="3" t="inlineStr">
        <is>
          <t>Total interest-bearing loans and borrowings at 31 December 2025, excl. leases</t>
        </is>
      </c>
      <c r="I1847" s="2" t="inlineStr">
        <is>
          <t>S4</t>
        </is>
      </c>
      <c r="J1847" s="2" t="n">
        <v>43</v>
      </c>
      <c r="K1847" s="3" t="inlineStr">
        <is>
          <t>Total interest-bearing loans and borrowings 379,522 295,093</t>
        </is>
      </c>
      <c r="L1847" s="2" t="inlineStr">
        <is>
          <t>pend</t>
        </is>
      </c>
      <c r="M1847" s="2" t="n"/>
      <c r="N1847" s="2" t="n"/>
      <c r="O1847" s="3" t="inlineStr">
        <is>
          <t>https://vanillabonds.com/dossier-data/pdf/fastned/fastned-h1-2026-interim-report.pdf#page=43</t>
        </is>
      </c>
    </row>
    <row r="1848">
      <c r="A1848" s="2" t="inlineStr">
        <is>
          <t>F1847</t>
        </is>
      </c>
      <c r="B1848" s="2" t="inlineStr">
        <is>
          <t>financials</t>
        </is>
      </c>
      <c r="C1848" s="2" t="inlineStr">
        <is>
          <t>gross_debt</t>
        </is>
      </c>
      <c r="D1848" s="3" t="inlineStr">
        <is>
          <t>Gross financial debt (bonds + loans, excl. leases)</t>
        </is>
      </c>
      <c r="E1848" s="2" t="inlineStr">
        <is>
          <t>H1-2026</t>
        </is>
      </c>
      <c r="F1848" s="2" t="n">
        <v>379.5</v>
      </c>
      <c r="G1848" s="2" t="inlineStr">
        <is>
          <t>EUR m</t>
        </is>
      </c>
      <c r="H1848" s="3" t="inlineStr">
        <is>
          <t>Total interest-bearing loans and borrowings (bonds, secured loans, German tender grant liability, green facility), excl. leases</t>
        </is>
      </c>
      <c r="I1848" s="2" t="inlineStr">
        <is>
          <t>S4</t>
        </is>
      </c>
      <c r="J1848" s="2" t="n">
        <v>43</v>
      </c>
      <c r="K1848" s="3" t="inlineStr">
        <is>
          <t>Total interest-bearing loans and borrowings 379,522 295,093</t>
        </is>
      </c>
      <c r="L1848" s="2" t="inlineStr">
        <is>
          <t>pend</t>
        </is>
      </c>
      <c r="M1848" s="2" t="n"/>
      <c r="N1848" s="2" t="n"/>
      <c r="O1848" s="3" t="inlineStr">
        <is>
          <t>https://vanillabonds.com/dossier-data/pdf/fastned/fastned-h1-2026-interim-report.pdf#page=43</t>
        </is>
      </c>
    </row>
    <row r="1849">
      <c r="A1849" s="2" t="inlineStr">
        <is>
          <t>F1848</t>
        </is>
      </c>
      <c r="B1849" s="2" t="inlineStr">
        <is>
          <t>financials</t>
        </is>
      </c>
      <c r="C1849" s="2" t="inlineStr">
        <is>
          <t>lease_liabilities</t>
        </is>
      </c>
      <c r="D1849" s="2" t="inlineStr">
        <is>
          <t>Lease liabilities</t>
        </is>
      </c>
      <c r="E1849" s="2" t="inlineStr">
        <is>
          <t>FY2025</t>
        </is>
      </c>
      <c r="F1849" s="2" t="n">
        <v>62.9</v>
      </c>
      <c r="G1849" s="2" t="inlineStr">
        <is>
          <t>EUR m</t>
        </is>
      </c>
      <c r="H1849" s="3" t="inlineStr">
        <is>
          <t>Non-current 58.2 plus current 4.7 lease liabilities as shown on the balance sheet</t>
        </is>
      </c>
      <c r="I1849" s="2" t="inlineStr">
        <is>
          <t>S4</t>
        </is>
      </c>
      <c r="J1849" s="2" t="n">
        <v>27</v>
      </c>
      <c r="K1849" s="2" t="inlineStr">
        <is>
          <t>Lease Liabilities 71,229 58,170</t>
        </is>
      </c>
      <c r="L1849" s="2" t="inlineStr">
        <is>
          <t>pend</t>
        </is>
      </c>
      <c r="M1849" s="2" t="n"/>
      <c r="N1849" s="2" t="n"/>
      <c r="O1849" s="3" t="inlineStr">
        <is>
          <t>https://vanillabonds.com/dossier-data/pdf/fastned/fastned-h1-2026-interim-report.pdf#page=27</t>
        </is>
      </c>
    </row>
    <row r="1850">
      <c r="A1850" s="2" t="inlineStr">
        <is>
          <t>F1849</t>
        </is>
      </c>
      <c r="B1850" s="2" t="inlineStr">
        <is>
          <t>financials</t>
        </is>
      </c>
      <c r="C1850" s="2" t="inlineStr">
        <is>
          <t>lease_liabilities</t>
        </is>
      </c>
      <c r="D1850" s="2" t="inlineStr">
        <is>
          <t>Lease liabilities</t>
        </is>
      </c>
      <c r="E1850" s="2" t="inlineStr">
        <is>
          <t>H1-2026</t>
        </is>
      </c>
      <c r="F1850" s="2" t="n">
        <v>76.90000000000001</v>
      </c>
      <c r="G1850" s="2" t="inlineStr">
        <is>
          <t>EUR m</t>
        </is>
      </c>
      <c r="H1850" s="3" t="inlineStr">
        <is>
          <t>Non-current 71.2 plus current 5.7 lease liabilities as shown on the balance sheet</t>
        </is>
      </c>
      <c r="I1850" s="2" t="inlineStr">
        <is>
          <t>S4</t>
        </is>
      </c>
      <c r="J1850" s="2" t="n">
        <v>27</v>
      </c>
      <c r="K1850" s="2" t="inlineStr">
        <is>
          <t>Lease Liabilities 71,229 58,170</t>
        </is>
      </c>
      <c r="L1850" s="2" t="inlineStr">
        <is>
          <t>pend</t>
        </is>
      </c>
      <c r="M1850" s="2" t="n"/>
      <c r="N1850" s="2" t="n"/>
      <c r="O1850" s="3" t="inlineStr">
        <is>
          <t>https://vanillabonds.com/dossier-data/pdf/fastned/fastned-h1-2026-interim-report.pdf#page=27</t>
        </is>
      </c>
    </row>
    <row r="1851">
      <c r="A1851" s="2" t="inlineStr">
        <is>
          <t>F1850</t>
        </is>
      </c>
      <c r="B1851" s="2" t="inlineStr">
        <is>
          <t>financials</t>
        </is>
      </c>
      <c r="C1851" s="2" t="inlineStr">
        <is>
          <t>equity</t>
        </is>
      </c>
      <c r="D1851" s="2" t="inlineStr">
        <is>
          <t>Total equity</t>
        </is>
      </c>
      <c r="E1851" s="2" t="inlineStr">
        <is>
          <t>FY2024</t>
        </is>
      </c>
      <c r="F1851" s="2" t="n">
        <v>122.7</v>
      </c>
      <c r="G1851" s="2" t="inlineStr">
        <is>
          <t>EUR m</t>
        </is>
      </c>
      <c r="H1851" s="2" t="inlineStr">
        <is>
          <t>Equity at 1 January 2025</t>
        </is>
      </c>
      <c r="I1851" s="2" t="inlineStr">
        <is>
          <t>S4</t>
        </is>
      </c>
      <c r="J1851" s="2" t="n">
        <v>28</v>
      </c>
      <c r="K1851" s="2" t="inlineStr">
        <is>
          <t>(127,404) 122,693</t>
        </is>
      </c>
      <c r="L1851" s="2" t="inlineStr">
        <is>
          <t>pend</t>
        </is>
      </c>
      <c r="M1851" s="2" t="n"/>
      <c r="N1851" s="2" t="n"/>
      <c r="O1851" s="3" t="inlineStr">
        <is>
          <t>https://vanillabonds.com/dossier-data/pdf/fastned/fastned-h1-2026-interim-report.pdf#page=28</t>
        </is>
      </c>
    </row>
    <row r="1852">
      <c r="A1852" s="2" t="inlineStr">
        <is>
          <t>F1851</t>
        </is>
      </c>
      <c r="B1852" s="2" t="inlineStr">
        <is>
          <t>financials</t>
        </is>
      </c>
      <c r="C1852" s="2" t="inlineStr">
        <is>
          <t>equity</t>
        </is>
      </c>
      <c r="D1852" s="2" t="inlineStr">
        <is>
          <t>Total equity</t>
        </is>
      </c>
      <c r="E1852" s="2" t="inlineStr">
        <is>
          <t>FY2025</t>
        </is>
      </c>
      <c r="F1852" s="2" t="n">
        <v>91.90000000000001</v>
      </c>
      <c r="G1852" s="2" t="inlineStr">
        <is>
          <t>EUR m</t>
        </is>
      </c>
      <c r="H1852" s="2" t="inlineStr">
        <is>
          <t>Equity at 31 December 2025 (audited)</t>
        </is>
      </c>
      <c r="I1852" s="2" t="inlineStr">
        <is>
          <t>S4</t>
        </is>
      </c>
      <c r="J1852" s="2" t="n">
        <v>27</v>
      </c>
      <c r="K1852" s="2" t="inlineStr">
        <is>
          <t>80,770 91,921</t>
        </is>
      </c>
      <c r="L1852" s="2" t="inlineStr">
        <is>
          <t>pend</t>
        </is>
      </c>
      <c r="M1852" s="2" t="n"/>
      <c r="N1852" s="2" t="n"/>
      <c r="O1852" s="3" t="inlineStr">
        <is>
          <t>https://vanillabonds.com/dossier-data/pdf/fastned/fastned-h1-2026-interim-report.pdf#page=27</t>
        </is>
      </c>
    </row>
    <row r="1853">
      <c r="A1853" s="2" t="inlineStr">
        <is>
          <t>F1852</t>
        </is>
      </c>
      <c r="B1853" s="2" t="inlineStr">
        <is>
          <t>financials</t>
        </is>
      </c>
      <c r="C1853" s="2" t="inlineStr">
        <is>
          <t>equity</t>
        </is>
      </c>
      <c r="D1853" s="2" t="inlineStr">
        <is>
          <t>Total equity</t>
        </is>
      </c>
      <c r="E1853" s="2" t="inlineStr">
        <is>
          <t>H1-2025</t>
        </is>
      </c>
      <c r="F1853" s="2" t="n">
        <v>104.1</v>
      </c>
      <c r="G1853" s="2" t="inlineStr">
        <is>
          <t>EUR m</t>
        </is>
      </c>
      <c r="H1853" s="2" t="inlineStr">
        <is>
          <t>Equity at 30 June 2025</t>
        </is>
      </c>
      <c r="I1853" s="2" t="inlineStr">
        <is>
          <t>S4</t>
        </is>
      </c>
      <c r="J1853" s="2" t="n">
        <v>28</v>
      </c>
      <c r="K1853" s="2" t="inlineStr">
        <is>
          <t>(146,801) 104,063</t>
        </is>
      </c>
      <c r="L1853" s="2" t="inlineStr">
        <is>
          <t>pend</t>
        </is>
      </c>
      <c r="M1853" s="2" t="n"/>
      <c r="N1853" s="2" t="n"/>
      <c r="O1853" s="3" t="inlineStr">
        <is>
          <t>https://vanillabonds.com/dossier-data/pdf/fastned/fastned-h1-2026-interim-report.pdf#page=28</t>
        </is>
      </c>
    </row>
    <row r="1854">
      <c r="A1854" s="2" t="inlineStr">
        <is>
          <t>F1853</t>
        </is>
      </c>
      <c r="B1854" s="2" t="inlineStr">
        <is>
          <t>financials</t>
        </is>
      </c>
      <c r="C1854" s="2" t="inlineStr">
        <is>
          <t>equity</t>
        </is>
      </c>
      <c r="D1854" s="2" t="inlineStr">
        <is>
          <t>Total equity</t>
        </is>
      </c>
      <c r="E1854" s="2" t="inlineStr">
        <is>
          <t>H1-2026</t>
        </is>
      </c>
      <c r="F1854" s="2" t="n">
        <v>80.8</v>
      </c>
      <c r="G1854" s="2" t="inlineStr">
        <is>
          <t>EUR m</t>
        </is>
      </c>
      <c r="H1854" s="3" t="inlineStr">
        <is>
          <t>Equity attributable to owners of the parent</t>
        </is>
      </c>
      <c r="I1854" s="2" t="inlineStr">
        <is>
          <t>S4</t>
        </is>
      </c>
      <c r="J1854" s="2" t="n">
        <v>27</v>
      </c>
      <c r="K1854" s="2" t="inlineStr">
        <is>
          <t>80,770 91,921</t>
        </is>
      </c>
      <c r="L1854" s="2" t="inlineStr">
        <is>
          <t>pend</t>
        </is>
      </c>
      <c r="M1854" s="2" t="n"/>
      <c r="N1854" s="2" t="n"/>
      <c r="O1854" s="3" t="inlineStr">
        <is>
          <t>https://vanillabonds.com/dossier-data/pdf/fastned/fastned-h1-2026-interim-report.pdf#page=27</t>
        </is>
      </c>
    </row>
    <row r="1855">
      <c r="A1855" s="2" t="inlineStr">
        <is>
          <t>F1854</t>
        </is>
      </c>
      <c r="B1855" s="2" t="inlineStr">
        <is>
          <t>financials</t>
        </is>
      </c>
      <c r="C1855" s="2" t="inlineStr">
        <is>
          <t>total_assets</t>
        </is>
      </c>
      <c r="D1855" s="2" t="inlineStr">
        <is>
          <t>Total assets</t>
        </is>
      </c>
      <c r="E1855" s="2" t="inlineStr">
        <is>
          <t>FY2025</t>
        </is>
      </c>
      <c r="F1855" s="2" t="n">
        <v>501.8</v>
      </c>
      <c r="G1855" s="2" t="inlineStr">
        <is>
          <t>EUR m</t>
        </is>
      </c>
      <c r="H1855" s="3" t="inlineStr">
        <is>
          <t>Total assets at 31 December 2025 (audited)</t>
        </is>
      </c>
      <c r="I1855" s="2" t="inlineStr">
        <is>
          <t>S4</t>
        </is>
      </c>
      <c r="J1855" s="2" t="n">
        <v>27</v>
      </c>
      <c r="K1855" s="2" t="inlineStr">
        <is>
          <t>Total assets 595,323 501,764</t>
        </is>
      </c>
      <c r="L1855" s="2" t="inlineStr">
        <is>
          <t>pend</t>
        </is>
      </c>
      <c r="M1855" s="2" t="n"/>
      <c r="N1855" s="2" t="n"/>
      <c r="O1855" s="3" t="inlineStr">
        <is>
          <t>https://vanillabonds.com/dossier-data/pdf/fastned/fastned-h1-2026-interim-report.pdf#page=27</t>
        </is>
      </c>
    </row>
    <row r="1856">
      <c r="A1856" s="2" t="inlineStr">
        <is>
          <t>F1855</t>
        </is>
      </c>
      <c r="B1856" s="2" t="inlineStr">
        <is>
          <t>financials</t>
        </is>
      </c>
      <c r="C1856" s="2" t="inlineStr">
        <is>
          <t>total_assets</t>
        </is>
      </c>
      <c r="D1856" s="2" t="inlineStr">
        <is>
          <t>Total assets</t>
        </is>
      </c>
      <c r="E1856" s="2" t="inlineStr">
        <is>
          <t>H1-2026</t>
        </is>
      </c>
      <c r="F1856" s="2" t="n">
        <v>595.3</v>
      </c>
      <c r="G1856" s="2" t="inlineStr">
        <is>
          <t>EUR m</t>
        </is>
      </c>
      <c r="H1856" s="2" t="inlineStr">
        <is>
          <t>Total assets at 30 June 2026</t>
        </is>
      </c>
      <c r="I1856" s="2" t="inlineStr">
        <is>
          <t>S4</t>
        </is>
      </c>
      <c r="J1856" s="2" t="n">
        <v>27</v>
      </c>
      <c r="K1856" s="2" t="inlineStr">
        <is>
          <t>Total assets 595,323 501,764</t>
        </is>
      </c>
      <c r="L1856" s="2" t="inlineStr">
        <is>
          <t>pend</t>
        </is>
      </c>
      <c r="M1856" s="2" t="n"/>
      <c r="N1856" s="2" t="n"/>
      <c r="O1856" s="3" t="inlineStr">
        <is>
          <t>https://vanillabonds.com/dossier-data/pdf/fastned/fastned-h1-2026-interim-report.pdf#page=27</t>
        </is>
      </c>
    </row>
    <row r="1857">
      <c r="A1857" s="2" t="inlineStr">
        <is>
          <t>F1856</t>
        </is>
      </c>
      <c r="B1857" s="2" t="inlineStr">
        <is>
          <t>debt</t>
        </is>
      </c>
      <c r="C1857" s="2" t="inlineStr">
        <is>
          <t>debt_instrument</t>
        </is>
      </c>
      <c r="D1857" s="2" t="inlineStr">
        <is>
          <t>Debt instrument</t>
        </is>
      </c>
      <c r="E1857" s="2" t="n"/>
      <c r="F1857" s="2" t="n">
        <v>10.3</v>
      </c>
      <c r="G1857" s="2" t="n"/>
      <c r="H1857" s="3" t="inlineStr">
        <is>
          <t>Unsecured retail bonds 5.0%, due 12 Dec 2026, carrying EUR 10.3m (31 Dec 2025: 12.0), unsecured, not subordinated, unlisted</t>
        </is>
      </c>
      <c r="I1857" s="2" t="inlineStr">
        <is>
          <t>S4</t>
        </is>
      </c>
      <c r="J1857" s="2" t="n">
        <v>43</v>
      </c>
      <c r="K1857" s="2" t="inlineStr">
        <is>
          <t>5.0 12 Dec 2026 10,342 11,981</t>
        </is>
      </c>
      <c r="L1857" s="2" t="inlineStr">
        <is>
          <t>pend</t>
        </is>
      </c>
      <c r="M1857" s="2" t="n"/>
      <c r="N1857" s="2" t="n"/>
      <c r="O1857" s="3" t="inlineStr">
        <is>
          <t>https://vanillabonds.com/dossier-data/pdf/fastned/fastned-h1-2026-interim-report.pdf#page=43</t>
        </is>
      </c>
    </row>
    <row r="1858">
      <c r="A1858" s="2" t="inlineStr">
        <is>
          <t>F1857</t>
        </is>
      </c>
      <c r="B1858" s="2" t="inlineStr">
        <is>
          <t>debt</t>
        </is>
      </c>
      <c r="C1858" s="2" t="inlineStr">
        <is>
          <t>debt_instrument</t>
        </is>
      </c>
      <c r="D1858" s="2" t="inlineStr">
        <is>
          <t>Debt instrument</t>
        </is>
      </c>
      <c r="E1858" s="2" t="n"/>
      <c r="F1858" s="2" t="n">
        <v>5.2</v>
      </c>
      <c r="G1858" s="2" t="n"/>
      <c r="H1858" s="3" t="inlineStr">
        <is>
          <t>Unsecured retail bonds 5.0%, due 21 Jun 2027, EUR 5.2m (31 Dec 2025: 7.3)</t>
        </is>
      </c>
      <c r="I1858" s="2" t="inlineStr">
        <is>
          <t>S4</t>
        </is>
      </c>
      <c r="J1858" s="2" t="n">
        <v>43</v>
      </c>
      <c r="K1858" s="2" t="inlineStr">
        <is>
          <t>5.0 21 Jun 2027 5,212 7,262</t>
        </is>
      </c>
      <c r="L1858" s="2" t="inlineStr">
        <is>
          <t>pend</t>
        </is>
      </c>
      <c r="M1858" s="2" t="n"/>
      <c r="N1858" s="2" t="n"/>
      <c r="O1858" s="3" t="inlineStr">
        <is>
          <t>https://vanillabonds.com/dossier-data/pdf/fastned/fastned-h1-2026-interim-report.pdf#page=43</t>
        </is>
      </c>
    </row>
    <row r="1859">
      <c r="A1859" s="2" t="inlineStr">
        <is>
          <t>F1858</t>
        </is>
      </c>
      <c r="B1859" s="2" t="inlineStr">
        <is>
          <t>debt</t>
        </is>
      </c>
      <c r="C1859" s="2" t="inlineStr">
        <is>
          <t>debt_instrument</t>
        </is>
      </c>
      <c r="D1859" s="2" t="inlineStr">
        <is>
          <t>Debt instrument</t>
        </is>
      </c>
      <c r="E1859" s="2" t="n"/>
      <c r="F1859" s="2" t="n">
        <v>0.4</v>
      </c>
      <c r="G1859" s="2" t="n"/>
      <c r="H1859" s="3" t="inlineStr">
        <is>
          <t>4% secured loan (Caisse des Depots), current instalment due 1 Dec 2026, EUR 0.4m</t>
        </is>
      </c>
      <c r="I1859" s="2" t="inlineStr">
        <is>
          <t>S4</t>
        </is>
      </c>
      <c r="J1859" s="2" t="n">
        <v>43</v>
      </c>
      <c r="K1859" s="2" t="inlineStr">
        <is>
          <t>4% secured loan 4.0 1 Dec 2026 400 400</t>
        </is>
      </c>
      <c r="L1859" s="2" t="inlineStr">
        <is>
          <t>pend</t>
        </is>
      </c>
      <c r="M1859" s="2" t="n"/>
      <c r="N1859" s="2" t="n"/>
      <c r="O1859" s="3" t="inlineStr">
        <is>
          <t>https://vanillabonds.com/dossier-data/pdf/fastned/fastned-h1-2026-interim-report.pdf#page=43</t>
        </is>
      </c>
    </row>
    <row r="1860">
      <c r="A1860" s="2" t="inlineStr">
        <is>
          <t>F1859</t>
        </is>
      </c>
      <c r="B1860" s="2" t="inlineStr">
        <is>
          <t>debt</t>
        </is>
      </c>
      <c r="C1860" s="2" t="inlineStr">
        <is>
          <t>debt_instrument</t>
        </is>
      </c>
      <c r="D1860" s="2" t="inlineStr">
        <is>
          <t>Debt instrument</t>
        </is>
      </c>
      <c r="E1860" s="2" t="n"/>
      <c r="F1860" s="2" t="n">
        <v>24.4</v>
      </c>
      <c r="G1860" s="2" t="n"/>
      <c r="H1860" s="3" t="inlineStr">
        <is>
          <t>Unsecured retail bonds 5.5%, due 12 Jun 2028, EUR 24.4m</t>
        </is>
      </c>
      <c r="I1860" s="2" t="inlineStr">
        <is>
          <t>S4</t>
        </is>
      </c>
      <c r="J1860" s="2" t="n">
        <v>43</v>
      </c>
      <c r="K1860" s="2" t="inlineStr">
        <is>
          <t>5.5 12 Jun 2028 24,413 24,413</t>
        </is>
      </c>
      <c r="L1860" s="2" t="inlineStr">
        <is>
          <t>pend</t>
        </is>
      </c>
      <c r="M1860" s="2" t="n"/>
      <c r="N1860" s="2" t="n"/>
      <c r="O1860" s="3" t="inlineStr">
        <is>
          <t>https://vanillabonds.com/dossier-data/pdf/fastned/fastned-h1-2026-interim-report.pdf#page=43</t>
        </is>
      </c>
    </row>
    <row r="1861">
      <c r="A1861" s="2" t="inlineStr">
        <is>
          <t>F1860</t>
        </is>
      </c>
      <c r="B1861" s="2" t="inlineStr">
        <is>
          <t>debt</t>
        </is>
      </c>
      <c r="C1861" s="2" t="inlineStr">
        <is>
          <t>debt_instrument</t>
        </is>
      </c>
      <c r="D1861" s="2" t="inlineStr">
        <is>
          <t>Debt instrument</t>
        </is>
      </c>
      <c r="E1861" s="2" t="n"/>
      <c r="F1861" s="2" t="n">
        <v>34.5</v>
      </c>
      <c r="G1861" s="2" t="n"/>
      <c r="H1861" s="3" t="inlineStr">
        <is>
          <t>Unsecured retail bonds 6.0%, due 16 Oct 2028, EUR 34.5m</t>
        </is>
      </c>
      <c r="I1861" s="2" t="inlineStr">
        <is>
          <t>S4</t>
        </is>
      </c>
      <c r="J1861" s="2" t="n">
        <v>43</v>
      </c>
      <c r="K1861" s="2" t="inlineStr">
        <is>
          <t>6.0 16 Oct 2028 34,537 34,537</t>
        </is>
      </c>
      <c r="L1861" s="2" t="inlineStr">
        <is>
          <t>pend</t>
        </is>
      </c>
      <c r="M1861" s="2" t="n"/>
      <c r="N1861" s="2" t="n"/>
      <c r="O1861" s="3" t="inlineStr">
        <is>
          <t>https://vanillabonds.com/dossier-data/pdf/fastned/fastned-h1-2026-interim-report.pdf#page=43</t>
        </is>
      </c>
    </row>
    <row r="1862">
      <c r="A1862" s="2" t="inlineStr">
        <is>
          <t>F1861</t>
        </is>
      </c>
      <c r="B1862" s="2" t="inlineStr">
        <is>
          <t>debt</t>
        </is>
      </c>
      <c r="C1862" s="2" t="inlineStr">
        <is>
          <t>debt_instrument</t>
        </is>
      </c>
      <c r="D1862" s="2" t="inlineStr">
        <is>
          <t>Debt instrument</t>
        </is>
      </c>
      <c r="E1862" s="2" t="n"/>
      <c r="F1862" s="2" t="n">
        <v>27.9</v>
      </c>
      <c r="G1862" s="2" t="n"/>
      <c r="H1862" s="3" t="inlineStr">
        <is>
          <t>Unsecured retail bonds 6.0%, due 19 Feb 2029, EUR 27.9m</t>
        </is>
      </c>
      <c r="I1862" s="2" t="inlineStr">
        <is>
          <t>S4</t>
        </is>
      </c>
      <c r="J1862" s="2" t="n">
        <v>43</v>
      </c>
      <c r="K1862" s="2" t="inlineStr">
        <is>
          <t>6.0 19 Feb 2029 27,892 27,892</t>
        </is>
      </c>
      <c r="L1862" s="2" t="inlineStr">
        <is>
          <t>pend</t>
        </is>
      </c>
      <c r="M1862" s="2" t="n"/>
      <c r="N1862" s="2" t="n"/>
      <c r="O1862" s="3" t="inlineStr">
        <is>
          <t>https://vanillabonds.com/dossier-data/pdf/fastned/fastned-h1-2026-interim-report.pdf#page=43</t>
        </is>
      </c>
    </row>
    <row r="1863">
      <c r="A1863" s="2" t="inlineStr">
        <is>
          <t>F1862</t>
        </is>
      </c>
      <c r="B1863" s="2" t="inlineStr">
        <is>
          <t>debt</t>
        </is>
      </c>
      <c r="C1863" s="2" t="inlineStr">
        <is>
          <t>debt_instrument</t>
        </is>
      </c>
      <c r="D1863" s="2" t="inlineStr">
        <is>
          <t>Debt instrument</t>
        </is>
      </c>
      <c r="E1863" s="2" t="n"/>
      <c r="F1863" s="2" t="n">
        <v>33.1</v>
      </c>
      <c r="G1863" s="2" t="n"/>
      <c r="H1863" s="3" t="inlineStr">
        <is>
          <t>Unsecured retail bonds 6.0%, due 21 Jun 2029, EUR 33.1m</t>
        </is>
      </c>
      <c r="I1863" s="2" t="inlineStr">
        <is>
          <t>S4</t>
        </is>
      </c>
      <c r="J1863" s="2" t="n">
        <v>43</v>
      </c>
      <c r="K1863" s="2" t="inlineStr">
        <is>
          <t>6.0 21 Jun 2029 33,067 33,067</t>
        </is>
      </c>
      <c r="L1863" s="2" t="inlineStr">
        <is>
          <t>pend</t>
        </is>
      </c>
      <c r="M1863" s="2" t="n"/>
      <c r="N1863" s="2" t="n"/>
      <c r="O1863" s="3" t="inlineStr">
        <is>
          <t>https://vanillabonds.com/dossier-data/pdf/fastned/fastned-h1-2026-interim-report.pdf#page=43</t>
        </is>
      </c>
    </row>
    <row r="1864">
      <c r="A1864" s="2" t="inlineStr">
        <is>
          <t>F1863</t>
        </is>
      </c>
      <c r="B1864" s="2" t="inlineStr">
        <is>
          <t>debt</t>
        </is>
      </c>
      <c r="C1864" s="2" t="inlineStr">
        <is>
          <t>debt_instrument</t>
        </is>
      </c>
      <c r="D1864" s="2" t="inlineStr">
        <is>
          <t>Debt instrument</t>
        </is>
      </c>
      <c r="E1864" s="2" t="n"/>
      <c r="F1864" s="2" t="n">
        <v>22.1</v>
      </c>
      <c r="G1864" s="2" t="n"/>
      <c r="H1864" s="3" t="inlineStr">
        <is>
          <t>Unsecured retail bonds 6.0%, due 30 Oct 2029, EUR 22.1m</t>
        </is>
      </c>
      <c r="I1864" s="2" t="inlineStr">
        <is>
          <t>S4</t>
        </is>
      </c>
      <c r="J1864" s="2" t="n">
        <v>43</v>
      </c>
      <c r="K1864" s="2" t="inlineStr">
        <is>
          <t>6.0 30 Oct 2029 22,135 22,135</t>
        </is>
      </c>
      <c r="L1864" s="2" t="inlineStr">
        <is>
          <t>pend</t>
        </is>
      </c>
      <c r="M1864" s="2" t="n"/>
      <c r="N1864" s="2" t="n"/>
      <c r="O1864" s="3" t="inlineStr">
        <is>
          <t>https://vanillabonds.com/dossier-data/pdf/fastned/fastned-h1-2026-interim-report.pdf#page=43</t>
        </is>
      </c>
    </row>
    <row r="1865">
      <c r="A1865" s="2" t="inlineStr">
        <is>
          <t>F1864</t>
        </is>
      </c>
      <c r="B1865" s="2" t="inlineStr">
        <is>
          <t>debt</t>
        </is>
      </c>
      <c r="C1865" s="2" t="inlineStr">
        <is>
          <t>debt_instrument</t>
        </is>
      </c>
      <c r="D1865" s="2" t="inlineStr">
        <is>
          <t>Debt instrument</t>
        </is>
      </c>
      <c r="E1865" s="2" t="n"/>
      <c r="F1865" s="2" t="n">
        <v>36.5</v>
      </c>
      <c r="G1865" s="2" t="n"/>
      <c r="H1865" s="3" t="inlineStr">
        <is>
          <t>Unsecured retail bonds 6.0%, due 19 Feb 2030, EUR 36.5m</t>
        </is>
      </c>
      <c r="I1865" s="2" t="inlineStr">
        <is>
          <t>S4</t>
        </is>
      </c>
      <c r="J1865" s="2" t="n">
        <v>43</v>
      </c>
      <c r="K1865" s="2" t="inlineStr">
        <is>
          <t>6.0 19 Feb 2030 36,528 36,528</t>
        </is>
      </c>
      <c r="L1865" s="2" t="inlineStr">
        <is>
          <t>pend</t>
        </is>
      </c>
      <c r="M1865" s="2" t="n"/>
      <c r="N1865" s="2" t="n"/>
      <c r="O1865" s="3" t="inlineStr">
        <is>
          <t>https://vanillabonds.com/dossier-data/pdf/fastned/fastned-h1-2026-interim-report.pdf#page=43</t>
        </is>
      </c>
    </row>
    <row r="1866">
      <c r="A1866" s="2" t="inlineStr">
        <is>
          <t>F1865</t>
        </is>
      </c>
      <c r="B1866" s="2" t="inlineStr">
        <is>
          <t>debt</t>
        </is>
      </c>
      <c r="C1866" s="2" t="inlineStr">
        <is>
          <t>debt_instrument</t>
        </is>
      </c>
      <c r="D1866" s="2" t="inlineStr">
        <is>
          <t>Debt instrument</t>
        </is>
      </c>
      <c r="E1866" s="2" t="n"/>
      <c r="F1866" s="2" t="n">
        <v>34.8</v>
      </c>
      <c r="G1866" s="2" t="n"/>
      <c r="H1866" s="3" t="inlineStr">
        <is>
          <t>Unsecured retail bonds 6.0%, due 21 Jun 2030, EUR 34.8m</t>
        </is>
      </c>
      <c r="I1866" s="2" t="inlineStr">
        <is>
          <t>S4</t>
        </is>
      </c>
      <c r="J1866" s="2" t="n">
        <v>43</v>
      </c>
      <c r="K1866" s="2" t="inlineStr">
        <is>
          <t>6.0 21 Jun 2030 34,770 34,770</t>
        </is>
      </c>
      <c r="L1866" s="2" t="inlineStr">
        <is>
          <t>pend</t>
        </is>
      </c>
      <c r="M1866" s="2" t="n"/>
      <c r="N1866" s="2" t="n"/>
      <c r="O1866" s="3" t="inlineStr">
        <is>
          <t>https://vanillabonds.com/dossier-data/pdf/fastned/fastned-h1-2026-interim-report.pdf#page=43</t>
        </is>
      </c>
    </row>
    <row r="1867">
      <c r="A1867" s="2" t="inlineStr">
        <is>
          <t>F1866</t>
        </is>
      </c>
      <c r="B1867" s="2" t="inlineStr">
        <is>
          <t>debt</t>
        </is>
      </c>
      <c r="C1867" s="2" t="inlineStr">
        <is>
          <t>debt_instrument</t>
        </is>
      </c>
      <c r="D1867" s="2" t="inlineStr">
        <is>
          <t>Debt instrument</t>
        </is>
      </c>
      <c r="E1867" s="2" t="n"/>
      <c r="F1867" s="2" t="n">
        <v>39.1</v>
      </c>
      <c r="G1867" s="2" t="n"/>
      <c r="H1867" s="3" t="inlineStr">
        <is>
          <t>Unsecured retail bonds 6.0%, due 30 Oct 2030, EUR 39.1m</t>
        </is>
      </c>
      <c r="I1867" s="2" t="inlineStr">
        <is>
          <t>S4</t>
        </is>
      </c>
      <c r="J1867" s="2" t="n">
        <v>43</v>
      </c>
      <c r="K1867" s="2" t="inlineStr">
        <is>
          <t>6.0 30 Oct 2030 39,098 39,098</t>
        </is>
      </c>
      <c r="L1867" s="2" t="inlineStr">
        <is>
          <t>pend</t>
        </is>
      </c>
      <c r="M1867" s="2" t="n"/>
      <c r="N1867" s="2" t="n"/>
      <c r="O1867" s="3" t="inlineStr">
        <is>
          <t>https://vanillabonds.com/dossier-data/pdf/fastned/fastned-h1-2026-interim-report.pdf#page=43</t>
        </is>
      </c>
    </row>
    <row r="1868">
      <c r="A1868" s="2" t="inlineStr">
        <is>
          <t>F1867</t>
        </is>
      </c>
      <c r="B1868" s="2" t="inlineStr">
        <is>
          <t>debt</t>
        </is>
      </c>
      <c r="C1868" s="2" t="inlineStr">
        <is>
          <t>debt_instrument</t>
        </is>
      </c>
      <c r="D1868" s="2" t="inlineStr">
        <is>
          <t>Debt instrument</t>
        </is>
      </c>
      <c r="E1868" s="2" t="n"/>
      <c r="F1868" s="2" t="n">
        <v>32.4</v>
      </c>
      <c r="G1868" s="2" t="n"/>
      <c r="H1868" s="3" t="inlineStr">
        <is>
          <t>Unsecured retail bonds 6.0%, due 10 Mar 2031, EUR 32.4m, issued Feb-Mar 2026 (30.1 new money, 2.3 extended)</t>
        </is>
      </c>
      <c r="I1868" s="2" t="inlineStr">
        <is>
          <t>S4</t>
        </is>
      </c>
      <c r="J1868" s="2" t="n">
        <v>43</v>
      </c>
      <c r="K1868" s="2" t="inlineStr">
        <is>
          <t>6.0 10 Mar 2031 32,352</t>
        </is>
      </c>
      <c r="L1868" s="2" t="inlineStr">
        <is>
          <t>pend</t>
        </is>
      </c>
      <c r="M1868" s="2" t="n"/>
      <c r="N1868" s="2" t="n"/>
      <c r="O1868" s="3" t="inlineStr">
        <is>
          <t>https://vanillabonds.com/dossier-data/pdf/fastned/fastned-h1-2026-interim-report.pdf#page=43</t>
        </is>
      </c>
    </row>
    <row r="1869">
      <c r="A1869" s="2" t="inlineStr">
        <is>
          <t>F1868</t>
        </is>
      </c>
      <c r="B1869" s="2" t="inlineStr">
        <is>
          <t>debt</t>
        </is>
      </c>
      <c r="C1869" s="2" t="inlineStr">
        <is>
          <t>debt_instrument</t>
        </is>
      </c>
      <c r="D1869" s="2" t="inlineStr">
        <is>
          <t>Debt instrument</t>
        </is>
      </c>
      <c r="E1869" s="2" t="n"/>
      <c r="F1869" s="2" t="n">
        <v>36.5</v>
      </c>
      <c r="G1869" s="2" t="n"/>
      <c r="H1869" s="3" t="inlineStr">
        <is>
          <t>Unsecured retail bonds 6.0%, due 21 Jun 2031, EUR 36.5m, issued May-Jun 2026 (35.1 new money, 1.4 extended)</t>
        </is>
      </c>
      <c r="I1869" s="2" t="inlineStr">
        <is>
          <t>S4</t>
        </is>
      </c>
      <c r="J1869" s="2" t="n">
        <v>43</v>
      </c>
      <c r="K1869" s="2" t="inlineStr">
        <is>
          <t>6.0 21 Jun 2031 36,509</t>
        </is>
      </c>
      <c r="L1869" s="2" t="inlineStr">
        <is>
          <t>pend</t>
        </is>
      </c>
      <c r="M1869" s="2" t="n"/>
      <c r="N1869" s="2" t="n"/>
      <c r="O1869" s="3" t="inlineStr">
        <is>
          <t>https://vanillabonds.com/dossier-data/pdf/fastned/fastned-h1-2026-interim-report.pdf#page=43</t>
        </is>
      </c>
    </row>
    <row r="1870">
      <c r="A1870" s="2" t="inlineStr">
        <is>
          <t>F1869</t>
        </is>
      </c>
      <c r="B1870" s="2" t="inlineStr">
        <is>
          <t>debt</t>
        </is>
      </c>
      <c r="C1870" s="2" t="inlineStr">
        <is>
          <t>debt_instrument</t>
        </is>
      </c>
      <c r="D1870" s="2" t="inlineStr">
        <is>
          <t>Debt instrument</t>
        </is>
      </c>
      <c r="E1870" s="2" t="n"/>
      <c r="F1870" s="2" t="n">
        <v>1.7</v>
      </c>
      <c r="G1870" s="2" t="n"/>
      <c r="H1870" s="3" t="inlineStr">
        <is>
          <t>4% secured loan (Caisse des Depots), due 1 Dec 2031, EUR 1.7m</t>
        </is>
      </c>
      <c r="I1870" s="2" t="inlineStr">
        <is>
          <t>S4</t>
        </is>
      </c>
      <c r="J1870" s="2" t="n">
        <v>43</v>
      </c>
      <c r="K1870" s="2" t="inlineStr">
        <is>
          <t>4.0 1 Dec 2031 1,738 1,738</t>
        </is>
      </c>
      <c r="L1870" s="2" t="inlineStr">
        <is>
          <t>pend</t>
        </is>
      </c>
      <c r="M1870" s="2" t="n"/>
      <c r="N1870" s="2" t="n"/>
      <c r="O1870" s="3" t="inlineStr">
        <is>
          <t>https://vanillabonds.com/dossier-data/pdf/fastned/fastned-h1-2026-interim-report.pdf#page=43</t>
        </is>
      </c>
    </row>
    <row r="1871">
      <c r="A1871" s="2" t="inlineStr">
        <is>
          <t>F1870</t>
        </is>
      </c>
      <c r="B1871" s="2" t="inlineStr">
        <is>
          <t>debt</t>
        </is>
      </c>
      <c r="C1871" s="2" t="inlineStr">
        <is>
          <t>debt_instrument</t>
        </is>
      </c>
      <c r="D1871" s="2" t="inlineStr">
        <is>
          <t>Debt instrument</t>
        </is>
      </c>
      <c r="E1871" s="2" t="n"/>
      <c r="F1871" s="2" t="n">
        <v>12.6</v>
      </c>
      <c r="G1871" s="2" t="n"/>
      <c r="H1871" s="3" t="inlineStr">
        <is>
          <t>4% secured loan (Caisse des Depots), due 1 Dec 2032, EUR 12.6m; fixed 4% capitalised for three years, then variable component on kWh sold</t>
        </is>
      </c>
      <c r="I1871" s="2" t="inlineStr">
        <is>
          <t>S4</t>
        </is>
      </c>
      <c r="J1871" s="2" t="n">
        <v>43</v>
      </c>
      <c r="K1871" s="2" t="inlineStr">
        <is>
          <t>4.0 1 Dec 2032 12,591 12,591</t>
        </is>
      </c>
      <c r="L1871" s="2" t="inlineStr">
        <is>
          <t>pend</t>
        </is>
      </c>
      <c r="M1871" s="2" t="n"/>
      <c r="N1871" s="2" t="n"/>
      <c r="O1871" s="3" t="inlineStr">
        <is>
          <t>https://vanillabonds.com/dossier-data/pdf/fastned/fastned-h1-2026-interim-report.pdf#page=43</t>
        </is>
      </c>
    </row>
    <row r="1872">
      <c r="A1872" s="2" t="inlineStr">
        <is>
          <t>F1871</t>
        </is>
      </c>
      <c r="B1872" s="2" t="inlineStr">
        <is>
          <t>debt</t>
        </is>
      </c>
      <c r="C1872" s="2" t="inlineStr">
        <is>
          <t>debt_instrument</t>
        </is>
      </c>
      <c r="D1872" s="2" t="inlineStr">
        <is>
          <t>Debt instrument</t>
        </is>
      </c>
      <c r="E1872" s="2" t="n"/>
      <c r="F1872" s="2" t="n">
        <v>9</v>
      </c>
      <c r="G1872" s="2" t="n"/>
      <c r="H1872" s="3" t="inlineStr">
        <is>
          <t>German Regional Tender government grant treated as interest-free loan (financial liability), due 1 Dec 2032, EUR 9.0m (31 Dec 2025: 8.7); repaid via remuneration sharing per kWh</t>
        </is>
      </c>
      <c r="I1872" s="2" t="inlineStr">
        <is>
          <t>S4</t>
        </is>
      </c>
      <c r="J1872" s="2" t="n">
        <v>43</v>
      </c>
      <c r="K1872" s="3" t="inlineStr">
        <is>
          <t>German Regional Tender 1 Dec 2032 8,957 8,681</t>
        </is>
      </c>
      <c r="L1872" s="2" t="inlineStr">
        <is>
          <t>pend</t>
        </is>
      </c>
      <c r="M1872" s="2" t="n"/>
      <c r="N1872" s="2" t="n"/>
      <c r="O1872" s="3" t="inlineStr">
        <is>
          <t>https://vanillabonds.com/dossier-data/pdf/fastned/fastned-h1-2026-interim-report.pdf#page=43</t>
        </is>
      </c>
    </row>
    <row r="1873">
      <c r="A1873" s="2" t="inlineStr">
        <is>
          <t>F1872</t>
        </is>
      </c>
      <c r="B1873" s="2" t="inlineStr">
        <is>
          <t>debt</t>
        </is>
      </c>
      <c r="C1873" s="2" t="inlineStr">
        <is>
          <t>debt_instrument</t>
        </is>
      </c>
      <c r="D1873" s="2" t="inlineStr">
        <is>
          <t>Debt instrument</t>
        </is>
      </c>
      <c r="E1873" s="2" t="n"/>
      <c r="F1873" s="2" t="n">
        <v>13.4</v>
      </c>
      <c r="G1873" s="2" t="n"/>
      <c r="H1873" s="3" t="inlineStr">
        <is>
          <t>Green loan Facility A1 (EUR 55m commitment), floating EURIBOR + margin, matures 22 Jan 2031, senior secured, carrying EUR 13.4m net of transaction costs</t>
        </is>
      </c>
      <c r="I1873" s="2" t="inlineStr">
        <is>
          <t>S4</t>
        </is>
      </c>
      <c r="J1873" s="2" t="n">
        <v>43</v>
      </c>
      <c r="K1873" s="3" t="inlineStr">
        <is>
          <t>Floating: EURIBOR + Margin 22 Jan 2031 13,417</t>
        </is>
      </c>
      <c r="L1873" s="2" t="inlineStr">
        <is>
          <t>pend</t>
        </is>
      </c>
      <c r="M1873" s="2" t="n"/>
      <c r="N1873" s="2" t="n"/>
      <c r="O1873" s="3" t="inlineStr">
        <is>
          <t>https://vanillabonds.com/dossier-data/pdf/fastned/fastned-h1-2026-interim-report.pdf#page=43</t>
        </is>
      </c>
    </row>
    <row r="1874">
      <c r="A1874" s="2" t="inlineStr">
        <is>
          <t>F1873</t>
        </is>
      </c>
      <c r="B1874" s="2" t="inlineStr">
        <is>
          <t>debt</t>
        </is>
      </c>
      <c r="C1874" s="2" t="inlineStr">
        <is>
          <t>debt_instrument</t>
        </is>
      </c>
      <c r="D1874" s="2" t="inlineStr">
        <is>
          <t>Debt instrument</t>
        </is>
      </c>
      <c r="E1874" s="2" t="n"/>
      <c r="F1874" s="2" t="n">
        <v>1.7</v>
      </c>
      <c r="G1874" s="2" t="n"/>
      <c r="H1874" s="3" t="inlineStr">
        <is>
          <t>Green loan Facility A2 (CHF 23.2m commitment), floating SARON + margin, matures 22 Jan 2031, senior secured, carrying EUR 1.7m</t>
        </is>
      </c>
      <c r="I1874" s="2" t="inlineStr">
        <is>
          <t>S4</t>
        </is>
      </c>
      <c r="J1874" s="2" t="n">
        <v>43</v>
      </c>
      <c r="K1874" s="3" t="inlineStr">
        <is>
          <t>Floating: SARON + Margin 22 Jan 2031 1,732</t>
        </is>
      </c>
      <c r="L1874" s="2" t="inlineStr">
        <is>
          <t>pend</t>
        </is>
      </c>
      <c r="M1874" s="2" t="n"/>
      <c r="N1874" s="2" t="n"/>
      <c r="O1874" s="3" t="inlineStr">
        <is>
          <t>https://vanillabonds.com/dossier-data/pdf/fastned/fastned-h1-2026-interim-report.pdf#page=43</t>
        </is>
      </c>
    </row>
    <row r="1875">
      <c r="A1875" s="2" t="inlineStr">
        <is>
          <t>F1874</t>
        </is>
      </c>
      <c r="B1875" s="2" t="inlineStr">
        <is>
          <t>debt</t>
        </is>
      </c>
      <c r="C1875" s="2" t="inlineStr">
        <is>
          <t>debt_instrument</t>
        </is>
      </c>
      <c r="D1875" s="2" t="inlineStr">
        <is>
          <t>Debt instrument</t>
        </is>
      </c>
      <c r="E1875" s="2" t="n"/>
      <c r="F1875" s="2" t="n">
        <v>3.8</v>
      </c>
      <c r="G1875" s="2" t="n"/>
      <c r="H1875" s="3" t="inlineStr">
        <is>
          <t>Green loan Facility B (EUR 20m commitment), fixed rate, matures 22 Jan 2031, senior secured, carrying EUR 3.8m</t>
        </is>
      </c>
      <c r="I1875" s="2" t="inlineStr">
        <is>
          <t>S4</t>
        </is>
      </c>
      <c r="J1875" s="2" t="n">
        <v>43</v>
      </c>
      <c r="K1875" s="2" t="inlineStr">
        <is>
          <t>Fixed + Margin 22 Jan 2031 3,832</t>
        </is>
      </c>
      <c r="L1875" s="2" t="inlineStr">
        <is>
          <t>pend</t>
        </is>
      </c>
      <c r="M1875" s="2" t="n"/>
      <c r="N1875" s="2" t="n"/>
      <c r="O1875" s="3" t="inlineStr">
        <is>
          <t>https://vanillabonds.com/dossier-data/pdf/fastned/fastned-h1-2026-interim-report.pdf#page=43</t>
        </is>
      </c>
    </row>
    <row r="1876">
      <c r="A1876" s="2" t="inlineStr">
        <is>
          <t>F1875</t>
        </is>
      </c>
      <c r="B1876" s="2" t="inlineStr">
        <is>
          <t>debt</t>
        </is>
      </c>
      <c r="C1876" s="2" t="inlineStr">
        <is>
          <t>debt_instrument</t>
        </is>
      </c>
      <c r="D1876" s="2" t="inlineStr">
        <is>
          <t>Debt instrument</t>
        </is>
      </c>
      <c r="E1876" s="2" t="n"/>
      <c r="F1876" s="2" t="n">
        <v>100</v>
      </c>
      <c r="G1876" s="2" t="n"/>
      <c r="H1876" s="3" t="inlineStr">
        <is>
          <t>EUR 100m senior secured multi-currency green term facility (Jan 2026), five lenders, borrower ring-fenced subsidiary, matures 22 Jan 2031; tranches A1 EUR 55m, A2 CHF 23.2m, B EUR 20m</t>
        </is>
      </c>
      <c r="I1876" s="2" t="inlineStr">
        <is>
          <t>S4</t>
        </is>
      </c>
      <c r="J1876" s="2" t="n">
        <v>44</v>
      </c>
      <c r="K1876" s="3" t="inlineStr">
        <is>
          <t>In January 2026, Fastned entered into a €100 million senior secured multi-</t>
        </is>
      </c>
      <c r="L1876" s="2" t="inlineStr">
        <is>
          <t>pend</t>
        </is>
      </c>
      <c r="M1876" s="2" t="n"/>
      <c r="N1876" s="2" t="n"/>
      <c r="O1876" s="3" t="inlineStr">
        <is>
          <t>https://vanillabonds.com/dossier-data/pdf/fastned/fastned-h1-2026-interim-report.pdf#page=44</t>
        </is>
      </c>
    </row>
    <row r="1877">
      <c r="A1877" s="2" t="inlineStr">
        <is>
          <t>F1876</t>
        </is>
      </c>
      <c r="B1877" s="2" t="inlineStr">
        <is>
          <t>debt</t>
        </is>
      </c>
      <c r="C1877" s="2" t="inlineStr">
        <is>
          <t>covenant</t>
        </is>
      </c>
      <c r="D1877" s="2" t="inlineStr">
        <is>
          <t>Financial covenant / restriction</t>
        </is>
      </c>
      <c r="E1877" s="2" t="n"/>
      <c r="F1877" s="2" t="n"/>
      <c r="G1877" s="2" t="n"/>
      <c r="H1877" s="3" t="inlineStr">
        <is>
          <t>Retail bonds: no security and no covenants that could require Fastned to repay.</t>
        </is>
      </c>
      <c r="I1877" s="2" t="inlineStr">
        <is>
          <t>S4</t>
        </is>
      </c>
      <c r="J1877" s="2" t="n">
        <v>44</v>
      </c>
      <c r="K1877" s="3" t="inlineStr">
        <is>
          <t>There are no securities for the bonds and there are no covenants</t>
        </is>
      </c>
      <c r="L1877" s="2" t="inlineStr">
        <is>
          <t>pend</t>
        </is>
      </c>
      <c r="M1877" s="2" t="n"/>
      <c r="N1877" s="2" t="n"/>
      <c r="O1877" s="3" t="inlineStr">
        <is>
          <t>https://vanillabonds.com/dossier-data/pdf/fastned/fastned-h1-2026-interim-report.pdf#page=44</t>
        </is>
      </c>
    </row>
    <row r="1878">
      <c r="A1878" s="2" t="inlineStr">
        <is>
          <t>F1877</t>
        </is>
      </c>
      <c r="B1878" s="2" t="inlineStr">
        <is>
          <t>debt</t>
        </is>
      </c>
      <c r="C1878" s="2" t="inlineStr">
        <is>
          <t>covenant</t>
        </is>
      </c>
      <c r="D1878" s="2" t="inlineStr">
        <is>
          <t>Financial covenant / restriction</t>
        </is>
      </c>
      <c r="E1878" s="2" t="n"/>
      <c r="F1878" s="2" t="n"/>
      <c r="G1878" s="2" t="n"/>
      <c r="H1878" s="3" t="inlineStr">
        <is>
          <t>Green loan facility: secured, senior, subject to financial covenants first tested on 31 December 2029.</t>
        </is>
      </c>
      <c r="I1878" s="2" t="inlineStr">
        <is>
          <t>S4</t>
        </is>
      </c>
      <c r="J1878" s="2" t="n">
        <v>44</v>
      </c>
      <c r="K1878" s="3" t="inlineStr">
        <is>
          <t>it is subject to financial covenants which are first tested on 31 December 2029.</t>
        </is>
      </c>
      <c r="L1878" s="2" t="inlineStr">
        <is>
          <t>pend</t>
        </is>
      </c>
      <c r="M1878" s="2" t="n"/>
      <c r="N1878" s="2" t="n"/>
      <c r="O1878" s="3" t="inlineStr">
        <is>
          <t>https://vanillabonds.com/dossier-data/pdf/fastned/fastned-h1-2026-interim-report.pdf#page=44</t>
        </is>
      </c>
    </row>
    <row r="1879">
      <c r="A1879" s="2" t="inlineStr">
        <is>
          <t>F1878</t>
        </is>
      </c>
      <c r="B1879" s="2" t="inlineStr">
        <is>
          <t>debt</t>
        </is>
      </c>
      <c r="C1879" s="2" t="inlineStr">
        <is>
          <t>covenant</t>
        </is>
      </c>
      <c r="D1879" s="2" t="inlineStr">
        <is>
          <t>Financial covenant / restriction</t>
        </is>
      </c>
      <c r="E1879" s="2" t="n"/>
      <c r="F1879" s="2" t="n"/>
      <c r="G1879" s="2" t="n"/>
      <c r="H1879" s="3" t="inlineStr">
        <is>
          <t>Bank guarantee facility (EUR 20m): all financial covenants removed in H1 2026; uncommitted and unsecured.</t>
        </is>
      </c>
      <c r="I1879" s="2" t="inlineStr">
        <is>
          <t>S4</t>
        </is>
      </c>
      <c r="J1879" s="2" t="n">
        <v>48</v>
      </c>
      <c r="K1879" s="3" t="inlineStr">
        <is>
          <t>removing all financial covenants; the facility remains uncommitted and unsecured.</t>
        </is>
      </c>
      <c r="L1879" s="2" t="inlineStr">
        <is>
          <t>pend</t>
        </is>
      </c>
      <c r="M1879" s="2" t="n"/>
      <c r="N1879" s="2" t="n"/>
      <c r="O1879" s="3" t="inlineStr">
        <is>
          <t>https://vanillabonds.com/dossier-data/pdf/fastned/fastned-h1-2026-interim-report.pdf#page=48</t>
        </is>
      </c>
    </row>
    <row r="1880">
      <c r="A1880" s="2" t="inlineStr">
        <is>
          <t>F1879</t>
        </is>
      </c>
      <c r="B1880" s="2" t="inlineStr">
        <is>
          <t>risk</t>
        </is>
      </c>
      <c r="C1880" s="2" t="inlineStr">
        <is>
          <t>risk_fact</t>
        </is>
      </c>
      <c r="D1880" s="2" t="inlineStr">
        <is>
          <t>Risk fact</t>
        </is>
      </c>
      <c r="E1880" s="2" t="n"/>
      <c r="F1880" s="2" t="n"/>
      <c r="G1880" s="2" t="n"/>
      <c r="H1880" s="3" t="inlineStr">
        <is>
          <t>Operating cash flow H1 2026 includes EUR -6.3m timing of payments from the German highway authority and EUR -5.3m higher inventory from the delayed Q1 e-credit sale.</t>
        </is>
      </c>
      <c r="I1880" s="2" t="inlineStr">
        <is>
          <t>S4</t>
        </is>
      </c>
      <c r="J1880" s="2" t="n">
        <v>19</v>
      </c>
      <c r="K1880" s="3" t="inlineStr">
        <is>
          <t>This includes €-6.3 million related to the timing of payments due from the</t>
        </is>
      </c>
      <c r="L1880" s="2" t="inlineStr">
        <is>
          <t>pend</t>
        </is>
      </c>
      <c r="M1880" s="2" t="n"/>
      <c r="N1880" s="2" t="n"/>
      <c r="O1880" s="3" t="inlineStr">
        <is>
          <t>https://vanillabonds.com/dossier-data/pdf/fastned/fastned-h1-2026-interim-report.pdf#page=19</t>
        </is>
      </c>
    </row>
    <row r="1881">
      <c r="A1881" s="2" t="inlineStr">
        <is>
          <t>F1880</t>
        </is>
      </c>
      <c r="B1881" s="2" t="inlineStr">
        <is>
          <t>risk</t>
        </is>
      </c>
      <c r="C1881" s="2" t="inlineStr">
        <is>
          <t>risk_fact</t>
        </is>
      </c>
      <c r="D1881" s="2" t="inlineStr">
        <is>
          <t>Risk fact</t>
        </is>
      </c>
      <c r="E1881" s="2" t="n"/>
      <c r="F1881" s="2" t="n"/>
      <c r="G1881" s="2" t="n"/>
      <c r="H1881" s="3" t="inlineStr">
        <is>
          <t>Management reports no material change to the risk profile presented in the 2025 Annual Report (pages 74-84).</t>
        </is>
      </c>
      <c r="I1881" s="2" t="inlineStr">
        <is>
          <t>S4</t>
        </is>
      </c>
      <c r="J1881" s="2" t="n">
        <v>23</v>
      </c>
      <c r="K1881" s="3" t="inlineStr">
        <is>
          <t>there are no material changes identified to the overall risk profile</t>
        </is>
      </c>
      <c r="L1881" s="2" t="inlineStr">
        <is>
          <t>pend</t>
        </is>
      </c>
      <c r="M1881" s="2" t="n"/>
      <c r="N1881" s="2" t="n"/>
      <c r="O1881" s="3" t="inlineStr">
        <is>
          <t>https://vanillabonds.com/dossier-data/pdf/fastned/fastned-h1-2026-interim-report.pdf#page=23</t>
        </is>
      </c>
    </row>
    <row r="1882">
      <c r="A1882" s="2" t="inlineStr">
        <is>
          <t>F1881</t>
        </is>
      </c>
      <c r="B1882" s="2" t="inlineStr">
        <is>
          <t>risk</t>
        </is>
      </c>
      <c r="C1882" s="2" t="inlineStr">
        <is>
          <t>risk_fact</t>
        </is>
      </c>
      <c r="D1882" s="2" t="inlineStr">
        <is>
          <t>Risk fact</t>
        </is>
      </c>
      <c r="E1882" s="2" t="n"/>
      <c r="F1882" s="2" t="n"/>
      <c r="G1882" s="2" t="n"/>
      <c r="H1882" s="3" t="inlineStr">
        <is>
          <t>Area of attention: dependence on key material suppliers and third parties; geopolitical developments and critical-material availability named as supply-chain risks.</t>
        </is>
      </c>
      <c r="I1882" s="2" t="inlineStr">
        <is>
          <t>S4</t>
        </is>
      </c>
      <c r="J1882" s="2" t="n">
        <v>23</v>
      </c>
      <c r="K1882" s="3" t="inlineStr">
        <is>
          <t>Fastned remained dependent on key material suppliers and other third parties.</t>
        </is>
      </c>
      <c r="L1882" s="2" t="inlineStr">
        <is>
          <t>pend</t>
        </is>
      </c>
      <c r="M1882" s="2" t="n"/>
      <c r="N1882" s="2" t="n"/>
      <c r="O1882" s="3" t="inlineStr">
        <is>
          <t>https://vanillabonds.com/dossier-data/pdf/fastned/fastned-h1-2026-interim-report.pdf#page=23</t>
        </is>
      </c>
    </row>
    <row r="1883">
      <c r="A1883" s="2" t="inlineStr">
        <is>
          <t>F1882</t>
        </is>
      </c>
      <c r="B1883" s="2" t="inlineStr">
        <is>
          <t>risk</t>
        </is>
      </c>
      <c r="C1883" s="2" t="inlineStr">
        <is>
          <t>risk_fact</t>
        </is>
      </c>
      <c r="D1883" s="2" t="inlineStr">
        <is>
          <t>Risk fact</t>
        </is>
      </c>
      <c r="E1883" s="2" t="n"/>
      <c r="F1883" s="2" t="n"/>
      <c r="G1883" s="2" t="n"/>
      <c r="H1883" s="3" t="inlineStr">
        <is>
          <t>Area of attention: grid capacity constraints and permit delays affect timing of station development in an increasing number of markets; timing largely outside Fastned's control.</t>
        </is>
      </c>
      <c r="I1883" s="2" t="inlineStr">
        <is>
          <t>S4</t>
        </is>
      </c>
      <c r="J1883" s="2" t="n">
        <v>23</v>
      </c>
      <c r="K1883" s="3" t="inlineStr">
        <is>
          <t>Grid capacity constraints and delays in obtaining permits affected the timing of station development and activation.</t>
        </is>
      </c>
      <c r="L1883" s="2" t="inlineStr">
        <is>
          <t>pend</t>
        </is>
      </c>
      <c r="M1883" s="2" t="n"/>
      <c r="N1883" s="2" t="n"/>
      <c r="O1883" s="3" t="inlineStr">
        <is>
          <t>https://vanillabonds.com/dossier-data/pdf/fastned/fastned-h1-2026-interim-report.pdf#page=23</t>
        </is>
      </c>
    </row>
    <row r="1884">
      <c r="A1884" s="2" t="inlineStr">
        <is>
          <t>F1883</t>
        </is>
      </c>
      <c r="B1884" s="2" t="inlineStr">
        <is>
          <t>risk</t>
        </is>
      </c>
      <c r="C1884" s="2" t="inlineStr">
        <is>
          <t>risk_fact</t>
        </is>
      </c>
      <c r="D1884" s="2" t="inlineStr">
        <is>
          <t>Risk fact</t>
        </is>
      </c>
      <c r="E1884" s="2" t="n"/>
      <c r="F1884" s="2" t="n"/>
      <c r="G1884" s="2" t="n"/>
      <c r="H1884" s="3" t="inlineStr">
        <is>
          <t>Area of attention: external fraud (fraudulent charge-card use, invoice fraud), exposure expected to increase with new products.</t>
        </is>
      </c>
      <c r="I1884" s="2" t="inlineStr">
        <is>
          <t>S4</t>
        </is>
      </c>
      <c r="J1884" s="2" t="n">
        <v>23</v>
      </c>
      <c r="K1884" s="3" t="inlineStr">
        <is>
          <t>External fraud risks included fraudulent use of charge cards and invoice fraud.</t>
        </is>
      </c>
      <c r="L1884" s="2" t="inlineStr">
        <is>
          <t>pend</t>
        </is>
      </c>
      <c r="M1884" s="2" t="n"/>
      <c r="N1884" s="2" t="n"/>
      <c r="O1884" s="3" t="inlineStr">
        <is>
          <t>https://vanillabonds.com/dossier-data/pdf/fastned/fastned-h1-2026-interim-report.pdf#page=23</t>
        </is>
      </c>
    </row>
    <row r="1885">
      <c r="A1885" s="2" t="inlineStr">
        <is>
          <t>F1884</t>
        </is>
      </c>
      <c r="B1885" s="2" t="inlineStr">
        <is>
          <t>risk</t>
        </is>
      </c>
      <c r="C1885" s="2" t="inlineStr">
        <is>
          <t>risk_fact</t>
        </is>
      </c>
      <c r="D1885" s="2" t="inlineStr">
        <is>
          <t>Risk fact</t>
        </is>
      </c>
      <c r="E1885" s="2" t="n"/>
      <c r="F1885" s="2" t="n"/>
      <c r="G1885" s="2" t="n"/>
      <c r="H1885" s="3" t="inlineStr">
        <is>
          <t>Area of attention: health and safety in construction, maintenance and operation of stations.</t>
        </is>
      </c>
      <c r="I1885" s="2" t="inlineStr">
        <is>
          <t>S4</t>
        </is>
      </c>
      <c r="J1885" s="2" t="n">
        <v>23</v>
      </c>
      <c r="K1885" s="3" t="inlineStr">
        <is>
          <t>Health and safety remained a key priority in the construction, maintenance</t>
        </is>
      </c>
      <c r="L1885" s="2" t="inlineStr">
        <is>
          <t>pend</t>
        </is>
      </c>
      <c r="M1885" s="2" t="n"/>
      <c r="N1885" s="2" t="n"/>
      <c r="O1885" s="3" t="inlineStr">
        <is>
          <t>https://vanillabonds.com/dossier-data/pdf/fastned/fastned-h1-2026-interim-report.pdf#page=23</t>
        </is>
      </c>
    </row>
    <row r="1886">
      <c r="A1886" s="2" t="inlineStr">
        <is>
          <t>F1885</t>
        </is>
      </c>
      <c r="B1886" s="2" t="inlineStr">
        <is>
          <t>risk</t>
        </is>
      </c>
      <c r="C1886" s="2" t="inlineStr">
        <is>
          <t>risk_fact</t>
        </is>
      </c>
      <c r="D1886" s="2" t="inlineStr">
        <is>
          <t>Risk fact</t>
        </is>
      </c>
      <c r="E1886" s="2" t="n"/>
      <c r="F1886" s="2" t="n"/>
      <c r="G1886" s="2" t="n"/>
      <c r="H1886" s="3" t="inlineStr">
        <is>
          <t>Area of attention: scalable risk-management and internal-control framework; company plans to strengthen the framework after H1 2026 audits.</t>
        </is>
      </c>
      <c r="I1886" s="2" t="inlineStr">
        <is>
          <t>S4</t>
        </is>
      </c>
      <c r="J1886" s="2" t="n">
        <v>23</v>
      </c>
      <c r="K1886" s="3" t="inlineStr">
        <is>
          <t>Based on these insights, we plan to further strengthen our internal-control framework.</t>
        </is>
      </c>
      <c r="L1886" s="2" t="inlineStr">
        <is>
          <t>pend</t>
        </is>
      </c>
      <c r="M1886" s="2" t="n"/>
      <c r="N1886" s="2" t="n"/>
      <c r="O1886" s="3" t="inlineStr">
        <is>
          <t>https://vanillabonds.com/dossier-data/pdf/fastned/fastned-h1-2026-interim-report.pdf#page=23</t>
        </is>
      </c>
    </row>
    <row r="1887">
      <c r="A1887" s="2" t="inlineStr">
        <is>
          <t>F1886</t>
        </is>
      </c>
      <c r="B1887" s="2" t="inlineStr">
        <is>
          <t>risk</t>
        </is>
      </c>
      <c r="C1887" s="2" t="inlineStr">
        <is>
          <t>risk_fact</t>
        </is>
      </c>
      <c r="D1887" s="2" t="inlineStr">
        <is>
          <t>Risk fact</t>
        </is>
      </c>
      <c r="E1887" s="2" t="n"/>
      <c r="F1887" s="2" t="n"/>
      <c r="G1887" s="2" t="n"/>
      <c r="H1887" s="3" t="inlineStr">
        <is>
          <t>Current interest-bearing loans and borrowings EUR 16.0m at 30 June 2026 (31 Dec 2025: 12.4) against cash of 100.7; no amounts under the green facility repayable within twelve months.</t>
        </is>
      </c>
      <c r="I1887" s="2" t="inlineStr">
        <is>
          <t>S4</t>
        </is>
      </c>
      <c r="J1887" s="2" t="n">
        <v>27</v>
      </c>
      <c r="K1887" s="2" t="inlineStr">
        <is>
          <t>15,954 12,381</t>
        </is>
      </c>
      <c r="L1887" s="2" t="inlineStr">
        <is>
          <t>pend</t>
        </is>
      </c>
      <c r="M1887" s="2" t="n"/>
      <c r="N1887" s="2" t="n"/>
      <c r="O1887" s="3" t="inlineStr">
        <is>
          <t>https://vanillabonds.com/dossier-data/pdf/fastned/fastned-h1-2026-interim-report.pdf#page=27</t>
        </is>
      </c>
    </row>
    <row r="1888">
      <c r="A1888" s="2" t="inlineStr">
        <is>
          <t>F1887</t>
        </is>
      </c>
      <c r="B1888" s="2" t="inlineStr">
        <is>
          <t>risk</t>
        </is>
      </c>
      <c r="C1888" s="2" t="inlineStr">
        <is>
          <t>risk_fact</t>
        </is>
      </c>
      <c r="D1888" s="2" t="inlineStr">
        <is>
          <t>Risk fact</t>
        </is>
      </c>
      <c r="E1888" s="2" t="n"/>
      <c r="F1888" s="2" t="n"/>
      <c r="G1888" s="2" t="n"/>
      <c r="H1888" s="3" t="inlineStr">
        <is>
          <t>Fast Places Limited (51%) is not consolidated: shared power under the joint arrangement limits Fastned's ability to direct the relevant activities.</t>
        </is>
      </c>
      <c r="I1888" s="2" t="inlineStr">
        <is>
          <t>S4</t>
        </is>
      </c>
      <c r="J1888" s="2" t="n">
        <v>32</v>
      </c>
      <c r="K1888" s="3" t="inlineStr">
        <is>
          <t>Although the % equity stake of Fastned UK is more than 50%, Fast Places is not</t>
        </is>
      </c>
      <c r="L1888" s="2" t="inlineStr">
        <is>
          <t>pend</t>
        </is>
      </c>
      <c r="M1888" s="2" t="n"/>
      <c r="N1888" s="2" t="n"/>
      <c r="O1888" s="3" t="inlineStr">
        <is>
          <t>https://vanillabonds.com/dossier-data/pdf/fastned/fastned-h1-2026-interim-report.pdf#page=32</t>
        </is>
      </c>
    </row>
    <row r="1889">
      <c r="A1889" s="2" t="inlineStr">
        <is>
          <t>F1888</t>
        </is>
      </c>
      <c r="B1889" s="2" t="inlineStr">
        <is>
          <t>risk</t>
        </is>
      </c>
      <c r="C1889" s="2" t="inlineStr">
        <is>
          <t>risk_fact</t>
        </is>
      </c>
      <c r="D1889" s="2" t="inlineStr">
        <is>
          <t>Risk fact</t>
        </is>
      </c>
      <c r="E1889" s="2" t="n"/>
      <c r="F1889" s="2" t="n"/>
      <c r="G1889" s="2" t="n"/>
      <c r="H1889" s="3" t="inlineStr">
        <is>
          <t>Directors state the 12-18 month liquidity forecasts show 'adequate funds' and adopt the going concern basis; losses in early years funded by borrowings and certificate issues via FAST Foundation.</t>
        </is>
      </c>
      <c r="I1889" s="2" t="inlineStr">
        <is>
          <t>S4</t>
        </is>
      </c>
      <c r="J1889" s="2" t="n">
        <v>33</v>
      </c>
      <c r="K1889" s="3" t="inlineStr">
        <is>
          <t>the liquidity forecasts for the upcoming 12 - 18 months show adequate funds available for Fastned to continue as a going concern.</t>
        </is>
      </c>
      <c r="L1889" s="2" t="inlineStr">
        <is>
          <t>pend</t>
        </is>
      </c>
      <c r="M1889" s="2" t="n"/>
      <c r="N1889" s="2" t="n"/>
      <c r="O1889" s="3" t="inlineStr">
        <is>
          <t>https://vanillabonds.com/dossier-data/pdf/fastned/fastned-h1-2026-interim-report.pdf#page=33</t>
        </is>
      </c>
    </row>
    <row r="1890">
      <c r="A1890" s="2" t="inlineStr">
        <is>
          <t>F1889</t>
        </is>
      </c>
      <c r="B1890" s="2" t="inlineStr">
        <is>
          <t>risk</t>
        </is>
      </c>
      <c r="C1890" s="2" t="inlineStr">
        <is>
          <t>risk_fact</t>
        </is>
      </c>
      <c r="D1890" s="2" t="inlineStr">
        <is>
          <t>Risk fact</t>
        </is>
      </c>
      <c r="E1890" s="2" t="n"/>
      <c r="F1890" s="2" t="n"/>
      <c r="G1890" s="2" t="n"/>
      <c r="H1890" s="3" t="inlineStr">
        <is>
          <t>Company states it invests in new stations, chargers and grid connections only if financing for those investments is secured.</t>
        </is>
      </c>
      <c r="I1890" s="2" t="inlineStr">
        <is>
          <t>S4</t>
        </is>
      </c>
      <c r="J1890" s="2" t="n">
        <v>33</v>
      </c>
      <c r="K1890" s="3" t="inlineStr">
        <is>
          <t>Fastned invests in new stations, chargers and grid connections only if the Group has secured financing for such investments.</t>
        </is>
      </c>
      <c r="L1890" s="2" t="inlineStr">
        <is>
          <t>pend</t>
        </is>
      </c>
      <c r="M1890" s="2" t="n"/>
      <c r="N1890" s="2" t="n"/>
      <c r="O1890" s="3" t="inlineStr">
        <is>
          <t>https://vanillabonds.com/dossier-data/pdf/fastned/fastned-h1-2026-interim-report.pdf#page=33</t>
        </is>
      </c>
    </row>
    <row r="1891">
      <c r="A1891" s="2" t="inlineStr">
        <is>
          <t>F1890</t>
        </is>
      </c>
      <c r="B1891" s="2" t="inlineStr">
        <is>
          <t>risk</t>
        </is>
      </c>
      <c r="C1891" s="2" t="inlineStr">
        <is>
          <t>risk_fact</t>
        </is>
      </c>
      <c r="D1891" s="2" t="inlineStr">
        <is>
          <t>Risk fact</t>
        </is>
      </c>
      <c r="E1891" s="2" t="n"/>
      <c r="F1891" s="2" t="n"/>
      <c r="G1891" s="2" t="n"/>
      <c r="H1891" s="3" t="inlineStr">
        <is>
          <t>Approximately EUR 5m of Q1 2026 Dutch e-credit sales could not be recognised at 30 June 2026 because the national government registry was not operational.</t>
        </is>
      </c>
      <c r="I1891" s="2" t="inlineStr">
        <is>
          <t>S4</t>
        </is>
      </c>
      <c r="J1891" s="2" t="n">
        <v>35</v>
      </c>
      <c r="K1891" s="3" t="inlineStr">
        <is>
          <t>Legal title to these units transfers to the counterparty via a national government</t>
        </is>
      </c>
      <c r="L1891" s="2" t="inlineStr">
        <is>
          <t>pend</t>
        </is>
      </c>
      <c r="M1891" s="2" t="n"/>
      <c r="N1891" s="2" t="n"/>
      <c r="O1891" s="3" t="inlineStr">
        <is>
          <t>https://vanillabonds.com/dossier-data/pdf/fastned/fastned-h1-2026-interim-report.pdf#page=35</t>
        </is>
      </c>
    </row>
    <row r="1892">
      <c r="A1892" s="2" t="inlineStr">
        <is>
          <t>F1891</t>
        </is>
      </c>
      <c r="B1892" s="2" t="inlineStr">
        <is>
          <t>risk</t>
        </is>
      </c>
      <c r="C1892" s="2" t="inlineStr">
        <is>
          <t>risk_fact</t>
        </is>
      </c>
      <c r="D1892" s="2" t="inlineStr">
        <is>
          <t>Risk fact</t>
        </is>
      </c>
      <c r="E1892" s="2" t="n"/>
      <c r="F1892" s="2" t="n"/>
      <c r="G1892" s="2" t="n"/>
      <c r="H1892" s="3" t="inlineStr">
        <is>
          <t>Company states the EV charging market is not sufficiently developed for long-term margins per country to be known with certainty.</t>
        </is>
      </c>
      <c r="I1892" s="2" t="inlineStr">
        <is>
          <t>S4</t>
        </is>
      </c>
      <c r="J1892" s="2" t="n">
        <v>36</v>
      </c>
      <c r="K1892" s="3" t="inlineStr">
        <is>
          <t>The EV charging market is not sufficiently developed for long term margins in</t>
        </is>
      </c>
      <c r="L1892" s="2" t="inlineStr">
        <is>
          <t>pend</t>
        </is>
      </c>
      <c r="M1892" s="2" t="n"/>
      <c r="N1892" s="2" t="n"/>
      <c r="O1892" s="3" t="inlineStr">
        <is>
          <t>https://vanillabonds.com/dossier-data/pdf/fastned/fastned-h1-2026-interim-report.pdf#page=36</t>
        </is>
      </c>
    </row>
    <row r="1893">
      <c r="A1893" s="2" t="inlineStr">
        <is>
          <t>F1892</t>
        </is>
      </c>
      <c r="B1893" s="2" t="inlineStr">
        <is>
          <t>risk</t>
        </is>
      </c>
      <c r="C1893" s="2" t="inlineStr">
        <is>
          <t>risk_fact</t>
        </is>
      </c>
      <c r="D1893" s="2" t="inlineStr">
        <is>
          <t>Risk fact</t>
        </is>
      </c>
      <c r="E1893" s="2" t="n"/>
      <c r="F1893" s="2" t="n"/>
      <c r="G1893" s="2" t="n"/>
      <c r="H1893" s="3" t="inlineStr">
        <is>
          <t>Majority of cash held at one bank under Dutch Central Bank supervision with an A or equivalent long-term rating; no restricted cash.</t>
        </is>
      </c>
      <c r="I1893" s="2" t="inlineStr">
        <is>
          <t>S4</t>
        </is>
      </c>
      <c r="J1893" s="2" t="n">
        <v>46</v>
      </c>
      <c r="K1893" s="3" t="inlineStr">
        <is>
          <t>which is at one bank under supervision of the Dutch Central Bank with an A or</t>
        </is>
      </c>
      <c r="L1893" s="2" t="inlineStr">
        <is>
          <t>pend</t>
        </is>
      </c>
      <c r="M1893" s="2" t="n"/>
      <c r="N1893" s="2" t="n"/>
      <c r="O1893" s="3" t="inlineStr">
        <is>
          <t>https://vanillabonds.com/dossier-data/pdf/fastned/fastned-h1-2026-interim-report.pdf#page=46</t>
        </is>
      </c>
    </row>
    <row r="1894">
      <c r="A1894" s="2" t="inlineStr">
        <is>
          <t>F1893</t>
        </is>
      </c>
      <c r="B1894" s="2" t="inlineStr">
        <is>
          <t>management</t>
        </is>
      </c>
      <c r="C1894" s="2" t="inlineStr">
        <is>
          <t>mgmt_person</t>
        </is>
      </c>
      <c r="D1894" s="3" t="inlineStr">
        <is>
          <t>Executive: name, role, since, prior roles (register / report)</t>
        </is>
      </c>
      <c r="E1894" s="2" t="n"/>
      <c r="F1894" s="2" t="n"/>
      <c r="G1894" s="2" t="n"/>
      <c r="H1894" s="3" t="inlineStr">
        <is>
          <t>Victor van Dijk, VP Strategy, appointed March 2026.</t>
        </is>
      </c>
      <c r="I1894" s="2" t="inlineStr">
        <is>
          <t>S4</t>
        </is>
      </c>
      <c r="J1894" s="2" t="n">
        <v>2</v>
      </c>
      <c r="K1894" s="3" t="inlineStr">
        <is>
          <t>Fastned appoints Victor van Dijk as new VP Strategy</t>
        </is>
      </c>
      <c r="L1894" s="2" t="inlineStr">
        <is>
          <t>pend</t>
        </is>
      </c>
      <c r="M1894" s="2" t="n"/>
      <c r="N1894" s="2" t="n"/>
      <c r="O1894" s="3" t="inlineStr">
        <is>
          <t>https://vanillabonds.com/dossier-data/pdf/fastned/fastned-h1-2026-interim-report.pdf#page=2</t>
        </is>
      </c>
    </row>
    <row r="1895">
      <c r="A1895" s="2" t="inlineStr">
        <is>
          <t>F1894</t>
        </is>
      </c>
      <c r="B1895" s="2" t="inlineStr">
        <is>
          <t>management</t>
        </is>
      </c>
      <c r="C1895" s="2" t="inlineStr">
        <is>
          <t>mgmt_person</t>
        </is>
      </c>
      <c r="D1895" s="3" t="inlineStr">
        <is>
          <t>Executive: name, role, since, prior roles (register / report)</t>
        </is>
      </c>
      <c r="E1895" s="2" t="n"/>
      <c r="F1895" s="2" t="n"/>
      <c r="G1895" s="2" t="n"/>
      <c r="H1895" s="3" t="inlineStr">
        <is>
          <t>Michiel Langezaal, Co-founder and CEO, Management Board; President of ChargeUp Europe.</t>
        </is>
      </c>
      <c r="I1895" s="2" t="inlineStr">
        <is>
          <t>S4</t>
        </is>
      </c>
      <c r="J1895" s="2" t="n">
        <v>5</v>
      </c>
      <c r="K1895" s="2" t="inlineStr">
        <is>
          <t>Michiel Langezaal, Co-founder and CEO</t>
        </is>
      </c>
      <c r="L1895" s="2" t="inlineStr">
        <is>
          <t>pend</t>
        </is>
      </c>
      <c r="M1895" s="2" t="n"/>
      <c r="N1895" s="2" t="n"/>
      <c r="O1895" s="3" t="inlineStr">
        <is>
          <t>https://vanillabonds.com/dossier-data/pdf/fastned/fastned-h1-2026-interim-report.pdf#page=5</t>
        </is>
      </c>
    </row>
    <row r="1896">
      <c r="A1896" s="2" t="inlineStr">
        <is>
          <t>F1895</t>
        </is>
      </c>
      <c r="B1896" s="2" t="inlineStr">
        <is>
          <t>management</t>
        </is>
      </c>
      <c r="C1896" s="2" t="inlineStr">
        <is>
          <t>mgmt_person</t>
        </is>
      </c>
      <c r="D1896" s="3" t="inlineStr">
        <is>
          <t>Executive: name, role, since, prior roles (register / report)</t>
        </is>
      </c>
      <c r="E1896" s="2" t="n"/>
      <c r="F1896" s="2" t="n"/>
      <c r="G1896" s="2" t="n"/>
      <c r="H1896" s="3" t="inlineStr">
        <is>
          <t>Francoise Poggi, Chief Operating Officer, Management Board.</t>
        </is>
      </c>
      <c r="I1896" s="2" t="inlineStr">
        <is>
          <t>S4</t>
        </is>
      </c>
      <c r="J1896" s="2" t="n">
        <v>9</v>
      </c>
      <c r="K1896" s="2" t="inlineStr">
        <is>
          <t>Françoise Poggi, Chief Operating Officer</t>
        </is>
      </c>
      <c r="L1896" s="2" t="inlineStr">
        <is>
          <t>pend</t>
        </is>
      </c>
      <c r="M1896" s="2" t="n"/>
      <c r="N1896" s="2" t="n"/>
      <c r="O1896" s="3" t="inlineStr">
        <is>
          <t>https://vanillabonds.com/dossier-data/pdf/fastned/fastned-h1-2026-interim-report.pdf#page=9</t>
        </is>
      </c>
    </row>
    <row r="1897">
      <c r="A1897" s="2" t="inlineStr">
        <is>
          <t>F1896</t>
        </is>
      </c>
      <c r="B1897" s="2" t="inlineStr">
        <is>
          <t>management</t>
        </is>
      </c>
      <c r="C1897" s="2" t="inlineStr">
        <is>
          <t>mgmt_person</t>
        </is>
      </c>
      <c r="D1897" s="3" t="inlineStr">
        <is>
          <t>Executive: name, role, since, prior roles (register / report)</t>
        </is>
      </c>
      <c r="E1897" s="2" t="n"/>
      <c r="F1897" s="2" t="n"/>
      <c r="G1897" s="2" t="n"/>
      <c r="H1897" s="3" t="inlineStr">
        <is>
          <t>Remco Samuels, CFO a.i. since March 2026 (not a Management Board signatory of the interim statements).</t>
        </is>
      </c>
      <c r="I1897" s="2" t="inlineStr">
        <is>
          <t>S4</t>
        </is>
      </c>
      <c r="J1897" s="2" t="n">
        <v>11</v>
      </c>
      <c r="K1897" s="2" t="inlineStr">
        <is>
          <t>Remco Samuels, CFO a.i.</t>
        </is>
      </c>
      <c r="L1897" s="2" t="inlineStr">
        <is>
          <t>pend</t>
        </is>
      </c>
      <c r="M1897" s="2" t="n"/>
      <c r="N1897" s="2" t="n"/>
      <c r="O1897" s="3" t="inlineStr">
        <is>
          <t>https://vanillabonds.com/dossier-data/pdf/fastned/fastned-h1-2026-interim-report.pdf#page=11</t>
        </is>
      </c>
    </row>
    <row r="1898">
      <c r="A1898" s="2" t="inlineStr">
        <is>
          <t>F1897</t>
        </is>
      </c>
      <c r="B1898" s="2" t="inlineStr">
        <is>
          <t>management</t>
        </is>
      </c>
      <c r="C1898" s="2" t="inlineStr">
        <is>
          <t>mgmt_person</t>
        </is>
      </c>
      <c r="D1898" s="3" t="inlineStr">
        <is>
          <t>Executive: name, role, since, prior roles (register / report)</t>
        </is>
      </c>
      <c r="E1898" s="2" t="n"/>
      <c r="F1898" s="2" t="n"/>
      <c r="G1898" s="2" t="n"/>
      <c r="H1898" s="3" t="inlineStr">
        <is>
          <t>Patricia Allam, Head of Funding and Investor Relations.</t>
        </is>
      </c>
      <c r="I1898" s="2" t="inlineStr">
        <is>
          <t>S4</t>
        </is>
      </c>
      <c r="J1898" s="2" t="n">
        <v>13</v>
      </c>
      <c r="K1898" s="3" t="inlineStr">
        <is>
          <t>Patricia Allam, Head of Funding and Investor Relations</t>
        </is>
      </c>
      <c r="L1898" s="2" t="inlineStr">
        <is>
          <t>pend</t>
        </is>
      </c>
      <c r="M1898" s="2" t="n"/>
      <c r="N1898" s="2" t="n"/>
      <c r="O1898" s="3" t="inlineStr">
        <is>
          <t>https://vanillabonds.com/dossier-data/pdf/fastned/fastned-h1-2026-interim-report.pdf#page=13</t>
        </is>
      </c>
    </row>
    <row r="1899">
      <c r="A1899" s="2" t="inlineStr">
        <is>
          <t>F1898</t>
        </is>
      </c>
      <c r="B1899" s="2" t="inlineStr">
        <is>
          <t>management</t>
        </is>
      </c>
      <c r="C1899" s="2" t="inlineStr">
        <is>
          <t>succession</t>
        </is>
      </c>
      <c r="D1899" s="3" t="inlineStr">
        <is>
          <t>Succession: plan, last change of CEO / CFO, who decides</t>
        </is>
      </c>
      <c r="E1899" s="2" t="n"/>
      <c r="F1899" s="2" t="n"/>
      <c r="G1899" s="2" t="n"/>
      <c r="H1899" s="3" t="inlineStr">
        <is>
          <t>CFO role held ad interim (Remco Samuels, CFO a.i.) since March 2026; interim statements signed by CEO and COO only.</t>
        </is>
      </c>
      <c r="I1899" s="2" t="inlineStr">
        <is>
          <t>S4</t>
        </is>
      </c>
      <c r="J1899" s="2" t="n">
        <v>50</v>
      </c>
      <c r="K1899" s="2" t="inlineStr">
        <is>
          <t>Amsterdam, 06 August 2026</t>
        </is>
      </c>
      <c r="L1899" s="2" t="inlineStr">
        <is>
          <t>pend</t>
        </is>
      </c>
      <c r="M1899" s="2" t="n"/>
      <c r="N1899" s="2" t="n"/>
      <c r="O1899" s="3" t="inlineStr">
        <is>
          <t>https://vanillabonds.com/dossier-data/pdf/fastned/fastned-h1-2026-interim-report.pdf#page=50</t>
        </is>
      </c>
    </row>
    <row r="1900">
      <c r="A1900" s="2" t="inlineStr">
        <is>
          <t>F1899</t>
        </is>
      </c>
      <c r="B1900" s="2" t="inlineStr">
        <is>
          <t>management</t>
        </is>
      </c>
      <c r="C1900" s="2" t="inlineStr">
        <is>
          <t>governance</t>
        </is>
      </c>
      <c r="D1900" s="3" t="inlineStr">
        <is>
          <t>Board, independent members, group structure, related-party flows, dividends</t>
        </is>
      </c>
      <c r="E1900" s="2" t="n"/>
      <c r="F1900" s="2" t="n"/>
      <c r="G1900" s="2" t="n"/>
      <c r="H1900" s="3" t="inlineStr">
        <is>
          <t>Key management personnel comprise the Management Board, the FAST Board and the Supervisory Board (IAS 24).</t>
        </is>
      </c>
      <c r="I1900" s="2" t="inlineStr">
        <is>
          <t>S4</t>
        </is>
      </c>
      <c r="J1900" s="2" t="n">
        <v>23</v>
      </c>
      <c r="K1900" s="3" t="inlineStr">
        <is>
          <t>the Management Board, FAST Board and the Supervisory Board to be key management personnel</t>
        </is>
      </c>
      <c r="L1900" s="2" t="inlineStr">
        <is>
          <t>pend</t>
        </is>
      </c>
      <c r="M1900" s="2" t="n"/>
      <c r="N1900" s="2" t="n"/>
      <c r="O1900" s="3" t="inlineStr">
        <is>
          <t>https://vanillabonds.com/dossier-data/pdf/fastned/fastned-h1-2026-interim-report.pdf#page=23</t>
        </is>
      </c>
    </row>
    <row r="1901">
      <c r="A1901" s="2" t="inlineStr">
        <is>
          <t>F1900</t>
        </is>
      </c>
      <c r="B1901" s="2" t="inlineStr">
        <is>
          <t>management</t>
        </is>
      </c>
      <c r="C1901" s="2" t="inlineStr">
        <is>
          <t>governance</t>
        </is>
      </c>
      <c r="D1901" s="3" t="inlineStr">
        <is>
          <t>Board, independent members, group structure, related-party flows, dividends</t>
        </is>
      </c>
      <c r="E1901" s="2" t="n"/>
      <c r="F1901" s="2" t="n"/>
      <c r="G1901" s="2" t="n"/>
      <c r="H1901" s="3" t="inlineStr">
        <is>
          <t>No dividend; retained earnings EUR -172.5m at 30 June 2026; share premium 251.6; equity issued in H1 2026 EUR 1.2m net via option exercises.</t>
        </is>
      </c>
      <c r="I1901" s="2" t="inlineStr">
        <is>
          <t>S4</t>
        </is>
      </c>
      <c r="J1901" s="2" t="n">
        <v>27</v>
      </c>
      <c r="K1901" s="2" t="inlineStr">
        <is>
          <t>(172,536) (159,927)</t>
        </is>
      </c>
      <c r="L1901" s="2" t="inlineStr">
        <is>
          <t>pend</t>
        </is>
      </c>
      <c r="M1901" s="2" t="n"/>
      <c r="N1901" s="2" t="n"/>
      <c r="O1901" s="3" t="inlineStr">
        <is>
          <t>https://vanillabonds.com/dossier-data/pdf/fastned/fastned-h1-2026-interim-report.pdf#page=27</t>
        </is>
      </c>
    </row>
    <row r="1902">
      <c r="A1902" s="2" t="inlineStr">
        <is>
          <t>F1901</t>
        </is>
      </c>
      <c r="B1902" s="2" t="inlineStr">
        <is>
          <t>management</t>
        </is>
      </c>
      <c r="C1902" s="2" t="inlineStr">
        <is>
          <t>governance</t>
        </is>
      </c>
      <c r="D1902" s="3" t="inlineStr">
        <is>
          <t>Board, independent members, group structure, related-party flows, dividends</t>
        </is>
      </c>
      <c r="E1902" s="2" t="n"/>
      <c r="F1902" s="2" t="n"/>
      <c r="G1902" s="2" t="n"/>
      <c r="H1902" s="3" t="inlineStr">
        <is>
          <t>Chief operating decision-maker is the CEO, CFO and COO; six geographic operating segments.</t>
        </is>
      </c>
      <c r="I1902" s="2" t="inlineStr">
        <is>
          <t>S4</t>
        </is>
      </c>
      <c r="J1902" s="2" t="n">
        <v>36</v>
      </c>
      <c r="K1902" s="3" t="inlineStr">
        <is>
          <t>has been identified as the Company’s CEO, CFO and COO.</t>
        </is>
      </c>
      <c r="L1902" s="2" t="inlineStr">
        <is>
          <t>pend</t>
        </is>
      </c>
      <c r="M1902" s="2" t="n"/>
      <c r="N1902" s="2" t="n"/>
      <c r="O1902" s="3" t="inlineStr">
        <is>
          <t>https://vanillabonds.com/dossier-data/pdf/fastned/fastned-h1-2026-interim-report.pdf#page=36</t>
        </is>
      </c>
    </row>
    <row r="1903">
      <c r="A1903" s="2" t="inlineStr">
        <is>
          <t>F1902</t>
        </is>
      </c>
      <c r="B1903" s="2" t="inlineStr">
        <is>
          <t>management</t>
        </is>
      </c>
      <c r="C1903" s="2" t="inlineStr">
        <is>
          <t>governance</t>
        </is>
      </c>
      <c r="D1903" s="3" t="inlineStr">
        <is>
          <t>Board, independent members, group structure, related-party flows, dividends</t>
        </is>
      </c>
      <c r="E1903" s="2" t="n"/>
      <c r="F1903" s="2" t="n"/>
      <c r="G1903" s="2" t="n"/>
      <c r="H1903" s="3" t="inlineStr">
        <is>
          <t>Management decided in H1 2026 not to retrospectively adjust the exercise price of outstanding employee options after the 2025 plan amendment.</t>
        </is>
      </c>
      <c r="I1903" s="2" t="inlineStr">
        <is>
          <t>S4</t>
        </is>
      </c>
      <c r="J1903" s="2" t="n">
        <v>39</v>
      </c>
      <c r="K1903" s="3" t="inlineStr">
        <is>
          <t>decided not to retrospectively adjust the exercise price for</t>
        </is>
      </c>
      <c r="L1903" s="2" t="inlineStr">
        <is>
          <t>pend</t>
        </is>
      </c>
      <c r="M1903" s="2" t="n"/>
      <c r="N1903" s="2" t="n"/>
      <c r="O1903" s="3" t="inlineStr">
        <is>
          <t>https://vanillabonds.com/dossier-data/pdf/fastned/fastned-h1-2026-interim-report.pdf#page=39</t>
        </is>
      </c>
    </row>
    <row r="1904">
      <c r="A1904" s="2" t="inlineStr">
        <is>
          <t>F1903</t>
        </is>
      </c>
      <c r="B1904" s="2" t="inlineStr">
        <is>
          <t>management</t>
        </is>
      </c>
      <c r="C1904" s="2" t="inlineStr">
        <is>
          <t>governance</t>
        </is>
      </c>
      <c r="D1904" s="3" t="inlineStr">
        <is>
          <t>Board, independent members, group structure, related-party flows, dividends</t>
        </is>
      </c>
      <c r="E1904" s="2" t="n"/>
      <c r="F1904" s="2" t="n"/>
      <c r="G1904" s="2" t="n"/>
      <c r="H1904" s="3" t="inlineStr">
        <is>
          <t>Certificates of shares issued via FAST Foundation (Fastned Administratie Stichting); 200,804 DRs held by Fastned B.V. for the employee option scheme.</t>
        </is>
      </c>
      <c r="I1904" s="2" t="inlineStr">
        <is>
          <t>S4</t>
        </is>
      </c>
      <c r="J1904" s="2" t="n">
        <v>46</v>
      </c>
      <c r="K1904" s="3" t="inlineStr">
        <is>
          <t>As at 30 June 2026 200,804 such DRs were held by Fastned B.V.</t>
        </is>
      </c>
      <c r="L1904" s="2" t="inlineStr">
        <is>
          <t>pend</t>
        </is>
      </c>
      <c r="M1904" s="2" t="n"/>
      <c r="N1904" s="2" t="n"/>
      <c r="O1904" s="3" t="inlineStr">
        <is>
          <t>https://vanillabonds.com/dossier-data/pdf/fastned/fastned-h1-2026-interim-report.pdf#page=46</t>
        </is>
      </c>
    </row>
    <row r="1905">
      <c r="A1905" s="2" t="inlineStr">
        <is>
          <t>F1904</t>
        </is>
      </c>
      <c r="B1905" s="2" t="inlineStr">
        <is>
          <t>management</t>
        </is>
      </c>
      <c r="C1905" s="2" t="inlineStr">
        <is>
          <t>governance</t>
        </is>
      </c>
      <c r="D1905" s="3" t="inlineStr">
        <is>
          <t>Board, independent members, group structure, related-party flows, dividends</t>
        </is>
      </c>
      <c r="E1905" s="2" t="n"/>
      <c r="F1905" s="2" t="n"/>
      <c r="G1905" s="2" t="n"/>
      <c r="H1905" s="3" t="inlineStr">
        <is>
          <t>No significant changes in related-party transactions since the 2025 annual accounts; Board members with an interest abstain from discussion and vote.</t>
        </is>
      </c>
      <c r="I1905" s="2" t="inlineStr">
        <is>
          <t>S4</t>
        </is>
      </c>
      <c r="J1905" s="2" t="n">
        <v>48</v>
      </c>
      <c r="K1905" s="3" t="inlineStr">
        <is>
          <t>there have been no significant changes in the nature and extent of related party transactions</t>
        </is>
      </c>
      <c r="L1905" s="2" t="inlineStr">
        <is>
          <t>pend</t>
        </is>
      </c>
      <c r="M1905" s="2" t="n"/>
      <c r="N1905" s="2" t="n"/>
      <c r="O1905" s="3" t="inlineStr">
        <is>
          <t>https://vanillabonds.com/dossier-data/pdf/fastned/fastned-h1-2026-interim-report.pdf#page=48</t>
        </is>
      </c>
    </row>
    <row r="1906">
      <c r="A1906" s="2" t="inlineStr">
        <is>
          <t>F1905</t>
        </is>
      </c>
      <c r="B1906" s="2" t="inlineStr">
        <is>
          <t>management</t>
        </is>
      </c>
      <c r="C1906" s="2" t="inlineStr">
        <is>
          <t>reporting_practice</t>
        </is>
      </c>
      <c r="D1906" s="3" t="inlineStr">
        <is>
          <t>Monitoring: KPI reporting, frequency, budget process, controlling</t>
        </is>
      </c>
      <c r="E1906" s="2" t="n"/>
      <c r="F1906" s="2" t="n"/>
      <c r="G1906" s="2" t="n"/>
      <c r="H1906" s="3" t="inlineStr">
        <is>
          <t>Risks and mitigations reviewed regularly; audits in H1 2026 gave insight into internal-control effectiveness.</t>
        </is>
      </c>
      <c r="I1906" s="2" t="inlineStr">
        <is>
          <t>S4</t>
        </is>
      </c>
      <c r="J1906" s="2" t="n">
        <v>23</v>
      </c>
      <c r="K1906" s="3" t="inlineStr">
        <is>
          <t>Audits performed during the first half of 2026 provided further insight into the effectiveness of our internal controls.</t>
        </is>
      </c>
      <c r="L1906" s="2" t="inlineStr">
        <is>
          <t>pend</t>
        </is>
      </c>
      <c r="M1906" s="2" t="n"/>
      <c r="N1906" s="2" t="n"/>
      <c r="O1906" s="3" t="inlineStr">
        <is>
          <t>https://vanillabonds.com/dossier-data/pdf/fastned/fastned-h1-2026-interim-report.pdf#page=23</t>
        </is>
      </c>
    </row>
    <row r="1907">
      <c r="A1907" s="2" t="inlineStr">
        <is>
          <t>F1906</t>
        </is>
      </c>
      <c r="B1907" s="2" t="inlineStr">
        <is>
          <t>management</t>
        </is>
      </c>
      <c r="C1907" s="2" t="inlineStr">
        <is>
          <t>reporting_practice</t>
        </is>
      </c>
      <c r="D1907" s="3" t="inlineStr">
        <is>
          <t>Monitoring: KPI reporting, frequency, budget process, controlling</t>
        </is>
      </c>
      <c r="E1907" s="2" t="n"/>
      <c r="F1907" s="2" t="n"/>
      <c r="G1907" s="2" t="n"/>
      <c r="H1907" s="3" t="inlineStr">
        <is>
          <t>Management monitors cash and liquidity forecasts continuously against a minimum desired cash level; forecast built from current cash, revenue projections and a detailed capex and opex budget.</t>
        </is>
      </c>
      <c r="I1907" s="2" t="inlineStr">
        <is>
          <t>S4</t>
        </is>
      </c>
      <c r="J1907" s="2" t="n">
        <v>33</v>
      </c>
      <c r="K1907" s="3" t="inlineStr">
        <is>
          <t>Management monitors cash and liquidity forecasts on a continuous basis,</t>
        </is>
      </c>
      <c r="L1907" s="2" t="inlineStr">
        <is>
          <t>pend</t>
        </is>
      </c>
      <c r="M1907" s="2" t="n"/>
      <c r="N1907" s="2" t="n"/>
      <c r="O1907" s="3" t="inlineStr">
        <is>
          <t>https://vanillabonds.com/dossier-data/pdf/fastned/fastned-h1-2026-interim-report.pdf#page=33</t>
        </is>
      </c>
    </row>
    <row r="1908">
      <c r="A1908" s="2" t="inlineStr">
        <is>
          <t>F1907</t>
        </is>
      </c>
      <c r="B1908" s="2" t="inlineStr">
        <is>
          <t>management</t>
        </is>
      </c>
      <c r="C1908" s="2" t="inlineStr">
        <is>
          <t>reporting_practice</t>
        </is>
      </c>
      <c r="D1908" s="3" t="inlineStr">
        <is>
          <t>Monitoring: KPI reporting, frequency, budget process, controlling</t>
        </is>
      </c>
      <c r="E1908" s="2" t="n"/>
      <c r="F1908" s="2" t="n"/>
      <c r="G1908" s="2" t="n"/>
      <c r="H1908" s="3" t="inlineStr">
        <is>
          <t>Revenue projections driven by analyst BEV forecasts and what management calls 'conservative' projections of market penetration and kWh sold per customer; downside scenarios updated regularly.</t>
        </is>
      </c>
      <c r="I1908" s="2" t="inlineStr">
        <is>
          <t>S4</t>
        </is>
      </c>
      <c r="J1908" s="2" t="n">
        <v>33</v>
      </c>
      <c r="K1908" s="3" t="inlineStr">
        <is>
          <t>driven by the projected numbers of BEVs on the road based on analyst forecasts</t>
        </is>
      </c>
      <c r="L1908" s="2" t="inlineStr">
        <is>
          <t>pend</t>
        </is>
      </c>
      <c r="M1908" s="2" t="n"/>
      <c r="N1908" s="2" t="n"/>
      <c r="O1908" s="3" t="inlineStr">
        <is>
          <t>https://vanillabonds.com/dossier-data/pdf/fastned/fastned-h1-2026-interim-report.pdf#page=33</t>
        </is>
      </c>
    </row>
    <row r="1909">
      <c r="A1909" s="2" t="inlineStr">
        <is>
          <t>F1908</t>
        </is>
      </c>
      <c r="B1909" s="2" t="inlineStr">
        <is>
          <t>management</t>
        </is>
      </c>
      <c r="C1909" s="2" t="inlineStr">
        <is>
          <t>reporting_practice</t>
        </is>
      </c>
      <c r="D1909" s="3" t="inlineStr">
        <is>
          <t>Monitoring: KPI reporting, frequency, budget process, controlling</t>
        </is>
      </c>
      <c r="E1909" s="2" t="n"/>
      <c r="F1909" s="2" t="n"/>
      <c r="G1909" s="2" t="n"/>
      <c r="H1909" s="3" t="inlineStr">
        <is>
          <t>CODM monitors segments on EBITDA; non-IFRS measures (Operational EBITDA etc.) used by management and not audited or reviewed.</t>
        </is>
      </c>
      <c r="I1909" s="2" t="inlineStr">
        <is>
          <t>S4</t>
        </is>
      </c>
      <c r="J1909" s="2" t="n">
        <v>37</v>
      </c>
      <c r="K1909" s="3" t="inlineStr">
        <is>
          <t>The CODM of Fastned primarily uses EBITDA as an alternative performance</t>
        </is>
      </c>
      <c r="L1909" s="2" t="inlineStr">
        <is>
          <t>pend</t>
        </is>
      </c>
      <c r="M1909" s="2" t="n"/>
      <c r="N1909" s="2" t="n"/>
      <c r="O1909" s="3" t="inlineStr">
        <is>
          <t>https://vanillabonds.com/dossier-data/pdf/fastned/fastned-h1-2026-interim-report.pdf#page=37</t>
        </is>
      </c>
    </row>
    <row r="1910">
      <c r="A1910" s="2" t="inlineStr">
        <is>
          <t>F1909</t>
        </is>
      </c>
      <c r="B1910" s="2" t="inlineStr">
        <is>
          <t>market</t>
        </is>
      </c>
      <c r="C1910" s="2" t="inlineStr">
        <is>
          <t>market_fact</t>
        </is>
      </c>
      <c r="D1910" s="3" t="inlineStr">
        <is>
          <t>Market: size, growth, share, competitor capacity, regulation (source named)</t>
        </is>
      </c>
      <c r="E1910" s="2" t="n"/>
      <c r="F1910" s="2" t="n"/>
      <c r="G1910" s="2" t="n"/>
      <c r="H1910" s="3" t="inlineStr">
        <is>
          <t>company statement: long grid-connection timelines, scarce grid capacity and unpredictable permitting and tender processes slow charging rollout in Europe.</t>
        </is>
      </c>
      <c r="I1910" s="2" t="inlineStr">
        <is>
          <t>S4</t>
        </is>
      </c>
      <c r="J1910" s="2" t="n">
        <v>9</v>
      </c>
      <c r="K1910" s="3" t="inlineStr">
        <is>
          <t>Long connection timelines and scarce grid capacity continue to</t>
        </is>
      </c>
      <c r="L1910" s="2" t="inlineStr">
        <is>
          <t>pend</t>
        </is>
      </c>
      <c r="M1910" s="2" t="n"/>
      <c r="N1910" s="2" t="n"/>
      <c r="O1910" s="3" t="inlineStr">
        <is>
          <t>https://vanillabonds.com/dossier-data/pdf/fastned/fastned-h1-2026-interim-report.pdf#page=9</t>
        </is>
      </c>
    </row>
    <row r="1911">
      <c r="A1911" s="2" t="inlineStr">
        <is>
          <t>F1910</t>
        </is>
      </c>
      <c r="B1911" s="2" t="inlineStr">
        <is>
          <t>market</t>
        </is>
      </c>
      <c r="C1911" s="2" t="inlineStr">
        <is>
          <t>market_fact</t>
        </is>
      </c>
      <c r="D1911" s="3" t="inlineStr">
        <is>
          <t>Market: size, growth, share, competitor capacity, regulation (source named)</t>
        </is>
      </c>
      <c r="E1911" s="2" t="n"/>
      <c r="F1911" s="2" t="n"/>
      <c r="G1911" s="2" t="n"/>
      <c r="H1911" s="3" t="inlineStr">
        <is>
          <t>cites ACEA H1 2026 registrations: European new car market +5.7% in H1 2026; BEVs 20.7% of new EU car registrations (H1 2025: 15.6%).</t>
        </is>
      </c>
      <c r="I1911" s="2" t="inlineStr">
        <is>
          <t>S4</t>
        </is>
      </c>
      <c r="J1911" s="2" t="n">
        <v>15</v>
      </c>
      <c r="K1911" s="3" t="inlineStr">
        <is>
          <t>Battery-electric vehicles accounted for 20.7% of new EU car</t>
        </is>
      </c>
      <c r="L1911" s="2" t="inlineStr">
        <is>
          <t>pend</t>
        </is>
      </c>
      <c r="M1911" s="2" t="n"/>
      <c r="N1911" s="2" t="n"/>
      <c r="O1911" s="3" t="inlineStr">
        <is>
          <t>https://vanillabonds.com/dossier-data/pdf/fastned/fastned-h1-2026-interim-report.pdf#page=15</t>
        </is>
      </c>
    </row>
    <row r="1912">
      <c r="A1912" s="2" t="inlineStr">
        <is>
          <t>F1911</t>
        </is>
      </c>
      <c r="B1912" s="2" t="inlineStr">
        <is>
          <t>market</t>
        </is>
      </c>
      <c r="C1912" s="2" t="inlineStr">
        <is>
          <t>market_fact</t>
        </is>
      </c>
      <c r="D1912" s="3" t="inlineStr">
        <is>
          <t>Market: size, growth, share, competitor capacity, regulation (source named)</t>
        </is>
      </c>
      <c r="E1912" s="2" t="n"/>
      <c r="F1912" s="2" t="n"/>
      <c r="G1912" s="2" t="n"/>
      <c r="H1912" s="3" t="inlineStr">
        <is>
          <t>cites ACEA H1 2026: combined petrol and diesel share of new registrations 29.9% (H1 2025: 37.8%).</t>
        </is>
      </c>
      <c r="I1912" s="2" t="inlineStr">
        <is>
          <t>S4</t>
        </is>
      </c>
      <c r="J1912" s="2" t="n">
        <v>15</v>
      </c>
      <c r="K1912" s="3" t="inlineStr">
        <is>
          <t>fell to 29.9%, compared with 37.8% in H1 2025.</t>
        </is>
      </c>
      <c r="L1912" s="2" t="inlineStr">
        <is>
          <t>pend</t>
        </is>
      </c>
      <c r="M1912" s="2" t="n"/>
      <c r="N1912" s="2" t="n"/>
      <c r="O1912" s="3" t="inlineStr">
        <is>
          <t>https://vanillabonds.com/dossier-data/pdf/fastned/fastned-h1-2026-interim-report.pdf#page=15</t>
        </is>
      </c>
    </row>
    <row r="1913">
      <c r="A1913" s="2" t="inlineStr">
        <is>
          <t>F1912</t>
        </is>
      </c>
      <c r="B1913" s="2" t="inlineStr">
        <is>
          <t>market</t>
        </is>
      </c>
      <c r="C1913" s="2" t="inlineStr">
        <is>
          <t>market_fact</t>
        </is>
      </c>
      <c r="D1913" s="3" t="inlineStr">
        <is>
          <t>Market: size, growth, share, competitor capacity, regulation (source named)</t>
        </is>
      </c>
      <c r="E1913" s="2" t="n"/>
      <c r="F1913" s="2" t="n"/>
      <c r="G1913" s="2" t="n"/>
      <c r="H1913" s="3" t="inlineStr">
        <is>
          <t>cites ACEA H1 2026: BEV registrations grew 62.9% in France, 48.0% in Germany and 41.2% in Denmark; over 1.2 million new BEVs in the EU (+40%).</t>
        </is>
      </c>
      <c r="I1913" s="2" t="inlineStr">
        <is>
          <t>S4</t>
        </is>
      </c>
      <c r="J1913" s="2" t="n">
        <v>15</v>
      </c>
      <c r="K1913" s="2" t="inlineStr">
        <is>
          <t>France recorded a 62.9%</t>
        </is>
      </c>
      <c r="L1913" s="2" t="inlineStr">
        <is>
          <t>pend</t>
        </is>
      </c>
      <c r="M1913" s="2" t="n"/>
      <c r="N1913" s="2" t="n"/>
      <c r="O1913" s="3" t="inlineStr">
        <is>
          <t>https://vanillabonds.com/dossier-data/pdf/fastned/fastned-h1-2026-interim-report.pdf#page=15</t>
        </is>
      </c>
    </row>
    <row r="1914">
      <c r="A1914" s="2" t="inlineStr">
        <is>
          <t>F1913</t>
        </is>
      </c>
      <c r="B1914" s="2" t="inlineStr">
        <is>
          <t>market</t>
        </is>
      </c>
      <c r="C1914" s="2" t="inlineStr">
        <is>
          <t>market_fact</t>
        </is>
      </c>
      <c r="D1914" s="3" t="inlineStr">
        <is>
          <t>Market: size, growth, share, competitor capacity, regulation (source named)</t>
        </is>
      </c>
      <c r="E1914" s="2" t="n"/>
      <c r="F1914" s="2" t="n"/>
      <c r="G1914" s="2" t="n"/>
      <c r="H1914" s="3" t="inlineStr">
        <is>
          <t>company statement: one in four new cars sold in the UK in H1 2026 was fully electric, Switzerland close behind.</t>
        </is>
      </c>
      <c r="I1914" s="2" t="inlineStr">
        <is>
          <t>S4</t>
        </is>
      </c>
      <c r="J1914" s="2" t="n">
        <v>15</v>
      </c>
      <c r="K1914" s="3" t="inlineStr">
        <is>
          <t>new cars sold during H1 2026 was fully electric, while Switzerland</t>
        </is>
      </c>
      <c r="L1914" s="2" t="inlineStr">
        <is>
          <t>pend</t>
        </is>
      </c>
      <c r="M1914" s="2" t="n"/>
      <c r="N1914" s="2" t="n"/>
      <c r="O1914" s="3" t="inlineStr">
        <is>
          <t>https://vanillabonds.com/dossier-data/pdf/fastned/fastned-h1-2026-interim-report.pdf#page=15</t>
        </is>
      </c>
    </row>
    <row r="1915">
      <c r="A1915" s="2" t="inlineStr">
        <is>
          <t>F1914</t>
        </is>
      </c>
      <c r="B1915" s="2" t="inlineStr">
        <is>
          <t>market</t>
        </is>
      </c>
      <c r="C1915" s="2" t="inlineStr">
        <is>
          <t>market_fact</t>
        </is>
      </c>
      <c r="D1915" s="3" t="inlineStr">
        <is>
          <t>Market: size, growth, share, competitor capacity, regulation (source named)</t>
        </is>
      </c>
      <c r="E1915" s="2" t="n"/>
      <c r="F1915" s="2" t="n"/>
      <c r="G1915" s="2" t="n"/>
      <c r="H1915" s="3" t="inlineStr">
        <is>
          <t>company statement: petrol and diesel prices rose sharply across Europe after geopolitical disruption of oil supply chains from late February 2026.</t>
        </is>
      </c>
      <c r="I1915" s="2" t="inlineStr">
        <is>
          <t>S4</t>
        </is>
      </c>
      <c r="J1915" s="2" t="n">
        <v>15</v>
      </c>
      <c r="K1915" s="3" t="inlineStr">
        <is>
          <t>disrupted oil supply chains from late February. Petrol and diesel</t>
        </is>
      </c>
      <c r="L1915" s="2" t="inlineStr">
        <is>
          <t>pend</t>
        </is>
      </c>
      <c r="M1915" s="2" t="n"/>
      <c r="N1915" s="2" t="n"/>
      <c r="O1915" s="3" t="inlineStr">
        <is>
          <t>https://vanillabonds.com/dossier-data/pdf/fastned/fastned-h1-2026-interim-report.pdf#page=15</t>
        </is>
      </c>
    </row>
    <row r="1916">
      <c r="A1916" s="2" t="inlineStr">
        <is>
          <t>F1915</t>
        </is>
      </c>
      <c r="B1916" s="2" t="inlineStr">
        <is>
          <t>market</t>
        </is>
      </c>
      <c r="C1916" s="2" t="inlineStr">
        <is>
          <t>concentration</t>
        </is>
      </c>
      <c r="D1916" s="3" t="inlineStr">
        <is>
          <t>Concentration: top customers / suppliers share, key contracts, sites</t>
        </is>
      </c>
      <c r="E1916" s="2" t="n"/>
      <c r="F1916" s="2" t="n"/>
      <c r="G1916" s="2" t="n"/>
      <c r="H1916" s="3" t="inlineStr">
        <is>
          <t>Netherlands segment 41.9 of 83.5 total revenue in H1 2026; 184 of 434 stations in the Netherlands.</t>
        </is>
      </c>
      <c r="I1916" s="2" t="inlineStr">
        <is>
          <t>S4</t>
        </is>
      </c>
      <c r="J1916" s="2" t="n">
        <v>37</v>
      </c>
      <c r="K1916" s="3" t="inlineStr">
        <is>
          <t>41,882 15,557 4,426 11,809 7,845 2,004 83,523</t>
        </is>
      </c>
      <c r="L1916" s="2" t="inlineStr">
        <is>
          <t>pend</t>
        </is>
      </c>
      <c r="M1916" s="2" t="n"/>
      <c r="N1916" s="2" t="n"/>
      <c r="O1916" s="3" t="inlineStr">
        <is>
          <t>https://vanillabonds.com/dossier-data/pdf/fastned/fastned-h1-2026-interim-report.pdf#page=37</t>
        </is>
      </c>
    </row>
    <row r="1917">
      <c r="A1917" s="2" t="inlineStr">
        <is>
          <t>F1916</t>
        </is>
      </c>
      <c r="B1917" s="2" t="inlineStr">
        <is>
          <t>market</t>
        </is>
      </c>
      <c r="C1917" s="2" t="inlineStr">
        <is>
          <t>concentration</t>
        </is>
      </c>
      <c r="D1917" s="3" t="inlineStr">
        <is>
          <t>Concentration: top customers / suppliers share, key contracts, sites</t>
        </is>
      </c>
      <c r="E1917" s="2" t="n"/>
      <c r="F1917" s="2" t="n"/>
      <c r="G1917" s="2" t="n"/>
      <c r="H1917" s="3" t="inlineStr">
        <is>
          <t>No customer accounts for 10% or more of revenue in the periods presented.</t>
        </is>
      </c>
      <c r="I1917" s="2" t="inlineStr">
        <is>
          <t>S4</t>
        </is>
      </c>
      <c r="J1917" s="2" t="n">
        <v>39</v>
      </c>
      <c r="K1917" s="2" t="inlineStr">
        <is>
          <t>There are no customers that account for</t>
        </is>
      </c>
      <c r="L1917" s="2" t="inlineStr">
        <is>
          <t>pend</t>
        </is>
      </c>
      <c r="M1917" s="2" t="n"/>
      <c r="N1917" s="2" t="n"/>
      <c r="O1917" s="3" t="inlineStr">
        <is>
          <t>https://vanillabonds.com/dossier-data/pdf/fastned/fastned-h1-2026-interim-report.pdf#page=39</t>
        </is>
      </c>
    </row>
    <row r="1918">
      <c r="A1918" s="2" t="inlineStr">
        <is>
          <t>F1917</t>
        </is>
      </c>
      <c r="B1918" s="2" t="inlineStr">
        <is>
          <t>market</t>
        </is>
      </c>
      <c r="C1918" s="2" t="inlineStr">
        <is>
          <t>concentration</t>
        </is>
      </c>
      <c r="D1918" s="3" t="inlineStr">
        <is>
          <t>Concentration: top customers / suppliers share, key contracts, sites</t>
        </is>
      </c>
      <c r="E1918" s="2" t="n"/>
      <c r="F1918" s="2" t="n"/>
      <c r="G1918" s="2" t="n"/>
      <c r="H1918" s="3" t="inlineStr">
        <is>
          <t>Construction revenue (EUR 8.5m H1 2026) depends on one customer, Die Autobahn GmbH des Bundes, within the Germany segment.</t>
        </is>
      </c>
      <c r="I1918" s="2" t="inlineStr">
        <is>
          <t>S4</t>
        </is>
      </c>
      <c r="J1918" s="2" t="n">
        <v>39</v>
      </c>
      <c r="K1918" s="3" t="inlineStr">
        <is>
          <t>The Group is reliant on one customer, namely Die</t>
        </is>
      </c>
      <c r="L1918" s="2" t="inlineStr">
        <is>
          <t>pend</t>
        </is>
      </c>
      <c r="M1918" s="2" t="n"/>
      <c r="N1918" s="2" t="n"/>
      <c r="O1918" s="3" t="inlineStr">
        <is>
          <t>https://vanillabonds.com/dossier-data/pdf/fastned/fastned-h1-2026-interim-report.pdf#page=39</t>
        </is>
      </c>
    </row>
    <row r="1919">
      <c r="A1919" s="2" t="inlineStr">
        <is>
          <t>F1918</t>
        </is>
      </c>
      <c r="B1919" s="2" t="inlineStr">
        <is>
          <t>plan</t>
        </is>
      </c>
      <c r="C1919" s="2" t="inlineStr">
        <is>
          <t>plan_item</t>
        </is>
      </c>
      <c r="D1919" s="3" t="inlineStr">
        <is>
          <t>Investment plan item: what, amount, timing, contracted / ordered / planned</t>
        </is>
      </c>
      <c r="E1919" s="2" t="n"/>
      <c r="F1919" s="2" t="n">
        <v>100</v>
      </c>
      <c r="G1919" s="2" t="n"/>
      <c r="H1919" s="3" t="inlineStr">
        <is>
          <t>Station rollout in Belgium and Switzerland funded by the EUR 100m committed green facility over a three-year availability period; status: financed</t>
        </is>
      </c>
      <c r="I1919" s="2" t="inlineStr">
        <is>
          <t>S4</t>
        </is>
      </c>
      <c r="J1919" s="2" t="n">
        <v>12</v>
      </c>
      <c r="K1919" s="3" t="inlineStr">
        <is>
          <t>An initial €100 million of committed capital has been allocated to fund</t>
        </is>
      </c>
      <c r="L1919" s="2" t="inlineStr">
        <is>
          <t>pend</t>
        </is>
      </c>
      <c r="M1919" s="2" t="n"/>
      <c r="N1919" s="2" t="n"/>
      <c r="O1919" s="3" t="inlineStr">
        <is>
          <t>https://vanillabonds.com/dossier-data/pdf/fastned/fastned-h1-2026-interim-report.pdf#page=12</t>
        </is>
      </c>
    </row>
    <row r="1920">
      <c r="A1920" s="2" t="inlineStr">
        <is>
          <t>F1919</t>
        </is>
      </c>
      <c r="B1920" s="2" t="inlineStr">
        <is>
          <t>plan</t>
        </is>
      </c>
      <c r="C1920" s="2" t="inlineStr">
        <is>
          <t>plan_item</t>
        </is>
      </c>
      <c r="D1920" s="3" t="inlineStr">
        <is>
          <t>Investment plan item: what, amount, timing, contracted / ordered / planned</t>
        </is>
      </c>
      <c r="E1920" s="2" t="n"/>
      <c r="F1920" s="2" t="n"/>
      <c r="G1920" s="2" t="n"/>
      <c r="H1920" s="3" t="inlineStr">
        <is>
          <t>Deutschlandnetz: construct and operate 34 HPC sites on German highways for the Federal Government; construction ramped up in H1 2026; status: contracted</t>
        </is>
      </c>
      <c r="I1920" s="2" t="inlineStr">
        <is>
          <t>S4</t>
        </is>
      </c>
      <c r="J1920" s="2" t="n">
        <v>35</v>
      </c>
      <c r="K1920" s="3" t="inlineStr">
        <is>
          <t>the German Federal Government to construct and operate 34 high-power</t>
        </is>
      </c>
      <c r="L1920" s="2" t="inlineStr">
        <is>
          <t>pend</t>
        </is>
      </c>
      <c r="M1920" s="2" t="n"/>
      <c r="N1920" s="2" t="n"/>
      <c r="O1920" s="3" t="inlineStr">
        <is>
          <t>https://vanillabonds.com/dossier-data/pdf/fastned/fastned-h1-2026-interim-report.pdf#page=35</t>
        </is>
      </c>
    </row>
    <row r="1921">
      <c r="A1921" s="2" t="inlineStr">
        <is>
          <t>F1920</t>
        </is>
      </c>
      <c r="B1921" s="2" t="inlineStr">
        <is>
          <t>plan</t>
        </is>
      </c>
      <c r="C1921" s="2" t="inlineStr">
        <is>
          <t>plan_item</t>
        </is>
      </c>
      <c r="D1921" s="3" t="inlineStr">
        <is>
          <t>Investment plan item: what, amount, timing, contracted / ordered / planned</t>
        </is>
      </c>
      <c r="E1921" s="2" t="n"/>
      <c r="F1921" s="2" t="n">
        <v>38.1</v>
      </c>
      <c r="G1921" s="2" t="n"/>
      <c r="H1921" s="3" t="inlineStr">
        <is>
          <t>Construction of several fast charging stations initiated at 30 June 2026 for completion in H2 2026; outstanding supplier commitments approximately EUR 38.1m; status: contracted</t>
        </is>
      </c>
      <c r="I1921" s="2" t="inlineStr">
        <is>
          <t>S4</t>
        </is>
      </c>
      <c r="J1921" s="2" t="n">
        <v>48</v>
      </c>
      <c r="K1921" s="3" t="inlineStr">
        <is>
          <t>At 30 June 2026, the Group had initiated the construction of several fast charging</t>
        </is>
      </c>
      <c r="L1921" s="2" t="inlineStr">
        <is>
          <t>pend</t>
        </is>
      </c>
      <c r="M1921" s="2" t="n"/>
      <c r="N1921" s="2" t="n"/>
      <c r="O1921" s="3" t="inlineStr">
        <is>
          <t>https://vanillabonds.com/dossier-data/pdf/fastned/fastned-h1-2026-interim-report.pdf#page=48</t>
        </is>
      </c>
    </row>
    <row r="1922">
      <c r="A1922" s="2" t="inlineStr">
        <is>
          <t>F1921</t>
        </is>
      </c>
      <c r="B1922" s="2" t="inlineStr">
        <is>
          <t>plan</t>
        </is>
      </c>
      <c r="C1922" s="2" t="inlineStr">
        <is>
          <t>debt_maturing</t>
        </is>
      </c>
      <c r="D1922" s="2" t="inlineStr">
        <is>
          <t>Debt principal falling due in the period</t>
        </is>
      </c>
      <c r="E1922" s="2" t="inlineStr">
        <is>
          <t>FY2026E</t>
        </is>
      </c>
      <c r="F1922" s="2" t="n">
        <v>10.7</v>
      </c>
      <c r="G1922" s="2" t="inlineStr">
        <is>
          <t>EUR m</t>
        </is>
      </c>
      <c r="H1922" s="3" t="inlineStr">
        <is>
          <t>Bonds 10.3 due 12 Dec 2026 plus 4% secured loan instalment 0.4 due 1 Dec 2026 (two lines of the note 8.2 table, as at 30 June 2026)</t>
        </is>
      </c>
      <c r="I1922" s="2" t="inlineStr">
        <is>
          <t>S4</t>
        </is>
      </c>
      <c r="J1922" s="2" t="n">
        <v>43</v>
      </c>
      <c r="K1922" s="2" t="inlineStr">
        <is>
          <t>5.0 12 Dec 2026 10,342 11,981</t>
        </is>
      </c>
      <c r="L1922" s="2" t="inlineStr">
        <is>
          <t>pend</t>
        </is>
      </c>
      <c r="M1922" s="2" t="n"/>
      <c r="N1922" s="3" t="inlineStr">
        <is>
          <t>conflict: S2·p146 30.4 vs S3·p181 12.4 vs S4·p43 10.7</t>
        </is>
      </c>
      <c r="O1922" s="3" t="inlineStr">
        <is>
          <t>https://vanillabonds.com/dossier-data/pdf/fastned/fastned-h1-2026-interim-report.pdf#page=43</t>
        </is>
      </c>
    </row>
    <row r="1923">
      <c r="A1923" s="2" t="inlineStr">
        <is>
          <t>F1922</t>
        </is>
      </c>
      <c r="B1923" s="2" t="inlineStr">
        <is>
          <t>plan</t>
        </is>
      </c>
      <c r="C1923" s="2" t="inlineStr">
        <is>
          <t>debt_maturing</t>
        </is>
      </c>
      <c r="D1923" s="2" t="inlineStr">
        <is>
          <t>Debt principal falling due in the period</t>
        </is>
      </c>
      <c r="E1923" s="2" t="inlineStr">
        <is>
          <t>FY2027E</t>
        </is>
      </c>
      <c r="F1923" s="2" t="n">
        <v>5.2</v>
      </c>
      <c r="G1923" s="2" t="inlineStr">
        <is>
          <t>EUR m</t>
        </is>
      </c>
      <c r="H1923" s="2" t="inlineStr">
        <is>
          <t>Bonds 5.0% due 21 Jun 2027</t>
        </is>
      </c>
      <c r="I1923" s="2" t="inlineStr">
        <is>
          <t>S4</t>
        </is>
      </c>
      <c r="J1923" s="2" t="n">
        <v>43</v>
      </c>
      <c r="K1923" s="2" t="inlineStr">
        <is>
          <t>5.0 21 Jun 2027 5,212 7,262</t>
        </is>
      </c>
      <c r="L1923" s="2" t="inlineStr">
        <is>
          <t>pend</t>
        </is>
      </c>
      <c r="M1923" s="2" t="n"/>
      <c r="N1923" s="3" t="inlineStr">
        <is>
          <t>conflict: S2·p146 13.2 vs S3·p172 7.3 vs S4·p43 5.2</t>
        </is>
      </c>
      <c r="O1923" s="3" t="inlineStr">
        <is>
          <t>https://vanillabonds.com/dossier-data/pdf/fastned/fastned-h1-2026-interim-report.pdf#page=43</t>
        </is>
      </c>
    </row>
    <row r="1924">
      <c r="A1924" s="2" t="inlineStr">
        <is>
          <t>F1923</t>
        </is>
      </c>
      <c r="B1924" s="2" t="inlineStr">
        <is>
          <t>plan</t>
        </is>
      </c>
      <c r="C1924" s="2" t="inlineStr">
        <is>
          <t>bank_line</t>
        </is>
      </c>
      <c r="D1924" s="3" t="inlineStr">
        <is>
          <t>Bank facility: lender, amount, maturity, renewal history</t>
        </is>
      </c>
      <c r="E1924" s="2" t="n"/>
      <c r="F1924" s="2" t="n"/>
      <c r="G1924" s="2" t="n"/>
      <c r="H1924" s="3" t="inlineStr">
        <is>
          <t>Green loan facility: ABN AMRO, Credit Agricole, ING, Invest-NL, Rabobank; EUR 100m committed for Belgium and Switzerland over a three-year availability period, option for a further EUR 100m; matures 22 Jan 2031.</t>
        </is>
      </c>
      <c r="I1924" s="2" t="inlineStr">
        <is>
          <t>S4</t>
        </is>
      </c>
      <c r="J1924" s="2" t="n">
        <v>12</v>
      </c>
      <c r="K1924" s="3" t="inlineStr">
        <is>
          <t>An initial €100 million of committed capital has been allocated to fund station rollout in Belgium and Switzerland over a three-year availability period</t>
        </is>
      </c>
      <c r="L1924" s="2" t="inlineStr">
        <is>
          <t>pend</t>
        </is>
      </c>
      <c r="M1924" s="2" t="n"/>
      <c r="N1924" s="2" t="n"/>
      <c r="O1924" s="3" t="inlineStr">
        <is>
          <t>https://vanillabonds.com/dossier-data/pdf/fastned/fastned-h1-2026-interim-report.pdf#page=12</t>
        </is>
      </c>
    </row>
    <row r="1925">
      <c r="A1925" s="2" t="inlineStr">
        <is>
          <t>F1924</t>
        </is>
      </c>
      <c r="B1925" s="2" t="inlineStr">
        <is>
          <t>plan</t>
        </is>
      </c>
      <c r="C1925" s="2" t="inlineStr">
        <is>
          <t>bank_line</t>
        </is>
      </c>
      <c r="D1925" s="3" t="inlineStr">
        <is>
          <t>Bank facility: lender, amount, maturity, renewal history</t>
        </is>
      </c>
      <c r="E1925" s="2" t="n"/>
      <c r="F1925" s="2" t="n"/>
      <c r="G1925" s="2" t="n"/>
      <c r="H1925" s="3" t="inlineStr">
        <is>
          <t>Bank guarantee facility EUR 20m at 30 June 2026 (2025: 17.0), EUR 16.0m drawn (2025: 15.9); uncommitted, unsecured, no financial covenants.</t>
        </is>
      </c>
      <c r="I1925" s="2" t="inlineStr">
        <is>
          <t>S4</t>
        </is>
      </c>
      <c r="J1925" s="2" t="n">
        <v>46</v>
      </c>
      <c r="K1925" s="3" t="inlineStr">
        <is>
          <t>Fastned B.V. has a bank guarantee facility amounting to €20 million at 30 June 2026 (2025: €17.0 million), of which €16.0 million (2025: €15.9 million) have been</t>
        </is>
      </c>
      <c r="L1925" s="2" t="inlineStr">
        <is>
          <t>pend</t>
        </is>
      </c>
      <c r="M1925" s="2" t="n"/>
      <c r="N1925" s="2" t="n"/>
      <c r="O1925" s="3" t="inlineStr">
        <is>
          <t>https://vanillabonds.com/dossier-data/pdf/fastned/fastned-h1-2026-interim-report.pdf#page=46</t>
        </is>
      </c>
    </row>
    <row r="1926">
      <c r="A1926" s="2" t="inlineStr">
        <is>
          <t>F1925</t>
        </is>
      </c>
      <c r="B1926" s="2" t="inlineStr">
        <is>
          <t>plan</t>
        </is>
      </c>
      <c r="C1926" s="2" t="inlineStr">
        <is>
          <t>issue_cost</t>
        </is>
      </c>
      <c r="D1926" s="3" t="inlineStr">
        <is>
          <t>Issue cost item: item (notary, trustee, listing, legal, VAT); amount; source</t>
        </is>
      </c>
      <c r="E1926" s="2" t="n"/>
      <c r="F1926" s="2" t="n">
        <v>5.3</v>
      </c>
      <c r="G1926" s="2" t="n"/>
      <c r="H1926" s="3" t="inlineStr">
        <is>
          <t>item: transaction costs of arranging the green loan facility, capitalised and amortised; amount: 5.3; source: note 8.2</t>
        </is>
      </c>
      <c r="I1926" s="2" t="inlineStr">
        <is>
          <t>S4</t>
        </is>
      </c>
      <c r="J1926" s="2" t="n">
        <v>44</v>
      </c>
      <c r="K1926" s="3" t="inlineStr">
        <is>
          <t>Transaction costs of €5.3 million directly attributable to arranging the facility</t>
        </is>
      </c>
      <c r="L1926" s="2" t="inlineStr">
        <is>
          <t>pend</t>
        </is>
      </c>
      <c r="M1926" s="2" t="n"/>
      <c r="N1926" s="2" t="n"/>
      <c r="O1926" s="3" t="inlineStr">
        <is>
          <t>https://vanillabonds.com/dossier-data/pdf/fastned/fastned-h1-2026-interim-report.pdf#page=44</t>
        </is>
      </c>
    </row>
    <row r="1927">
      <c r="A1927" s="2" t="inlineStr">
        <is>
          <t>F1926</t>
        </is>
      </c>
      <c r="B1927" s="2" t="inlineStr">
        <is>
          <t>governance</t>
        </is>
      </c>
      <c r="C1927" s="2" t="inlineStr">
        <is>
          <t>group_entity</t>
        </is>
      </c>
      <c r="D1927" s="3" t="inlineStr">
        <is>
          <t>Group entity: entity; jurisdiction; revenue; ebitda; assets; debt; guarantor (yes / no)</t>
        </is>
      </c>
      <c r="E1927" s="2" t="n"/>
      <c r="F1927" s="2" t="n"/>
      <c r="G1927" s="2" t="n"/>
      <c r="H1927" s="3" t="inlineStr">
        <is>
          <t>entity: Fastned UK Ltd.; jurisdiction: GB; guarantor: no</t>
        </is>
      </c>
      <c r="I1927" s="2" t="inlineStr">
        <is>
          <t>S4</t>
        </is>
      </c>
      <c r="J1927" s="2" t="n">
        <v>32</v>
      </c>
      <c r="K1927" s="2" t="inlineStr">
        <is>
          <t>• Fastned UK Ltd.</t>
        </is>
      </c>
      <c r="L1927" s="2" t="inlineStr">
        <is>
          <t>pend</t>
        </is>
      </c>
      <c r="M1927" s="2" t="n"/>
      <c r="N1927" s="2" t="n"/>
      <c r="O1927" s="3" t="inlineStr">
        <is>
          <t>https://vanillabonds.com/dossier-data/pdf/fastned/fastned-h1-2026-interim-report.pdf#page=32</t>
        </is>
      </c>
    </row>
    <row r="1928">
      <c r="A1928" s="2" t="inlineStr">
        <is>
          <t>F1927</t>
        </is>
      </c>
      <c r="B1928" s="2" t="inlineStr">
        <is>
          <t>governance</t>
        </is>
      </c>
      <c r="C1928" s="2" t="inlineStr">
        <is>
          <t>group_entity</t>
        </is>
      </c>
      <c r="D1928" s="3" t="inlineStr">
        <is>
          <t>Group entity: entity; jurisdiction; revenue; ebitda; assets; debt; guarantor (yes / no)</t>
        </is>
      </c>
      <c r="E1928" s="2" t="n"/>
      <c r="F1928" s="2" t="n"/>
      <c r="G1928" s="2" t="n"/>
      <c r="H1928" s="3" t="inlineStr">
        <is>
          <t>entity: Fastned Deutschland GmbH &amp; Co. KG; jurisdiction: DE</t>
        </is>
      </c>
      <c r="I1928" s="2" t="inlineStr">
        <is>
          <t>S4</t>
        </is>
      </c>
      <c r="J1928" s="2" t="n">
        <v>32</v>
      </c>
      <c r="K1928" s="2" t="inlineStr">
        <is>
          <t>• Fastned Deutschland GmbH &amp; Co. KG</t>
        </is>
      </c>
      <c r="L1928" s="2" t="inlineStr">
        <is>
          <t>pend</t>
        </is>
      </c>
      <c r="M1928" s="2" t="n"/>
      <c r="N1928" s="2" t="n"/>
      <c r="O1928" s="3" t="inlineStr">
        <is>
          <t>https://vanillabonds.com/dossier-data/pdf/fastned/fastned-h1-2026-interim-report.pdf#page=32</t>
        </is>
      </c>
    </row>
    <row r="1929">
      <c r="A1929" s="2" t="inlineStr">
        <is>
          <t>F1928</t>
        </is>
      </c>
      <c r="B1929" s="2" t="inlineStr">
        <is>
          <t>governance</t>
        </is>
      </c>
      <c r="C1929" s="2" t="inlineStr">
        <is>
          <t>group_entity</t>
        </is>
      </c>
      <c r="D1929" s="3" t="inlineStr">
        <is>
          <t>Group entity: entity; jurisdiction; revenue; ebitda; assets; debt; guarantor (yes / no)</t>
        </is>
      </c>
      <c r="E1929" s="2" t="n"/>
      <c r="F1929" s="2" t="n"/>
      <c r="G1929" s="2" t="n"/>
      <c r="H1929" s="3" t="inlineStr">
        <is>
          <t>entity: Fastned Verwaltungsgesellschaft mbH</t>
        </is>
      </c>
      <c r="I1929" s="2" t="inlineStr">
        <is>
          <t>S4</t>
        </is>
      </c>
      <c r="J1929" s="2" t="n">
        <v>32</v>
      </c>
      <c r="K1929" s="2" t="inlineStr">
        <is>
          <t>• Fastned Verwaltungsgesellschaft mbH</t>
        </is>
      </c>
      <c r="L1929" s="2" t="inlineStr">
        <is>
          <t>pend</t>
        </is>
      </c>
      <c r="M1929" s="2" t="n"/>
      <c r="N1929" s="2" t="n"/>
      <c r="O1929" s="3" t="inlineStr">
        <is>
          <t>https://vanillabonds.com/dossier-data/pdf/fastned/fastned-h1-2026-interim-report.pdf#page=32</t>
        </is>
      </c>
    </row>
    <row r="1930">
      <c r="A1930" s="2" t="inlineStr">
        <is>
          <t>F1929</t>
        </is>
      </c>
      <c r="B1930" s="2" t="inlineStr">
        <is>
          <t>governance</t>
        </is>
      </c>
      <c r="C1930" s="2" t="inlineStr">
        <is>
          <t>group_entity</t>
        </is>
      </c>
      <c r="D1930" s="3" t="inlineStr">
        <is>
          <t>Group entity: entity; jurisdiction; revenue; ebitda; assets; debt; guarantor (yes / no)</t>
        </is>
      </c>
      <c r="E1930" s="2" t="n"/>
      <c r="F1930" s="2" t="n"/>
      <c r="G1930" s="2" t="n"/>
      <c r="H1930" s="3" t="inlineStr">
        <is>
          <t>entity: Fastned Stations Belgium B.V.; jurisdiction: BE</t>
        </is>
      </c>
      <c r="I1930" s="2" t="inlineStr">
        <is>
          <t>S4</t>
        </is>
      </c>
      <c r="J1930" s="2" t="n">
        <v>32</v>
      </c>
      <c r="K1930" s="2" t="inlineStr">
        <is>
          <t>• Fastned Stations Belgium B.V.</t>
        </is>
      </c>
      <c r="L1930" s="2" t="inlineStr">
        <is>
          <t>pend</t>
        </is>
      </c>
      <c r="M1930" s="2" t="n"/>
      <c r="N1930" s="2" t="n"/>
      <c r="O1930" s="3" t="inlineStr">
        <is>
          <t>https://vanillabonds.com/dossier-data/pdf/fastned/fastned-h1-2026-interim-report.pdf#page=32</t>
        </is>
      </c>
    </row>
    <row r="1931">
      <c r="A1931" s="2" t="inlineStr">
        <is>
          <t>F1930</t>
        </is>
      </c>
      <c r="B1931" s="2" t="inlineStr">
        <is>
          <t>governance</t>
        </is>
      </c>
      <c r="C1931" s="2" t="inlineStr">
        <is>
          <t>group_entity</t>
        </is>
      </c>
      <c r="D1931" s="3" t="inlineStr">
        <is>
          <t>Group entity: entity; jurisdiction; revenue; ebitda; assets; debt; guarantor (yes / no)</t>
        </is>
      </c>
      <c r="E1931" s="2" t="n"/>
      <c r="F1931" s="2" t="n"/>
      <c r="G1931" s="2" t="n"/>
      <c r="H1931" s="3" t="inlineStr">
        <is>
          <t>entity: Fastned Belgium B.V.; jurisdiction: BE</t>
        </is>
      </c>
      <c r="I1931" s="2" t="inlineStr">
        <is>
          <t>S4</t>
        </is>
      </c>
      <c r="J1931" s="2" t="n">
        <v>32</v>
      </c>
      <c r="K1931" s="2" t="inlineStr">
        <is>
          <t>• Fastned Belgium B.V.</t>
        </is>
      </c>
      <c r="L1931" s="2" t="inlineStr">
        <is>
          <t>pend</t>
        </is>
      </c>
      <c r="M1931" s="2" t="n"/>
      <c r="N1931" s="2" t="n"/>
      <c r="O1931" s="3" t="inlineStr">
        <is>
          <t>https://vanillabonds.com/dossier-data/pdf/fastned/fastned-h1-2026-interim-report.pdf#page=32</t>
        </is>
      </c>
    </row>
    <row r="1932">
      <c r="A1932" s="2" t="inlineStr">
        <is>
          <t>F1931</t>
        </is>
      </c>
      <c r="B1932" s="2" t="inlineStr">
        <is>
          <t>governance</t>
        </is>
      </c>
      <c r="C1932" s="2" t="inlineStr">
        <is>
          <t>group_entity</t>
        </is>
      </c>
      <c r="D1932" s="3" t="inlineStr">
        <is>
          <t>Group entity: entity; jurisdiction; revenue; ebitda; assets; debt; guarantor (yes / no)</t>
        </is>
      </c>
      <c r="E1932" s="2" t="n"/>
      <c r="F1932" s="2" t="n"/>
      <c r="G1932" s="2" t="n"/>
      <c r="H1932" s="3" t="inlineStr">
        <is>
          <t>entity: Fastned France SAS; jurisdiction: FR</t>
        </is>
      </c>
      <c r="I1932" s="2" t="inlineStr">
        <is>
          <t>S4</t>
        </is>
      </c>
      <c r="J1932" s="2" t="n">
        <v>32</v>
      </c>
      <c r="K1932" s="2" t="inlineStr">
        <is>
          <t>• Fastned France SAS</t>
        </is>
      </c>
      <c r="L1932" s="2" t="inlineStr">
        <is>
          <t>pend</t>
        </is>
      </c>
      <c r="M1932" s="2" t="n"/>
      <c r="N1932" s="2" t="n"/>
      <c r="O1932" s="3" t="inlineStr">
        <is>
          <t>https://vanillabonds.com/dossier-data/pdf/fastned/fastned-h1-2026-interim-report.pdf#page=32</t>
        </is>
      </c>
    </row>
    <row r="1933">
      <c r="A1933" s="2" t="inlineStr">
        <is>
          <t>F1932</t>
        </is>
      </c>
      <c r="B1933" s="2" t="inlineStr">
        <is>
          <t>governance</t>
        </is>
      </c>
      <c r="C1933" s="2" t="inlineStr">
        <is>
          <t>group_entity</t>
        </is>
      </c>
      <c r="D1933" s="3" t="inlineStr">
        <is>
          <t>Group entity: entity; jurisdiction; revenue; ebitda; assets; debt; guarantor (yes / no)</t>
        </is>
      </c>
      <c r="E1933" s="2" t="n"/>
      <c r="F1933" s="2" t="n"/>
      <c r="G1933" s="2" t="n"/>
      <c r="H1933" s="3" t="inlineStr">
        <is>
          <t>entity: Fastned France SPV1; jurisdiction: FR</t>
        </is>
      </c>
      <c r="I1933" s="2" t="inlineStr">
        <is>
          <t>S4</t>
        </is>
      </c>
      <c r="J1933" s="2" t="n">
        <v>32</v>
      </c>
      <c r="K1933" s="2" t="inlineStr">
        <is>
          <t>• Fastned France SPV1</t>
        </is>
      </c>
      <c r="L1933" s="2" t="inlineStr">
        <is>
          <t>pend</t>
        </is>
      </c>
      <c r="M1933" s="2" t="n"/>
      <c r="N1933" s="2" t="n"/>
      <c r="O1933" s="3" t="inlineStr">
        <is>
          <t>https://vanillabonds.com/dossier-data/pdf/fastned/fastned-h1-2026-interim-report.pdf#page=32</t>
        </is>
      </c>
    </row>
    <row r="1934">
      <c r="A1934" s="2" t="inlineStr">
        <is>
          <t>F1933</t>
        </is>
      </c>
      <c r="B1934" s="2" t="inlineStr">
        <is>
          <t>governance</t>
        </is>
      </c>
      <c r="C1934" s="2" t="inlineStr">
        <is>
          <t>group_entity</t>
        </is>
      </c>
      <c r="D1934" s="3" t="inlineStr">
        <is>
          <t>Group entity: entity; jurisdiction; revenue; ebitda; assets; debt; guarantor (yes / no)</t>
        </is>
      </c>
      <c r="E1934" s="2" t="n"/>
      <c r="F1934" s="2" t="n"/>
      <c r="G1934" s="2" t="n"/>
      <c r="H1934" s="3" t="inlineStr">
        <is>
          <t>entity: Fastned Stations Switzerland AG; jurisdiction: CH</t>
        </is>
      </c>
      <c r="I1934" s="2" t="inlineStr">
        <is>
          <t>S4</t>
        </is>
      </c>
      <c r="J1934" s="2" t="n">
        <v>32</v>
      </c>
      <c r="K1934" s="2" t="inlineStr">
        <is>
          <t>• Fastned Stations Switzerland AG</t>
        </is>
      </c>
      <c r="L1934" s="2" t="inlineStr">
        <is>
          <t>pend</t>
        </is>
      </c>
      <c r="M1934" s="2" t="n"/>
      <c r="N1934" s="2" t="n"/>
      <c r="O1934" s="3" t="inlineStr">
        <is>
          <t>https://vanillabonds.com/dossier-data/pdf/fastned/fastned-h1-2026-interim-report.pdf#page=32</t>
        </is>
      </c>
    </row>
    <row r="1935">
      <c r="A1935" s="2" t="inlineStr">
        <is>
          <t>F1934</t>
        </is>
      </c>
      <c r="B1935" s="2" t="inlineStr">
        <is>
          <t>governance</t>
        </is>
      </c>
      <c r="C1935" s="2" t="inlineStr">
        <is>
          <t>group_entity</t>
        </is>
      </c>
      <c r="D1935" s="3" t="inlineStr">
        <is>
          <t>Group entity: entity; jurisdiction; revenue; ebitda; assets; debt; guarantor (yes / no)</t>
        </is>
      </c>
      <c r="E1935" s="2" t="n"/>
      <c r="F1935" s="2" t="n"/>
      <c r="G1935" s="2" t="n"/>
      <c r="H1935" s="3" t="inlineStr">
        <is>
          <t>entity: Fastned Switzerland AG; jurisdiction: CH</t>
        </is>
      </c>
      <c r="I1935" s="2" t="inlineStr">
        <is>
          <t>S4</t>
        </is>
      </c>
      <c r="J1935" s="2" t="n">
        <v>32</v>
      </c>
      <c r="K1935" s="2" t="inlineStr">
        <is>
          <t>• Fastned Switzerland AG</t>
        </is>
      </c>
      <c r="L1935" s="2" t="inlineStr">
        <is>
          <t>pend</t>
        </is>
      </c>
      <c r="M1935" s="2" t="n"/>
      <c r="N1935" s="2" t="n"/>
      <c r="O1935" s="3" t="inlineStr">
        <is>
          <t>https://vanillabonds.com/dossier-data/pdf/fastned/fastned-h1-2026-interim-report.pdf#page=32</t>
        </is>
      </c>
    </row>
    <row r="1936">
      <c r="A1936" s="2" t="inlineStr">
        <is>
          <t>F1935</t>
        </is>
      </c>
      <c r="B1936" s="2" t="inlineStr">
        <is>
          <t>governance</t>
        </is>
      </c>
      <c r="C1936" s="2" t="inlineStr">
        <is>
          <t>group_entity</t>
        </is>
      </c>
      <c r="D1936" s="3" t="inlineStr">
        <is>
          <t>Group entity: entity; jurisdiction; revenue; ebitda; assets; debt; guarantor (yes / no)</t>
        </is>
      </c>
      <c r="E1936" s="2" t="n"/>
      <c r="F1936" s="2" t="n"/>
      <c r="G1936" s="2" t="n"/>
      <c r="H1936" s="3" t="inlineStr">
        <is>
          <t>entity: Fastned Italia SRL; jurisdiction: IT</t>
        </is>
      </c>
      <c r="I1936" s="2" t="inlineStr">
        <is>
          <t>S4</t>
        </is>
      </c>
      <c r="J1936" s="2" t="n">
        <v>32</v>
      </c>
      <c r="K1936" s="2" t="inlineStr">
        <is>
          <t>• Fastned Italia SRL</t>
        </is>
      </c>
      <c r="L1936" s="2" t="inlineStr">
        <is>
          <t>pend</t>
        </is>
      </c>
      <c r="M1936" s="2" t="n"/>
      <c r="N1936" s="2" t="n"/>
      <c r="O1936" s="3" t="inlineStr">
        <is>
          <t>https://vanillabonds.com/dossier-data/pdf/fastned/fastned-h1-2026-interim-report.pdf#page=32</t>
        </is>
      </c>
    </row>
    <row r="1937">
      <c r="A1937" s="2" t="inlineStr">
        <is>
          <t>F1936</t>
        </is>
      </c>
      <c r="B1937" s="2" t="inlineStr">
        <is>
          <t>governance</t>
        </is>
      </c>
      <c r="C1937" s="2" t="inlineStr">
        <is>
          <t>group_entity</t>
        </is>
      </c>
      <c r="D1937" s="3" t="inlineStr">
        <is>
          <t>Group entity: entity; jurisdiction; revenue; ebitda; assets; debt; guarantor (yes / no)</t>
        </is>
      </c>
      <c r="E1937" s="2" t="n"/>
      <c r="F1937" s="2" t="n"/>
      <c r="G1937" s="2" t="n"/>
      <c r="H1937" s="3" t="inlineStr">
        <is>
          <t>entity: Fastned España SL; jurisdiction: ES</t>
        </is>
      </c>
      <c r="I1937" s="2" t="inlineStr">
        <is>
          <t>S4</t>
        </is>
      </c>
      <c r="J1937" s="2" t="n">
        <v>32</v>
      </c>
      <c r="K1937" s="2" t="inlineStr">
        <is>
          <t>• Fastned España SL</t>
        </is>
      </c>
      <c r="L1937" s="2" t="inlineStr">
        <is>
          <t>pend</t>
        </is>
      </c>
      <c r="M1937" s="2" t="n"/>
      <c r="N1937" s="2" t="n"/>
      <c r="O1937" s="3" t="inlineStr">
        <is>
          <t>https://vanillabonds.com/dossier-data/pdf/fastned/fastned-h1-2026-interim-report.pdf#page=32</t>
        </is>
      </c>
    </row>
    <row r="1938">
      <c r="A1938" s="2" t="inlineStr">
        <is>
          <t>F1937</t>
        </is>
      </c>
      <c r="B1938" s="2" t="inlineStr">
        <is>
          <t>governance</t>
        </is>
      </c>
      <c r="C1938" s="2" t="inlineStr">
        <is>
          <t>group_entity</t>
        </is>
      </c>
      <c r="D1938" s="3" t="inlineStr">
        <is>
          <t>Group entity: entity; jurisdiction; revenue; ebitda; assets; debt; guarantor (yes / no)</t>
        </is>
      </c>
      <c r="E1938" s="2" t="n"/>
      <c r="F1938" s="2" t="n"/>
      <c r="G1938" s="2" t="n"/>
      <c r="H1938" s="3" t="inlineStr">
        <is>
          <t>entity: The Fast Charging Network B.V.; jurisdiction: NL</t>
        </is>
      </c>
      <c r="I1938" s="2" t="inlineStr">
        <is>
          <t>S4</t>
        </is>
      </c>
      <c r="J1938" s="2" t="n">
        <v>32</v>
      </c>
      <c r="K1938" s="2" t="inlineStr">
        <is>
          <t>• The Fast Charging Network B.V.</t>
        </is>
      </c>
      <c r="L1938" s="2" t="inlineStr">
        <is>
          <t>pend</t>
        </is>
      </c>
      <c r="M1938" s="2" t="n"/>
      <c r="N1938" s="2" t="n"/>
      <c r="O1938" s="3" t="inlineStr">
        <is>
          <t>https://vanillabonds.com/dossier-data/pdf/fastned/fastned-h1-2026-interim-report.pdf#page=32</t>
        </is>
      </c>
    </row>
    <row r="1939">
      <c r="A1939" s="2" t="inlineStr">
        <is>
          <t>F1938</t>
        </is>
      </c>
      <c r="B1939" s="2" t="inlineStr">
        <is>
          <t>governance</t>
        </is>
      </c>
      <c r="C1939" s="2" t="inlineStr">
        <is>
          <t>group_entity</t>
        </is>
      </c>
      <c r="D1939" s="3" t="inlineStr">
        <is>
          <t>Group entity: entity; jurisdiction; revenue; ebitda; assets; debt; guarantor (yes / no)</t>
        </is>
      </c>
      <c r="E1939" s="2" t="n"/>
      <c r="F1939" s="2" t="n"/>
      <c r="G1939" s="2" t="n"/>
      <c r="H1939" s="3" t="inlineStr">
        <is>
          <t>entity: Fastned Collections B.V.; jurisdiction: NL</t>
        </is>
      </c>
      <c r="I1939" s="2" t="inlineStr">
        <is>
          <t>S4</t>
        </is>
      </c>
      <c r="J1939" s="2" t="n">
        <v>32</v>
      </c>
      <c r="K1939" s="2" t="inlineStr">
        <is>
          <t>• Fastned Collections B.V.</t>
        </is>
      </c>
      <c r="L1939" s="2" t="inlineStr">
        <is>
          <t>pend</t>
        </is>
      </c>
      <c r="M1939" s="2" t="n"/>
      <c r="N1939" s="2" t="n"/>
      <c r="O1939" s="3" t="inlineStr">
        <is>
          <t>https://vanillabonds.com/dossier-data/pdf/fastned/fastned-h1-2026-interim-report.pdf#page=32</t>
        </is>
      </c>
    </row>
    <row r="1940">
      <c r="A1940" s="2" t="inlineStr">
        <is>
          <t>F1939</t>
        </is>
      </c>
      <c r="B1940" s="2" t="inlineStr">
        <is>
          <t>governance</t>
        </is>
      </c>
      <c r="C1940" s="2" t="inlineStr">
        <is>
          <t>group_entity</t>
        </is>
      </c>
      <c r="D1940" s="3" t="inlineStr">
        <is>
          <t>Group entity: entity; jurisdiction; revenue; ebitda; assets; debt; guarantor (yes / no)</t>
        </is>
      </c>
      <c r="E1940" s="2" t="n"/>
      <c r="F1940" s="2" t="n"/>
      <c r="G1940" s="2" t="n"/>
      <c r="H1940" s="3" t="inlineStr">
        <is>
          <t>entity: Fastned Beheer B.V.; jurisdiction: NL</t>
        </is>
      </c>
      <c r="I1940" s="2" t="inlineStr">
        <is>
          <t>S4</t>
        </is>
      </c>
      <c r="J1940" s="2" t="n">
        <v>32</v>
      </c>
      <c r="K1940" s="2" t="inlineStr">
        <is>
          <t>• Fastned Beheer B.V.</t>
        </is>
      </c>
      <c r="L1940" s="2" t="inlineStr">
        <is>
          <t>pend</t>
        </is>
      </c>
      <c r="M1940" s="2" t="n"/>
      <c r="N1940" s="2" t="n"/>
      <c r="O1940" s="3" t="inlineStr">
        <is>
          <t>https://vanillabonds.com/dossier-data/pdf/fastned/fastned-h1-2026-interim-report.pdf#page=32</t>
        </is>
      </c>
    </row>
    <row r="1941">
      <c r="A1941" s="2" t="inlineStr">
        <is>
          <t>F1940</t>
        </is>
      </c>
      <c r="B1941" s="2" t="inlineStr">
        <is>
          <t>governance</t>
        </is>
      </c>
      <c r="C1941" s="2" t="inlineStr">
        <is>
          <t>group_entity</t>
        </is>
      </c>
      <c r="D1941" s="3" t="inlineStr">
        <is>
          <t>Group entity: entity; jurisdiction; revenue; ebitda; assets; debt; guarantor (yes / no)</t>
        </is>
      </c>
      <c r="E1941" s="2" t="n"/>
      <c r="F1941" s="2" t="n"/>
      <c r="G1941" s="2" t="n"/>
      <c r="H1941" s="3" t="inlineStr">
        <is>
          <t>entity: Fastned Denmark ApS; jurisdiction: DK</t>
        </is>
      </c>
      <c r="I1941" s="2" t="inlineStr">
        <is>
          <t>S4</t>
        </is>
      </c>
      <c r="J1941" s="2" t="n">
        <v>32</v>
      </c>
      <c r="K1941" s="2" t="inlineStr">
        <is>
          <t>• Fastned Denmark ApS</t>
        </is>
      </c>
      <c r="L1941" s="2" t="inlineStr">
        <is>
          <t>pend</t>
        </is>
      </c>
      <c r="M1941" s="2" t="n"/>
      <c r="N1941" s="2" t="n"/>
      <c r="O1941" s="3" t="inlineStr">
        <is>
          <t>https://vanillabonds.com/dossier-data/pdf/fastned/fastned-h1-2026-interim-report.pdf#page=32</t>
        </is>
      </c>
    </row>
    <row r="1942">
      <c r="A1942" s="2" t="inlineStr">
        <is>
          <t>F1941</t>
        </is>
      </c>
      <c r="B1942" s="2" t="inlineStr">
        <is>
          <t>governance</t>
        </is>
      </c>
      <c r="C1942" s="2" t="inlineStr">
        <is>
          <t>group_entity</t>
        </is>
      </c>
      <c r="D1942" s="3" t="inlineStr">
        <is>
          <t>Group entity: entity; jurisdiction; revenue; ebitda; assets; debt; guarantor (yes / no)</t>
        </is>
      </c>
      <c r="E1942" s="2" t="n"/>
      <c r="F1942" s="2" t="n"/>
      <c r="G1942" s="2" t="n"/>
      <c r="H1942" s="3" t="inlineStr">
        <is>
          <t>entity: Fastned Sp z o.o.; jurisdiction: PL</t>
        </is>
      </c>
      <c r="I1942" s="2" t="inlineStr">
        <is>
          <t>S4</t>
        </is>
      </c>
      <c r="J1942" s="2" t="n">
        <v>32</v>
      </c>
      <c r="K1942" s="2" t="inlineStr">
        <is>
          <t>• Fastned Sp z o.o.</t>
        </is>
      </c>
      <c r="L1942" s="2" t="inlineStr">
        <is>
          <t>pend</t>
        </is>
      </c>
      <c r="M1942" s="2" t="n"/>
      <c r="N1942" s="2" t="n"/>
      <c r="O1942" s="3" t="inlineStr">
        <is>
          <t>https://vanillabonds.com/dossier-data/pdf/fastned/fastned-h1-2026-interim-report.pdf#page=32</t>
        </is>
      </c>
    </row>
    <row r="1943">
      <c r="A1943" s="2" t="inlineStr">
        <is>
          <t>F1942</t>
        </is>
      </c>
      <c r="B1943" s="2" t="inlineStr">
        <is>
          <t>governance</t>
        </is>
      </c>
      <c r="C1943" s="2" t="inlineStr">
        <is>
          <t>group_entity</t>
        </is>
      </c>
      <c r="D1943" s="3" t="inlineStr">
        <is>
          <t>Group entity: entity; jurisdiction; revenue; ebitda; assets; debt; guarantor (yes / no)</t>
        </is>
      </c>
      <c r="E1943" s="2" t="n"/>
      <c r="F1943" s="2" t="n"/>
      <c r="G1943" s="2" t="n"/>
      <c r="H1943" s="3" t="inlineStr">
        <is>
          <t>entity: Fastned Austria GmbH; jurisdiction: AT</t>
        </is>
      </c>
      <c r="I1943" s="2" t="inlineStr">
        <is>
          <t>S4</t>
        </is>
      </c>
      <c r="J1943" s="2" t="n">
        <v>32</v>
      </c>
      <c r="K1943" s="2" t="inlineStr">
        <is>
          <t>• Fastned Austria GmbH</t>
        </is>
      </c>
      <c r="L1943" s="2" t="inlineStr">
        <is>
          <t>pend</t>
        </is>
      </c>
      <c r="M1943" s="2" t="n"/>
      <c r="N1943" s="2" t="n"/>
      <c r="O1943" s="3" t="inlineStr">
        <is>
          <t>https://vanillabonds.com/dossier-data/pdf/fastned/fastned-h1-2026-interim-report.pdf#page=32</t>
        </is>
      </c>
    </row>
    <row r="1944">
      <c r="A1944" s="2" t="inlineStr">
        <is>
          <t>F1943</t>
        </is>
      </c>
      <c r="B1944" s="2" t="inlineStr">
        <is>
          <t>governance</t>
        </is>
      </c>
      <c r="C1944" s="2" t="inlineStr">
        <is>
          <t>group_entity</t>
        </is>
      </c>
      <c r="D1944" s="3" t="inlineStr">
        <is>
          <t>Group entity: entity; jurisdiction; revenue; ebitda; assets; debt; guarantor (yes / no)</t>
        </is>
      </c>
      <c r="E1944" s="2" t="n"/>
      <c r="F1944" s="2" t="n"/>
      <c r="G1944" s="2" t="n"/>
      <c r="H1944" s="3" t="inlineStr">
        <is>
          <t>entity: Fastned TICO Holding I B.V.; jurisdiction: NL; borrower of the senior secured green facility (ring-fenced)</t>
        </is>
      </c>
      <c r="I1944" s="2" t="inlineStr">
        <is>
          <t>S4</t>
        </is>
      </c>
      <c r="J1944" s="2" t="n">
        <v>32</v>
      </c>
      <c r="K1944" s="2" t="inlineStr">
        <is>
          <t>• Fastned TICO Holding I B.V.</t>
        </is>
      </c>
      <c r="L1944" s="2" t="inlineStr">
        <is>
          <t>pend</t>
        </is>
      </c>
      <c r="M1944" s="2" t="n"/>
      <c r="N1944" s="2" t="n"/>
      <c r="O1944" s="3" t="inlineStr">
        <is>
          <t>https://vanillabonds.com/dossier-data/pdf/fastned/fastned-h1-2026-interim-report.pdf#page=32</t>
        </is>
      </c>
    </row>
    <row r="1945">
      <c r="A1945" s="2" t="inlineStr">
        <is>
          <t>F1944</t>
        </is>
      </c>
      <c r="B1945" s="2" t="inlineStr">
        <is>
          <t>governance</t>
        </is>
      </c>
      <c r="C1945" s="2" t="inlineStr">
        <is>
          <t>group_entity</t>
        </is>
      </c>
      <c r="D1945" s="3" t="inlineStr">
        <is>
          <t>Group entity: entity; jurisdiction; revenue; ebitda; assets; debt; guarantor (yes / no)</t>
        </is>
      </c>
      <c r="E1945" s="2" t="n"/>
      <c r="F1945" s="2" t="n"/>
      <c r="G1945" s="2" t="n"/>
      <c r="H1945" s="3" t="inlineStr">
        <is>
          <t>entity: Fast Places Limited (joint venture, 51%, equity-accounted, not consolidated); guarantor: no</t>
        </is>
      </c>
      <c r="I1945" s="2" t="inlineStr">
        <is>
          <t>S4</t>
        </is>
      </c>
      <c r="J1945" s="2" t="n">
        <v>32</v>
      </c>
      <c r="K1945" s="3" t="inlineStr">
        <is>
          <t>Fastned is also a partner in a Joint Venture, Fast Places Limited</t>
        </is>
      </c>
      <c r="L1945" s="2" t="inlineStr">
        <is>
          <t>pend</t>
        </is>
      </c>
      <c r="M1945" s="2" t="n"/>
      <c r="N1945" s="2" t="n"/>
      <c r="O1945" s="3" t="inlineStr">
        <is>
          <t>https://vanillabonds.com/dossier-data/pdf/fastned/fastned-h1-2026-interim-report.pdf#page=32</t>
        </is>
      </c>
    </row>
    <row r="1946">
      <c r="A1946" s="2" t="inlineStr">
        <is>
          <t>F1945</t>
        </is>
      </c>
      <c r="B1946" s="2" t="inlineStr">
        <is>
          <t>governance</t>
        </is>
      </c>
      <c r="C1946" s="2" t="inlineStr">
        <is>
          <t>board_member</t>
        </is>
      </c>
      <c r="D1946" s="3" t="inlineStr">
        <is>
          <t>Board member: name; body (management / supervisory); role; since; independent (yes / no); committees</t>
        </is>
      </c>
      <c r="E1946" s="2" t="n"/>
      <c r="F1946" s="2" t="n"/>
      <c r="G1946" s="2" t="n"/>
      <c r="H1946" s="3" t="inlineStr">
        <is>
          <t>name: Michiel Langezaal; body: management; role: CEO (co-founder); since: 2012 (founder)</t>
        </is>
      </c>
      <c r="I1946" s="2" t="inlineStr">
        <is>
          <t>S4</t>
        </is>
      </c>
      <c r="J1946" s="2" t="n">
        <v>50</v>
      </c>
      <c r="K1946" s="3" t="inlineStr">
        <is>
          <t>Management Board Michiel Langezaal Françoise Poggi CEO COO</t>
        </is>
      </c>
      <c r="L1946" s="2" t="inlineStr">
        <is>
          <t>pend</t>
        </is>
      </c>
      <c r="M1946" s="2" t="n"/>
      <c r="N1946" s="2" t="n"/>
      <c r="O1946" s="3" t="inlineStr">
        <is>
          <t>https://vanillabonds.com/dossier-data/pdf/fastned/fastned-h1-2026-interim-report.pdf#page=50</t>
        </is>
      </c>
    </row>
    <row r="1947">
      <c r="A1947" s="2" t="inlineStr">
        <is>
          <t>F1946</t>
        </is>
      </c>
      <c r="B1947" s="2" t="inlineStr">
        <is>
          <t>governance</t>
        </is>
      </c>
      <c r="C1947" s="2" t="inlineStr">
        <is>
          <t>board_member</t>
        </is>
      </c>
      <c r="D1947" s="3" t="inlineStr">
        <is>
          <t>Board member: name; body (management / supervisory); role; since; independent (yes / no); committees</t>
        </is>
      </c>
      <c r="E1947" s="2" t="n"/>
      <c r="F1947" s="2" t="n"/>
      <c r="G1947" s="2" t="n"/>
      <c r="H1947" s="3" t="inlineStr">
        <is>
          <t>name: Francoise Poggi; body: management; role: COO</t>
        </is>
      </c>
      <c r="I1947" s="2" t="inlineStr">
        <is>
          <t>S4</t>
        </is>
      </c>
      <c r="J1947" s="2" t="n">
        <v>50</v>
      </c>
      <c r="K1947" s="3" t="inlineStr">
        <is>
          <t>Management Board Michiel Langezaal Françoise Poggi CEO COO</t>
        </is>
      </c>
      <c r="L1947" s="2" t="inlineStr">
        <is>
          <t>pend</t>
        </is>
      </c>
      <c r="M1947" s="2" t="n"/>
      <c r="N1947" s="2" t="n"/>
      <c r="O1947" s="3" t="inlineStr">
        <is>
          <t>https://vanillabonds.com/dossier-data/pdf/fastned/fastned-h1-2026-interim-report.pdf#page=50</t>
        </is>
      </c>
    </row>
    <row r="1948">
      <c r="A1948" s="2" t="inlineStr">
        <is>
          <t>F1947</t>
        </is>
      </c>
      <c r="B1948" s="2" t="inlineStr">
        <is>
          <t>market</t>
        </is>
      </c>
      <c r="C1948" s="2" t="inlineStr">
        <is>
          <t>market_series</t>
        </is>
      </c>
      <c r="D1948" s="3" t="inlineStr">
        <is>
          <t>Market variable: variable; year; value; unit; source (a distribution adds n; median; spread; p10; p25; p75; p90)</t>
        </is>
      </c>
      <c r="E1948" s="2" t="n"/>
      <c r="F1948" s="2" t="n">
        <v>36.1</v>
      </c>
      <c r="G1948" s="2" t="n"/>
      <c r="H1948" s="3" t="inlineStr">
        <is>
          <t>variable: BEV share of new car registrations, Belgium; year: Jan-Jun 2026; value: 36.1; unit: percent; source: ACEA new car registrations H1 2026</t>
        </is>
      </c>
      <c r="I1948" s="2" t="inlineStr">
        <is>
          <t>S4</t>
        </is>
      </c>
      <c r="J1948" s="2" t="n">
        <v>15</v>
      </c>
      <c r="K1948" s="2" t="inlineStr">
        <is>
          <t>Belgium 32.8 36.1</t>
        </is>
      </c>
      <c r="L1948" s="2" t="inlineStr">
        <is>
          <t>pend</t>
        </is>
      </c>
      <c r="M1948" s="2" t="n"/>
      <c r="N1948" s="2" t="n"/>
      <c r="O1948" s="3" t="inlineStr">
        <is>
          <t>https://vanillabonds.com/dossier-data/pdf/fastned/fastned-h1-2026-interim-report.pdf#page=15</t>
        </is>
      </c>
    </row>
    <row r="1949">
      <c r="A1949" s="2" t="inlineStr">
        <is>
          <t>F1948</t>
        </is>
      </c>
      <c r="B1949" s="2" t="inlineStr">
        <is>
          <t>market</t>
        </is>
      </c>
      <c r="C1949" s="2" t="inlineStr">
        <is>
          <t>market_series</t>
        </is>
      </c>
      <c r="D1949" s="3" t="inlineStr">
        <is>
          <t>Market variable: variable; year; value; unit; source (a distribution adds n; median; spread; p10; p25; p75; p90)</t>
        </is>
      </c>
      <c r="E1949" s="2" t="n"/>
      <c r="F1949" s="2" t="n">
        <v>32.8</v>
      </c>
      <c r="G1949" s="2" t="n"/>
      <c r="H1949" s="3" t="inlineStr">
        <is>
          <t>variable: BEV share of new car registrations, Belgium; year: Jan-Jun 2025; value: 32.8; unit: percent; source: ACEA new car registrations H1 2026</t>
        </is>
      </c>
      <c r="I1949" s="2" t="inlineStr">
        <is>
          <t>S4</t>
        </is>
      </c>
      <c r="J1949" s="2" t="n">
        <v>15</v>
      </c>
      <c r="K1949" s="2" t="inlineStr">
        <is>
          <t>Belgium 32.8 36.1</t>
        </is>
      </c>
      <c r="L1949" s="2" t="inlineStr">
        <is>
          <t>pend</t>
        </is>
      </c>
      <c r="M1949" s="2" t="n"/>
      <c r="N1949" s="2" t="n"/>
      <c r="O1949" s="3" t="inlineStr">
        <is>
          <t>https://vanillabonds.com/dossier-data/pdf/fastned/fastned-h1-2026-interim-report.pdf#page=15</t>
        </is>
      </c>
    </row>
    <row r="1950">
      <c r="A1950" s="2" t="inlineStr">
        <is>
          <t>F1949</t>
        </is>
      </c>
      <c r="B1950" s="2" t="inlineStr">
        <is>
          <t>market</t>
        </is>
      </c>
      <c r="C1950" s="2" t="inlineStr">
        <is>
          <t>market_series</t>
        </is>
      </c>
      <c r="D1950" s="3" t="inlineStr">
        <is>
          <t>Market variable: variable; year; value; unit; source (a distribution adds n; median; spread; p10; p25; p75; p90)</t>
        </is>
      </c>
      <c r="E1950" s="2" t="n"/>
      <c r="F1950" s="2" t="n">
        <v>79.90000000000001</v>
      </c>
      <c r="G1950" s="2" t="n"/>
      <c r="H1950" s="3" t="inlineStr">
        <is>
          <t>variable: BEV share of new car registrations, Denmark; year: Jan-Jun 2026; value: 79.9; unit: percent; source: ACEA new car registrations H1 2026</t>
        </is>
      </c>
      <c r="I1950" s="2" t="inlineStr">
        <is>
          <t>S4</t>
        </is>
      </c>
      <c r="J1950" s="2" t="n">
        <v>15</v>
      </c>
      <c r="K1950" s="2" t="inlineStr">
        <is>
          <t>Denmark 63.8 79.9</t>
        </is>
      </c>
      <c r="L1950" s="2" t="inlineStr">
        <is>
          <t>pend</t>
        </is>
      </c>
      <c r="M1950" s="2" t="n"/>
      <c r="N1950" s="2" t="n"/>
      <c r="O1950" s="3" t="inlineStr">
        <is>
          <t>https://vanillabonds.com/dossier-data/pdf/fastned/fastned-h1-2026-interim-report.pdf#page=15</t>
        </is>
      </c>
    </row>
    <row r="1951">
      <c r="A1951" s="2" t="inlineStr">
        <is>
          <t>F1950</t>
        </is>
      </c>
      <c r="B1951" s="2" t="inlineStr">
        <is>
          <t>market</t>
        </is>
      </c>
      <c r="C1951" s="2" t="inlineStr">
        <is>
          <t>market_series</t>
        </is>
      </c>
      <c r="D1951" s="3" t="inlineStr">
        <is>
          <t>Market variable: variable; year; value; unit; source (a distribution adds n; median; spread; p10; p25; p75; p90)</t>
        </is>
      </c>
      <c r="E1951" s="2" t="n"/>
      <c r="F1951" s="2" t="n">
        <v>63.8</v>
      </c>
      <c r="G1951" s="2" t="n"/>
      <c r="H1951" s="3" t="inlineStr">
        <is>
          <t>variable: BEV share of new car registrations, Denmark; year: Jan-Jun 2025; value: 63.8; unit: percent; source: ACEA new car registrations H1 2026</t>
        </is>
      </c>
      <c r="I1951" s="2" t="inlineStr">
        <is>
          <t>S4</t>
        </is>
      </c>
      <c r="J1951" s="2" t="n">
        <v>15</v>
      </c>
      <c r="K1951" s="2" t="inlineStr">
        <is>
          <t>Denmark 63.8 79.9</t>
        </is>
      </c>
      <c r="L1951" s="2" t="inlineStr">
        <is>
          <t>pend</t>
        </is>
      </c>
      <c r="M1951" s="2" t="n"/>
      <c r="N1951" s="2" t="n"/>
      <c r="O1951" s="3" t="inlineStr">
        <is>
          <t>https://vanillabonds.com/dossier-data/pdf/fastned/fastned-h1-2026-interim-report.pdf#page=15</t>
        </is>
      </c>
    </row>
    <row r="1952">
      <c r="A1952" s="2" t="inlineStr">
        <is>
          <t>F1951</t>
        </is>
      </c>
      <c r="B1952" s="2" t="inlineStr">
        <is>
          <t>market</t>
        </is>
      </c>
      <c r="C1952" s="2" t="inlineStr">
        <is>
          <t>market_series</t>
        </is>
      </c>
      <c r="D1952" s="3" t="inlineStr">
        <is>
          <t>Market variable: variable; year; value; unit; source (a distribution adds n; median; spread; p10; p25; p75; p90)</t>
        </is>
      </c>
      <c r="E1952" s="2" t="n"/>
      <c r="F1952" s="2" t="n">
        <v>28.2</v>
      </c>
      <c r="G1952" s="2" t="n"/>
      <c r="H1952" s="3" t="inlineStr">
        <is>
          <t>variable: BEV share of new car registrations, France; year: Jan-Jun 2026; value: 28.2; unit: percent; source: ACEA new car registrations H1 2026</t>
        </is>
      </c>
      <c r="I1952" s="2" t="inlineStr">
        <is>
          <t>S4</t>
        </is>
      </c>
      <c r="J1952" s="2" t="n">
        <v>15</v>
      </c>
      <c r="K1952" s="2" t="inlineStr">
        <is>
          <t>France 17.6 28.2</t>
        </is>
      </c>
      <c r="L1952" s="2" t="inlineStr">
        <is>
          <t>pend</t>
        </is>
      </c>
      <c r="M1952" s="2" t="n"/>
      <c r="N1952" s="2" t="n"/>
      <c r="O1952" s="3" t="inlineStr">
        <is>
          <t>https://vanillabonds.com/dossier-data/pdf/fastned/fastned-h1-2026-interim-report.pdf#page=15</t>
        </is>
      </c>
    </row>
    <row r="1953">
      <c r="A1953" s="2" t="inlineStr">
        <is>
          <t>F1952</t>
        </is>
      </c>
      <c r="B1953" s="2" t="inlineStr">
        <is>
          <t>market</t>
        </is>
      </c>
      <c r="C1953" s="2" t="inlineStr">
        <is>
          <t>market_series</t>
        </is>
      </c>
      <c r="D1953" s="3" t="inlineStr">
        <is>
          <t>Market variable: variable; year; value; unit; source (a distribution adds n; median; spread; p10; p25; p75; p90)</t>
        </is>
      </c>
      <c r="E1953" s="2" t="n"/>
      <c r="F1953" s="2" t="n">
        <v>17.6</v>
      </c>
      <c r="G1953" s="2" t="n"/>
      <c r="H1953" s="3" t="inlineStr">
        <is>
          <t>variable: BEV share of new car registrations, France; year: Jan-Jun 2025; value: 17.6; unit: percent; source: ACEA new car registrations H1 2026</t>
        </is>
      </c>
      <c r="I1953" s="2" t="inlineStr">
        <is>
          <t>S4</t>
        </is>
      </c>
      <c r="J1953" s="2" t="n">
        <v>15</v>
      </c>
      <c r="K1953" s="2" t="inlineStr">
        <is>
          <t>France 17.6 28.2</t>
        </is>
      </c>
      <c r="L1953" s="2" t="inlineStr">
        <is>
          <t>pend</t>
        </is>
      </c>
      <c r="M1953" s="2" t="n"/>
      <c r="N1953" s="2" t="n"/>
      <c r="O1953" s="3" t="inlineStr">
        <is>
          <t>https://vanillabonds.com/dossier-data/pdf/fastned/fastned-h1-2026-interim-report.pdf#page=15</t>
        </is>
      </c>
    </row>
    <row r="1954">
      <c r="A1954" s="2" t="inlineStr">
        <is>
          <t>F1953</t>
        </is>
      </c>
      <c r="B1954" s="2" t="inlineStr">
        <is>
          <t>market</t>
        </is>
      </c>
      <c r="C1954" s="2" t="inlineStr">
        <is>
          <t>market_series</t>
        </is>
      </c>
      <c r="D1954" s="3" t="inlineStr">
        <is>
          <t>Market variable: variable; year; value; unit; source (a distribution adds n; median; spread; p10; p25; p75; p90)</t>
        </is>
      </c>
      <c r="E1954" s="2" t="n"/>
      <c r="F1954" s="2" t="n">
        <v>24.8</v>
      </c>
      <c r="G1954" s="2" t="n"/>
      <c r="H1954" s="3" t="inlineStr">
        <is>
          <t>variable: BEV share of new car registrations, Germany; year: Jan-Jun 2026; value: 24.8; unit: percent; source: ACEA new car registrations H1 2026</t>
        </is>
      </c>
      <c r="I1954" s="2" t="inlineStr">
        <is>
          <t>S4</t>
        </is>
      </c>
      <c r="J1954" s="2" t="n">
        <v>15</v>
      </c>
      <c r="K1954" s="2" t="inlineStr">
        <is>
          <t>Germany 17.7 24.8</t>
        </is>
      </c>
      <c r="L1954" s="2" t="inlineStr">
        <is>
          <t>pend</t>
        </is>
      </c>
      <c r="M1954" s="2" t="n"/>
      <c r="N1954" s="2" t="n"/>
      <c r="O1954" s="3" t="inlineStr">
        <is>
          <t>https://vanillabonds.com/dossier-data/pdf/fastned/fastned-h1-2026-interim-report.pdf#page=15</t>
        </is>
      </c>
    </row>
    <row r="1955">
      <c r="A1955" s="2" t="inlineStr">
        <is>
          <t>F1954</t>
        </is>
      </c>
      <c r="B1955" s="2" t="inlineStr">
        <is>
          <t>market</t>
        </is>
      </c>
      <c r="C1955" s="2" t="inlineStr">
        <is>
          <t>market_series</t>
        </is>
      </c>
      <c r="D1955" s="3" t="inlineStr">
        <is>
          <t>Market variable: variable; year; value; unit; source (a distribution adds n; median; spread; p10; p25; p75; p90)</t>
        </is>
      </c>
      <c r="E1955" s="2" t="n"/>
      <c r="F1955" s="2" t="n">
        <v>17.7</v>
      </c>
      <c r="G1955" s="2" t="n"/>
      <c r="H1955" s="3" t="inlineStr">
        <is>
          <t>variable: BEV share of new car registrations, Germany; year: Jan-Jun 2025; value: 17.7; unit: percent; source: ACEA new car registrations H1 2026</t>
        </is>
      </c>
      <c r="I1955" s="2" t="inlineStr">
        <is>
          <t>S4</t>
        </is>
      </c>
      <c r="J1955" s="2" t="n">
        <v>15</v>
      </c>
      <c r="K1955" s="2" t="inlineStr">
        <is>
          <t>Germany 17.7 24.8</t>
        </is>
      </c>
      <c r="L1955" s="2" t="inlineStr">
        <is>
          <t>pend</t>
        </is>
      </c>
      <c r="M1955" s="2" t="n"/>
      <c r="N1955" s="2" t="n"/>
      <c r="O1955" s="3" t="inlineStr">
        <is>
          <t>https://vanillabonds.com/dossier-data/pdf/fastned/fastned-h1-2026-interim-report.pdf#page=15</t>
        </is>
      </c>
    </row>
    <row r="1956">
      <c r="A1956" s="2" t="inlineStr">
        <is>
          <t>F1955</t>
        </is>
      </c>
      <c r="B1956" s="2" t="inlineStr">
        <is>
          <t>market</t>
        </is>
      </c>
      <c r="C1956" s="2" t="inlineStr">
        <is>
          <t>market_series</t>
        </is>
      </c>
      <c r="D1956" s="3" t="inlineStr">
        <is>
          <t>Market variable: variable; year; value; unit; source (a distribution adds n; median; spread; p10; p25; p75; p90)</t>
        </is>
      </c>
      <c r="E1956" s="2" t="n"/>
      <c r="F1956" s="2" t="n">
        <v>8.5</v>
      </c>
      <c r="G1956" s="2" t="n"/>
      <c r="H1956" s="3" t="inlineStr">
        <is>
          <t>variable: BEV share of new car registrations, Italy; year: Jan-Jun 2026; value: 8.5; unit: percent; source: ACEA new car registrations H1 2026</t>
        </is>
      </c>
      <c r="I1956" s="2" t="inlineStr">
        <is>
          <t>S4</t>
        </is>
      </c>
      <c r="J1956" s="2" t="n">
        <v>15</v>
      </c>
      <c r="K1956" s="2" t="inlineStr">
        <is>
          <t>Italy 5.2 8.5</t>
        </is>
      </c>
      <c r="L1956" s="2" t="inlineStr">
        <is>
          <t>pend</t>
        </is>
      </c>
      <c r="M1956" s="2" t="n"/>
      <c r="N1956" s="2" t="n"/>
      <c r="O1956" s="3" t="inlineStr">
        <is>
          <t>https://vanillabonds.com/dossier-data/pdf/fastned/fastned-h1-2026-interim-report.pdf#page=15</t>
        </is>
      </c>
    </row>
    <row r="1957">
      <c r="A1957" s="2" t="inlineStr">
        <is>
          <t>F1956</t>
        </is>
      </c>
      <c r="B1957" s="2" t="inlineStr">
        <is>
          <t>market</t>
        </is>
      </c>
      <c r="C1957" s="2" t="inlineStr">
        <is>
          <t>market_series</t>
        </is>
      </c>
      <c r="D1957" s="3" t="inlineStr">
        <is>
          <t>Market variable: variable; year; value; unit; source (a distribution adds n; median; spread; p10; p25; p75; p90)</t>
        </is>
      </c>
      <c r="E1957" s="2" t="n"/>
      <c r="F1957" s="2" t="n">
        <v>5.2</v>
      </c>
      <c r="G1957" s="2" t="n"/>
      <c r="H1957" s="3" t="inlineStr">
        <is>
          <t>variable: BEV share of new car registrations, Italy; year: Jan-Jun 2025; value: 5.2; unit: percent; source: ACEA new car registrations H1 2026</t>
        </is>
      </c>
      <c r="I1957" s="2" t="inlineStr">
        <is>
          <t>S4</t>
        </is>
      </c>
      <c r="J1957" s="2" t="n">
        <v>15</v>
      </c>
      <c r="K1957" s="2" t="inlineStr">
        <is>
          <t>Italy 5.2 8.5</t>
        </is>
      </c>
      <c r="L1957" s="2" t="inlineStr">
        <is>
          <t>pend</t>
        </is>
      </c>
      <c r="M1957" s="2" t="n"/>
      <c r="N1957" s="2" t="n"/>
      <c r="O1957" s="3" t="inlineStr">
        <is>
          <t>https://vanillabonds.com/dossier-data/pdf/fastned/fastned-h1-2026-interim-report.pdf#page=15</t>
        </is>
      </c>
    </row>
    <row r="1958">
      <c r="A1958" s="2" t="inlineStr">
        <is>
          <t>F1957</t>
        </is>
      </c>
      <c r="B1958" s="2" t="inlineStr">
        <is>
          <t>market</t>
        </is>
      </c>
      <c r="C1958" s="2" t="inlineStr">
        <is>
          <t>market_series</t>
        </is>
      </c>
      <c r="D1958" s="3" t="inlineStr">
        <is>
          <t>Market variable: variable; year; value; unit; source (a distribution adds n; median; spread; p10; p25; p75; p90)</t>
        </is>
      </c>
      <c r="E1958" s="2" t="n"/>
      <c r="F1958" s="2" t="n">
        <v>36.5</v>
      </c>
      <c r="G1958" s="2" t="n"/>
      <c r="H1958" s="3" t="inlineStr">
        <is>
          <t>variable: BEV share of new car registrations, The Netherlands; year: Jan-Jun 2026; value: 36.5; unit: percent; source: ACEA new car registrations H1 2026</t>
        </is>
      </c>
      <c r="I1958" s="2" t="inlineStr">
        <is>
          <t>S4</t>
        </is>
      </c>
      <c r="J1958" s="2" t="n">
        <v>15</v>
      </c>
      <c r="K1958" s="2" t="inlineStr">
        <is>
          <t>The Netherlands 35.0 36.5</t>
        </is>
      </c>
      <c r="L1958" s="2" t="inlineStr">
        <is>
          <t>pend</t>
        </is>
      </c>
      <c r="M1958" s="2" t="n"/>
      <c r="N1958" s="2" t="n"/>
      <c r="O1958" s="3" t="inlineStr">
        <is>
          <t>https://vanillabonds.com/dossier-data/pdf/fastned/fastned-h1-2026-interim-report.pdf#page=15</t>
        </is>
      </c>
    </row>
    <row r="1959">
      <c r="A1959" s="2" t="inlineStr">
        <is>
          <t>F1958</t>
        </is>
      </c>
      <c r="B1959" s="2" t="inlineStr">
        <is>
          <t>market</t>
        </is>
      </c>
      <c r="C1959" s="2" t="inlineStr">
        <is>
          <t>market_series</t>
        </is>
      </c>
      <c r="D1959" s="3" t="inlineStr">
        <is>
          <t>Market variable: variable; year; value; unit; source (a distribution adds n; median; spread; p10; p25; p75; p90)</t>
        </is>
      </c>
      <c r="E1959" s="2" t="n"/>
      <c r="F1959" s="2" t="n">
        <v>35</v>
      </c>
      <c r="G1959" s="2" t="n"/>
      <c r="H1959" s="3" t="inlineStr">
        <is>
          <t>variable: BEV share of new car registrations, The Netherlands; year: Jan-Jun 2025; value: 35.0; unit: percent; source: ACEA new car registrations H1 2026</t>
        </is>
      </c>
      <c r="I1959" s="2" t="inlineStr">
        <is>
          <t>S4</t>
        </is>
      </c>
      <c r="J1959" s="2" t="n">
        <v>15</v>
      </c>
      <c r="K1959" s="2" t="inlineStr">
        <is>
          <t>The Netherlands 35.0 36.5</t>
        </is>
      </c>
      <c r="L1959" s="2" t="inlineStr">
        <is>
          <t>pend</t>
        </is>
      </c>
      <c r="M1959" s="2" t="n"/>
      <c r="N1959" s="2" t="n"/>
      <c r="O1959" s="3" t="inlineStr">
        <is>
          <t>https://vanillabonds.com/dossier-data/pdf/fastned/fastned-h1-2026-interim-report.pdf#page=15</t>
        </is>
      </c>
    </row>
    <row r="1960">
      <c r="A1960" s="2" t="inlineStr">
        <is>
          <t>F1959</t>
        </is>
      </c>
      <c r="B1960" s="2" t="inlineStr">
        <is>
          <t>market</t>
        </is>
      </c>
      <c r="C1960" s="2" t="inlineStr">
        <is>
          <t>market_series</t>
        </is>
      </c>
      <c r="D1960" s="3" t="inlineStr">
        <is>
          <t>Market variable: variable; year; value; unit; source (a distribution adds n; median; spread; p10; p25; p75; p90)</t>
        </is>
      </c>
      <c r="E1960" s="2" t="n"/>
      <c r="F1960" s="2" t="n">
        <v>9.800000000000001</v>
      </c>
      <c r="G1960" s="2" t="n"/>
      <c r="H1960" s="3" t="inlineStr">
        <is>
          <t>variable: BEV share of new car registrations, Spain; year: Jan-Jun 2026; value: 9.8; unit: percent; source: ACEA new car registrations H1 2026</t>
        </is>
      </c>
      <c r="I1960" s="2" t="inlineStr">
        <is>
          <t>S4</t>
        </is>
      </c>
      <c r="J1960" s="2" t="n">
        <v>15</v>
      </c>
      <c r="K1960" s="2" t="inlineStr">
        <is>
          <t>Spain 7.6 9.8</t>
        </is>
      </c>
      <c r="L1960" s="2" t="inlineStr">
        <is>
          <t>pend</t>
        </is>
      </c>
      <c r="M1960" s="2" t="n"/>
      <c r="N1960" s="2" t="n"/>
      <c r="O1960" s="3" t="inlineStr">
        <is>
          <t>https://vanillabonds.com/dossier-data/pdf/fastned/fastned-h1-2026-interim-report.pdf#page=15</t>
        </is>
      </c>
    </row>
    <row r="1961">
      <c r="A1961" s="2" t="inlineStr">
        <is>
          <t>F1960</t>
        </is>
      </c>
      <c r="B1961" s="2" t="inlineStr">
        <is>
          <t>market</t>
        </is>
      </c>
      <c r="C1961" s="2" t="inlineStr">
        <is>
          <t>market_series</t>
        </is>
      </c>
      <c r="D1961" s="3" t="inlineStr">
        <is>
          <t>Market variable: variable; year; value; unit; source (a distribution adds n; median; spread; p10; p25; p75; p90)</t>
        </is>
      </c>
      <c r="E1961" s="2" t="n"/>
      <c r="F1961" s="2" t="n">
        <v>7.6</v>
      </c>
      <c r="G1961" s="2" t="n"/>
      <c r="H1961" s="3" t="inlineStr">
        <is>
          <t>variable: BEV share of new car registrations, Spain; year: Jan-Jun 2025; value: 7.6; unit: percent; source: ACEA new car registrations H1 2026</t>
        </is>
      </c>
      <c r="I1961" s="2" t="inlineStr">
        <is>
          <t>S4</t>
        </is>
      </c>
      <c r="J1961" s="2" t="n">
        <v>15</v>
      </c>
      <c r="K1961" s="2" t="inlineStr">
        <is>
          <t>Spain 7.6 9.8</t>
        </is>
      </c>
      <c r="L1961" s="2" t="inlineStr">
        <is>
          <t>pend</t>
        </is>
      </c>
      <c r="M1961" s="2" t="n"/>
      <c r="N1961" s="2" t="n"/>
      <c r="O1961" s="3" t="inlineStr">
        <is>
          <t>https://vanillabonds.com/dossier-data/pdf/fastned/fastned-h1-2026-interim-report.pdf#page=15</t>
        </is>
      </c>
    </row>
    <row r="1962">
      <c r="A1962" s="2" t="inlineStr">
        <is>
          <t>F1961</t>
        </is>
      </c>
      <c r="B1962" s="2" t="inlineStr">
        <is>
          <t>market</t>
        </is>
      </c>
      <c r="C1962" s="2" t="inlineStr">
        <is>
          <t>market_series</t>
        </is>
      </c>
      <c r="D1962" s="3" t="inlineStr">
        <is>
          <t>Market variable: variable; year; value; unit; source (a distribution adds n; median; spread; p10; p25; p75; p90)</t>
        </is>
      </c>
      <c r="E1962" s="2" t="n"/>
      <c r="F1962" s="2" t="n">
        <v>23.9</v>
      </c>
      <c r="G1962" s="2" t="n"/>
      <c r="H1962" s="3" t="inlineStr">
        <is>
          <t>variable: BEV share of new car registrations, Switzerland; year: Jan-Jun 2026; value: 23.9; unit: percent; source: ACEA new car registrations H1 2026</t>
        </is>
      </c>
      <c r="I1962" s="2" t="inlineStr">
        <is>
          <t>S4</t>
        </is>
      </c>
      <c r="J1962" s="2" t="n">
        <v>15</v>
      </c>
      <c r="K1962" s="2" t="inlineStr">
        <is>
          <t>Switzerland 20.5 23.9</t>
        </is>
      </c>
      <c r="L1962" s="2" t="inlineStr">
        <is>
          <t>pend</t>
        </is>
      </c>
      <c r="M1962" s="2" t="n"/>
      <c r="N1962" s="2" t="n"/>
      <c r="O1962" s="3" t="inlineStr">
        <is>
          <t>https://vanillabonds.com/dossier-data/pdf/fastned/fastned-h1-2026-interim-report.pdf#page=15</t>
        </is>
      </c>
    </row>
    <row r="1963">
      <c r="A1963" s="2" t="inlineStr">
        <is>
          <t>F1962</t>
        </is>
      </c>
      <c r="B1963" s="2" t="inlineStr">
        <is>
          <t>market</t>
        </is>
      </c>
      <c r="C1963" s="2" t="inlineStr">
        <is>
          <t>market_series</t>
        </is>
      </c>
      <c r="D1963" s="3" t="inlineStr">
        <is>
          <t>Market variable: variable; year; value; unit; source (a distribution adds n; median; spread; p10; p25; p75; p90)</t>
        </is>
      </c>
      <c r="E1963" s="2" t="n"/>
      <c r="F1963" s="2" t="n">
        <v>20.5</v>
      </c>
      <c r="G1963" s="2" t="n"/>
      <c r="H1963" s="3" t="inlineStr">
        <is>
          <t>variable: BEV share of new car registrations, Switzerland; year: Jan-Jun 2025; value: 20.5; unit: percent; source: ACEA new car registrations H1 2026</t>
        </is>
      </c>
      <c r="I1963" s="2" t="inlineStr">
        <is>
          <t>S4</t>
        </is>
      </c>
      <c r="J1963" s="2" t="n">
        <v>15</v>
      </c>
      <c r="K1963" s="2" t="inlineStr">
        <is>
          <t>Switzerland 20.5 23.9</t>
        </is>
      </c>
      <c r="L1963" s="2" t="inlineStr">
        <is>
          <t>pend</t>
        </is>
      </c>
      <c r="M1963" s="2" t="n"/>
      <c r="N1963" s="2" t="n"/>
      <c r="O1963" s="3" t="inlineStr">
        <is>
          <t>https://vanillabonds.com/dossier-data/pdf/fastned/fastned-h1-2026-interim-report.pdf#page=15</t>
        </is>
      </c>
    </row>
    <row r="1964">
      <c r="A1964" s="2" t="inlineStr">
        <is>
          <t>F1963</t>
        </is>
      </c>
      <c r="B1964" s="2" t="inlineStr">
        <is>
          <t>market</t>
        </is>
      </c>
      <c r="C1964" s="2" t="inlineStr">
        <is>
          <t>market_series</t>
        </is>
      </c>
      <c r="D1964" s="3" t="inlineStr">
        <is>
          <t>Market variable: variable; year; value; unit; source (a distribution adds n; median; spread; p10; p25; p75; p90)</t>
        </is>
      </c>
      <c r="E1964" s="2" t="n"/>
      <c r="F1964" s="2" t="n">
        <v>25</v>
      </c>
      <c r="G1964" s="2" t="n"/>
      <c r="H1964" s="3" t="inlineStr">
        <is>
          <t>variable: BEV share of new car registrations, United Kingdom; year: Jan-Jun 2026; value: 25.0; unit: percent; source: ACEA new car registrations H1 2026</t>
        </is>
      </c>
      <c r="I1964" s="2" t="inlineStr">
        <is>
          <t>S4</t>
        </is>
      </c>
      <c r="J1964" s="2" t="n">
        <v>15</v>
      </c>
      <c r="K1964" s="2" t="inlineStr">
        <is>
          <t>United Kingdom 21.6 25.0</t>
        </is>
      </c>
      <c r="L1964" s="2" t="inlineStr">
        <is>
          <t>pend</t>
        </is>
      </c>
      <c r="M1964" s="2" t="n"/>
      <c r="N1964" s="2" t="n"/>
      <c r="O1964" s="3" t="inlineStr">
        <is>
          <t>https://vanillabonds.com/dossier-data/pdf/fastned/fastned-h1-2026-interim-report.pdf#page=15</t>
        </is>
      </c>
    </row>
    <row r="1965">
      <c r="A1965" s="2" t="inlineStr">
        <is>
          <t>F1964</t>
        </is>
      </c>
      <c r="B1965" s="2" t="inlineStr">
        <is>
          <t>market</t>
        </is>
      </c>
      <c r="C1965" s="2" t="inlineStr">
        <is>
          <t>market_series</t>
        </is>
      </c>
      <c r="D1965" s="3" t="inlineStr">
        <is>
          <t>Market variable: variable; year; value; unit; source (a distribution adds n; median; spread; p10; p25; p75; p90)</t>
        </is>
      </c>
      <c r="E1965" s="2" t="n"/>
      <c r="F1965" s="2" t="n">
        <v>21.6</v>
      </c>
      <c r="G1965" s="2" t="n"/>
      <c r="H1965" s="3" t="inlineStr">
        <is>
          <t>variable: BEV share of new car registrations, United Kingdom; year: Jan-Jun 2025; value: 21.6; unit: percent; source: ACEA new car registrations H1 2026</t>
        </is>
      </c>
      <c r="I1965" s="2" t="inlineStr">
        <is>
          <t>S4</t>
        </is>
      </c>
      <c r="J1965" s="2" t="n">
        <v>15</v>
      </c>
      <c r="K1965" s="2" t="inlineStr">
        <is>
          <t>United Kingdom 21.6 25.0</t>
        </is>
      </c>
      <c r="L1965" s="2" t="inlineStr">
        <is>
          <t>pend</t>
        </is>
      </c>
      <c r="M1965" s="2" t="n"/>
      <c r="N1965" s="2" t="n"/>
      <c r="O1965" s="3" t="inlineStr">
        <is>
          <t>https://vanillabonds.com/dossier-data/pdf/fastned/fastned-h1-2026-interim-report.pdf#page=15</t>
        </is>
      </c>
    </row>
    <row r="1966">
      <c r="A1966" s="2" t="inlineStr">
        <is>
          <t>F1965</t>
        </is>
      </c>
      <c r="B1966" s="2" t="inlineStr">
        <is>
          <t>market</t>
        </is>
      </c>
      <c r="C1966" s="2" t="inlineStr">
        <is>
          <t>regulation_item</t>
        </is>
      </c>
      <c r="D1966" s="3" t="inlineStr">
        <is>
          <t>Regulation: measure; effective; effect on the company as stated; source</t>
        </is>
      </c>
      <c r="E1966" s="2" t="n"/>
      <c r="F1966" s="2" t="n"/>
      <c r="G1966" s="2" t="n"/>
      <c r="H1966" s="3" t="inlineStr">
        <is>
          <t>measure: Dutch draft law introducing an auction-based permit system for RWS highway charging concessions (Road to 2028); effective: draft, pending parliamentary debate and Senate approval; effect on the company as stated: too much uncertainty to estimate impact on useful lives, depreciation or carrying amounts of affected PP&amp;E; source: note 6</t>
        </is>
      </c>
      <c r="I1966" s="2" t="inlineStr">
        <is>
          <t>S4</t>
        </is>
      </c>
      <c r="J1966" s="2" t="n">
        <v>40</v>
      </c>
      <c r="K1966" s="3" t="inlineStr">
        <is>
          <t>the Dutch government has published a draft law introducing an auction-based permit system</t>
        </is>
      </c>
      <c r="L1966" s="2" t="inlineStr">
        <is>
          <t>pend</t>
        </is>
      </c>
      <c r="M1966" s="2" t="n"/>
      <c r="N1966" s="2" t="n"/>
      <c r="O1966" s="3" t="inlineStr">
        <is>
          <t>https://vanillabonds.com/dossier-data/pdf/fastned/fastned-h1-2026-interim-report.pdf#page=40</t>
        </is>
      </c>
    </row>
    <row r="1967">
      <c r="A1967" s="2" t="inlineStr">
        <is>
          <t>F1966</t>
        </is>
      </c>
      <c r="B1967" s="2" t="inlineStr">
        <is>
          <t>market</t>
        </is>
      </c>
      <c r="C1967" s="2" t="inlineStr">
        <is>
          <t>industry_assessment</t>
        </is>
      </c>
      <c r="D1967" s="3" t="inlineStr">
        <is>
          <t>Third-party industry assessment, quoted verbatim: source; date; text; licence (T)</t>
        </is>
      </c>
      <c r="E1967" s="2" t="n"/>
      <c r="F1967" s="2" t="n"/>
      <c r="G1967" s="2" t="n"/>
      <c r="H1967" s="3" t="inlineStr">
        <is>
          <t>source: unnamed industry observers, as cited by Fastned; date: 2026-08; text: 'characterising the resulting shift in purchasing behaviour as structural rather than cyclical'</t>
        </is>
      </c>
      <c r="I1967" s="2" t="inlineStr">
        <is>
          <t>S4</t>
        </is>
      </c>
      <c r="J1967" s="2" t="n">
        <v>15</v>
      </c>
      <c r="K1967" s="3" t="inlineStr">
        <is>
          <t>characterising the resulting shift in purchasing behaviour as structural rather than</t>
        </is>
      </c>
      <c r="L1967" s="2" t="inlineStr">
        <is>
          <t>pend</t>
        </is>
      </c>
      <c r="M1967" s="2" t="n"/>
      <c r="N1967" s="2" t="n"/>
      <c r="O1967" s="3" t="inlineStr">
        <is>
          <t>https://vanillabonds.com/dossier-data/pdf/fastned/fastned-h1-2026-interim-report.pdf#page=15</t>
        </is>
      </c>
    </row>
    <row r="1968">
      <c r="A1968" s="2" t="inlineStr">
        <is>
          <t>F1967</t>
        </is>
      </c>
      <c r="B1968" s="2" t="inlineStr">
        <is>
          <t>market</t>
        </is>
      </c>
      <c r="C1968" s="2" t="inlineStr">
        <is>
          <t>contract_term</t>
        </is>
      </c>
      <c r="D1968" s="3" t="inlineStr">
        <is>
          <t>Key contract: counterparty; share (of revenue or purchases, 0-1); duration; termination; indexation</t>
        </is>
      </c>
      <c r="E1968" s="2" t="n"/>
      <c r="F1968" s="2" t="n"/>
      <c r="G1968" s="2" t="n"/>
      <c r="H1968" s="3" t="inlineStr">
        <is>
          <t>counterparty: Places for London (Transport for London's property company); joint venture Fast Places Limited established 5 Dec 2024, Fastned 51%</t>
        </is>
      </c>
      <c r="I1968" s="2" t="inlineStr">
        <is>
          <t>S4</t>
        </is>
      </c>
      <c r="J1968" s="2" t="n">
        <v>32</v>
      </c>
      <c r="K1968" s="3" t="inlineStr">
        <is>
          <t>established on 5 December 2024 with Places for London, Transport for London's</t>
        </is>
      </c>
      <c r="L1968" s="2" t="inlineStr">
        <is>
          <t>pend</t>
        </is>
      </c>
      <c r="M1968" s="2" t="n"/>
      <c r="N1968" s="2" t="n"/>
      <c r="O1968" s="3" t="inlineStr">
        <is>
          <t>https://vanillabonds.com/dossier-data/pdf/fastned/fastned-h1-2026-interim-report.pdf#page=32</t>
        </is>
      </c>
    </row>
    <row r="1969">
      <c r="A1969" s="2" t="inlineStr">
        <is>
          <t>F1968</t>
        </is>
      </c>
      <c r="B1969" s="2" t="inlineStr">
        <is>
          <t>market</t>
        </is>
      </c>
      <c r="C1969" s="2" t="inlineStr">
        <is>
          <t>contract_term</t>
        </is>
      </c>
      <c r="D1969" s="3" t="inlineStr">
        <is>
          <t>Key contract: counterparty; share (of revenue or purchases, 0-1); duration; termination; indexation</t>
        </is>
      </c>
      <c r="E1969" s="2" t="n"/>
      <c r="F1969" s="2" t="n"/>
      <c r="G1969" s="2" t="n"/>
      <c r="H1969" s="3" t="inlineStr">
        <is>
          <t>counterparty: German Federal Government / Die Autobahn GmbH des Bundes (Deutschlandnetz tender, 34 HPC sites on German highways, IFRIC 12 service concession, installation fee plus operator fee as guaranteed minimum); duration: 8 years with option to extend by max 2 years</t>
        </is>
      </c>
      <c r="I1969" s="2" t="inlineStr">
        <is>
          <t>S4</t>
        </is>
      </c>
      <c r="J1969" s="2" t="n">
        <v>45</v>
      </c>
      <c r="K1969" s="3" t="inlineStr">
        <is>
          <t>The contract is expected to last 8 years, with an option to extend for a maximum of 2 further years.</t>
        </is>
      </c>
      <c r="L1969" s="2" t="inlineStr">
        <is>
          <t>pend</t>
        </is>
      </c>
      <c r="M1969" s="2" t="n"/>
      <c r="N1969" s="2" t="n"/>
      <c r="O1969" s="3" t="inlineStr">
        <is>
          <t>https://vanillabonds.com/dossier-data/pdf/fastned/fastned-h1-2026-interim-report.pdf#page=45</t>
        </is>
      </c>
    </row>
    <row r="1970">
      <c r="A1970" s="2" t="inlineStr">
        <is>
          <t>F1969</t>
        </is>
      </c>
      <c r="B1970" s="2" t="inlineStr">
        <is>
          <t>market</t>
        </is>
      </c>
      <c r="C1970" s="2" t="inlineStr">
        <is>
          <t>price_cost_series</t>
        </is>
      </c>
      <c r="D1970" s="3" t="inlineStr">
        <is>
          <t>Price or input-cost series: variable; year; value; unit; source</t>
        </is>
      </c>
      <c r="E1970" s="2" t="n"/>
      <c r="F1970" s="2" t="n">
        <v>10.5</v>
      </c>
      <c r="G1970" s="2" t="n"/>
      <c r="H1970" s="3" t="inlineStr">
        <is>
          <t>variable: grid fees; year: H1 2026; value: 10.5; unit: EUR m; source: note 4.3</t>
        </is>
      </c>
      <c r="I1970" s="2" t="inlineStr">
        <is>
          <t>S4</t>
        </is>
      </c>
      <c r="J1970" s="2" t="n">
        <v>39</v>
      </c>
      <c r="K1970" s="2" t="inlineStr">
        <is>
          <t>Grid Fees 10,477 8,558</t>
        </is>
      </c>
      <c r="L1970" s="2" t="inlineStr">
        <is>
          <t>pend</t>
        </is>
      </c>
      <c r="M1970" s="2" t="n"/>
      <c r="N1970" s="2" t="n"/>
      <c r="O1970" s="3" t="inlineStr">
        <is>
          <t>https://vanillabonds.com/dossier-data/pdf/fastned/fastned-h1-2026-interim-report.pdf#page=39</t>
        </is>
      </c>
    </row>
    <row r="1971">
      <c r="A1971" s="2" t="inlineStr">
        <is>
          <t>F1970</t>
        </is>
      </c>
      <c r="B1971" s="2" t="inlineStr">
        <is>
          <t>market</t>
        </is>
      </c>
      <c r="C1971" s="2" t="inlineStr">
        <is>
          <t>price_cost_series</t>
        </is>
      </c>
      <c r="D1971" s="3" t="inlineStr">
        <is>
          <t>Price or input-cost series: variable; year; value; unit; source</t>
        </is>
      </c>
      <c r="E1971" s="2" t="n"/>
      <c r="F1971" s="2" t="n">
        <v>8.6</v>
      </c>
      <c r="G1971" s="2" t="n"/>
      <c r="H1971" s="3" t="inlineStr">
        <is>
          <t>variable: grid fees; year: H1 2025; value: 8.6; unit: EUR m; source: note 4.3</t>
        </is>
      </c>
      <c r="I1971" s="2" t="inlineStr">
        <is>
          <t>S4</t>
        </is>
      </c>
      <c r="J1971" s="2" t="n">
        <v>39</v>
      </c>
      <c r="K1971" s="2" t="inlineStr">
        <is>
          <t>Grid Fees 10,477 8,558</t>
        </is>
      </c>
      <c r="L1971" s="2" t="inlineStr">
        <is>
          <t>pend</t>
        </is>
      </c>
      <c r="M1971" s="2" t="n"/>
      <c r="N1971" s="2" t="n"/>
      <c r="O1971" s="3" t="inlineStr">
        <is>
          <t>https://vanillabonds.com/dossier-data/pdf/fastned/fastned-h1-2026-interim-report.pdf#page=39</t>
        </is>
      </c>
    </row>
    <row r="1972">
      <c r="A1972" s="2" t="inlineStr">
        <is>
          <t>F1971</t>
        </is>
      </c>
      <c r="B1972" s="2" t="inlineStr">
        <is>
          <t>market</t>
        </is>
      </c>
      <c r="C1972" s="2" t="inlineStr">
        <is>
          <t>price_cost_series</t>
        </is>
      </c>
      <c r="D1972" s="3" t="inlineStr">
        <is>
          <t>Price or input-cost series: variable; year; value; unit; source</t>
        </is>
      </c>
      <c r="E1972" s="2" t="n"/>
      <c r="F1972" s="2" t="n">
        <v>6.3</v>
      </c>
      <c r="G1972" s="2" t="n"/>
      <c r="H1972" s="3" t="inlineStr">
        <is>
          <t>variable: maintenance costs; year: H1 2026; value: 6.3; unit: EUR m; source: note 4.3</t>
        </is>
      </c>
      <c r="I1972" s="2" t="inlineStr">
        <is>
          <t>S4</t>
        </is>
      </c>
      <c r="J1972" s="2" t="n">
        <v>39</v>
      </c>
      <c r="K1972" s="2" t="inlineStr">
        <is>
          <t>Maintenance costs 6,255 4,523</t>
        </is>
      </c>
      <c r="L1972" s="2" t="inlineStr">
        <is>
          <t>pend</t>
        </is>
      </c>
      <c r="M1972" s="2" t="n"/>
      <c r="N1972" s="2" t="n"/>
      <c r="O1972" s="3" t="inlineStr">
        <is>
          <t>https://vanillabonds.com/dossier-data/pdf/fastned/fastned-h1-2026-interim-report.pdf#page=39</t>
        </is>
      </c>
    </row>
    <row r="1973">
      <c r="A1973" s="2" t="inlineStr">
        <is>
          <t>F1972</t>
        </is>
      </c>
      <c r="B1973" s="2" t="inlineStr">
        <is>
          <t>market</t>
        </is>
      </c>
      <c r="C1973" s="2" t="inlineStr">
        <is>
          <t>price_cost_series</t>
        </is>
      </c>
      <c r="D1973" s="3" t="inlineStr">
        <is>
          <t>Price or input-cost series: variable; year; value; unit; source</t>
        </is>
      </c>
      <c r="E1973" s="2" t="n"/>
      <c r="F1973" s="2" t="n">
        <v>4.5</v>
      </c>
      <c r="G1973" s="2" t="n"/>
      <c r="H1973" s="3" t="inlineStr">
        <is>
          <t>variable: maintenance costs; year: H1 2025; value: 4.5; unit: EUR m; source: note 4.3</t>
        </is>
      </c>
      <c r="I1973" s="2" t="inlineStr">
        <is>
          <t>S4</t>
        </is>
      </c>
      <c r="J1973" s="2" t="n">
        <v>39</v>
      </c>
      <c r="K1973" s="2" t="inlineStr">
        <is>
          <t>Maintenance costs 6,255 4,523</t>
        </is>
      </c>
      <c r="L1973" s="2" t="inlineStr">
        <is>
          <t>pend</t>
        </is>
      </c>
      <c r="M1973" s="2" t="n"/>
      <c r="N1973" s="2" t="n"/>
      <c r="O1973" s="3" t="inlineStr">
        <is>
          <t>https://vanillabonds.com/dossier-data/pdf/fastned/fastned-h1-2026-interim-report.pdf#page=39</t>
        </is>
      </c>
    </row>
    <row r="1974">
      <c r="A1974" s="2" t="inlineStr">
        <is>
          <t>F1973</t>
        </is>
      </c>
      <c r="B1974" s="2" t="inlineStr">
        <is>
          <t>market</t>
        </is>
      </c>
      <c r="C1974" s="2" t="inlineStr">
        <is>
          <t>price_cost_series</t>
        </is>
      </c>
      <c r="D1974" s="3" t="inlineStr">
        <is>
          <t>Price or input-cost series: variable; year; value; unit; source</t>
        </is>
      </c>
      <c r="E1974" s="2" t="n"/>
      <c r="F1974" s="2" t="n">
        <v>6.3</v>
      </c>
      <c r="G1974" s="2" t="n"/>
      <c r="H1974" s="3" t="inlineStr">
        <is>
          <t>variable: inventories (renewable energy units) expensed in cost of sales; year: H1 2026; value: 6.3; unit: EUR m; source: note 10</t>
        </is>
      </c>
      <c r="I1974" s="2" t="inlineStr">
        <is>
          <t>S4</t>
        </is>
      </c>
      <c r="J1974" s="2" t="n">
        <v>46</v>
      </c>
      <c r="K1974" s="3" t="inlineStr">
        <is>
          <t>Inventories recognised as an expense during the half year ended 30 June 2026 amounted to €6.3 million (2025: €5.4 million).</t>
        </is>
      </c>
      <c r="L1974" s="2" t="inlineStr">
        <is>
          <t>pend</t>
        </is>
      </c>
      <c r="M1974" s="2" t="n"/>
      <c r="N1974" s="2" t="n"/>
      <c r="O1974" s="3" t="inlineStr">
        <is>
          <t>https://vanillabonds.com/dossier-data/pdf/fastned/fastned-h1-2026-interim-report.pdf#page=46</t>
        </is>
      </c>
    </row>
    <row r="1975">
      <c r="A1975" s="2" t="inlineStr">
        <is>
          <t>F1974</t>
        </is>
      </c>
      <c r="B1975" s="2" t="inlineStr">
        <is>
          <t>market</t>
        </is>
      </c>
      <c r="C1975" s="2" t="inlineStr">
        <is>
          <t>permit</t>
        </is>
      </c>
      <c r="D1975" s="3" t="inlineStr">
        <is>
          <t>Certification, licence, permit or patent: item; issuer; expiry; register</t>
        </is>
      </c>
      <c r="E1975" s="2" t="n"/>
      <c r="F1975" s="2" t="n"/>
      <c r="G1975" s="2" t="n"/>
      <c r="H1975" s="3" t="inlineStr">
        <is>
          <t>item: 68 building permits secured in H1 2026 (+89% year-on-year); issuer: local authorities</t>
        </is>
      </c>
      <c r="I1975" s="2" t="inlineStr">
        <is>
          <t>S4</t>
        </is>
      </c>
      <c r="J1975" s="2" t="n">
        <v>8</v>
      </c>
      <c r="K1975" s="3" t="inlineStr">
        <is>
          <t>We also secured 68 building permits, an increase of 89% year-on-year</t>
        </is>
      </c>
      <c r="L1975" s="2" t="inlineStr">
        <is>
          <t>pend</t>
        </is>
      </c>
      <c r="M1975" s="2" t="n"/>
      <c r="N1975" s="2" t="n"/>
      <c r="O1975" s="3" t="inlineStr">
        <is>
          <t>https://vanillabonds.com/dossier-data/pdf/fastned/fastned-h1-2026-interim-report.pdf#page=8</t>
        </is>
      </c>
    </row>
    <row r="1976">
      <c r="A1976" s="2" t="inlineStr">
        <is>
          <t>F1975</t>
        </is>
      </c>
      <c r="B1976" s="2" t="inlineStr">
        <is>
          <t>market</t>
        </is>
      </c>
      <c r="C1976" s="2" t="inlineStr">
        <is>
          <t>permit</t>
        </is>
      </c>
      <c r="D1976" s="3" t="inlineStr">
        <is>
          <t>Certification, licence, permit or patent: item; issuer; expiry; register</t>
        </is>
      </c>
      <c r="E1976" s="2" t="n"/>
      <c r="F1976" s="2" t="n"/>
      <c r="G1976" s="2" t="n"/>
      <c r="H1976" s="3" t="inlineStr">
        <is>
          <t>item: CO2 Performance Ladder Level 2 certification (of three levels); issuer: independent third-party audit under SKAO handbook; expiry: recertification late 2026</t>
        </is>
      </c>
      <c r="I1976" s="2" t="inlineStr">
        <is>
          <t>S4</t>
        </is>
      </c>
      <c r="J1976" s="2" t="n">
        <v>16</v>
      </c>
      <c r="K1976" s="3" t="inlineStr">
        <is>
          <t>This means that Fastned will attempt to maintain its Level 2 certification (out of three levels).</t>
        </is>
      </c>
      <c r="L1976" s="2" t="inlineStr">
        <is>
          <t>pend</t>
        </is>
      </c>
      <c r="M1976" s="2" t="n"/>
      <c r="N1976" s="2" t="n"/>
      <c r="O1976" s="3" t="inlineStr">
        <is>
          <t>https://vanillabonds.com/dossier-data/pdf/fastned/fastned-h1-2026-interim-report.pdf#page=16</t>
        </is>
      </c>
    </row>
    <row r="1977">
      <c r="A1977" s="2" t="inlineStr">
        <is>
          <t>F1976</t>
        </is>
      </c>
      <c r="B1977" s="2" t="inlineStr">
        <is>
          <t>financials</t>
        </is>
      </c>
      <c r="C1977" s="2" t="inlineStr">
        <is>
          <t>addback_item</t>
        </is>
      </c>
      <c r="D1977" s="3" t="inlineStr">
        <is>
          <t>EBITDA add-back: item; amount; justification as given by the company</t>
        </is>
      </c>
      <c r="E1977" s="2" t="inlineStr">
        <is>
          <t>H1-2024</t>
        </is>
      </c>
      <c r="F1977" s="2" t="n">
        <v>10.9</v>
      </c>
      <c r="G1977" s="2" t="n"/>
      <c r="H1977" s="3" t="inlineStr">
        <is>
          <t>item: network expansion costs (excluded from Operational EBITDA); amount: 10.9</t>
        </is>
      </c>
      <c r="I1977" s="2" t="inlineStr">
        <is>
          <t>S4</t>
        </is>
      </c>
      <c r="J1977" s="2" t="n">
        <v>17</v>
      </c>
      <c r="K1977" s="3" t="inlineStr">
        <is>
          <t>Network expansion costs (22.9) (16.3) (10.9) 40%</t>
        </is>
      </c>
      <c r="L1977" s="2" t="inlineStr">
        <is>
          <t>pend</t>
        </is>
      </c>
      <c r="M1977" s="2" t="n"/>
      <c r="N1977" s="2" t="n"/>
      <c r="O1977" s="3" t="inlineStr">
        <is>
          <t>https://vanillabonds.com/dossier-data/pdf/fastned/fastned-h1-2026-interim-report.pdf#page=17</t>
        </is>
      </c>
    </row>
    <row r="1978">
      <c r="A1978" s="2" t="inlineStr">
        <is>
          <t>F1977</t>
        </is>
      </c>
      <c r="B1978" s="2" t="inlineStr">
        <is>
          <t>financials</t>
        </is>
      </c>
      <c r="C1978" s="2" t="inlineStr">
        <is>
          <t>addback_item</t>
        </is>
      </c>
      <c r="D1978" s="3" t="inlineStr">
        <is>
          <t>EBITDA add-back: item; amount; justification as given by the company</t>
        </is>
      </c>
      <c r="E1978" s="2" t="inlineStr">
        <is>
          <t>H1-2025</t>
        </is>
      </c>
      <c r="F1978" s="2" t="n">
        <v>16.3</v>
      </c>
      <c r="G1978" s="2" t="n"/>
      <c r="H1978" s="3" t="inlineStr">
        <is>
          <t>item: network expansion costs (excluded from Operational EBITDA); amount: 16.3</t>
        </is>
      </c>
      <c r="I1978" s="2" t="inlineStr">
        <is>
          <t>S4</t>
        </is>
      </c>
      <c r="J1978" s="2" t="n">
        <v>17</v>
      </c>
      <c r="K1978" s="3" t="inlineStr">
        <is>
          <t>Network expansion costs (22.9) (16.3) (10.9) 40%</t>
        </is>
      </c>
      <c r="L1978" s="2" t="inlineStr">
        <is>
          <t>pend</t>
        </is>
      </c>
      <c r="M1978" s="2" t="n"/>
      <c r="N1978" s="2" t="n"/>
      <c r="O1978" s="3" t="inlineStr">
        <is>
          <t>https://vanillabonds.com/dossier-data/pdf/fastned/fastned-h1-2026-interim-report.pdf#page=17</t>
        </is>
      </c>
    </row>
    <row r="1979">
      <c r="A1979" s="2" t="inlineStr">
        <is>
          <t>F1978</t>
        </is>
      </c>
      <c r="B1979" s="2" t="inlineStr">
        <is>
          <t>financials</t>
        </is>
      </c>
      <c r="C1979" s="2" t="inlineStr">
        <is>
          <t>addback_item</t>
        </is>
      </c>
      <c r="D1979" s="3" t="inlineStr">
        <is>
          <t>EBITDA add-back: item; amount; justification as given by the company</t>
        </is>
      </c>
      <c r="E1979" s="2" t="inlineStr">
        <is>
          <t>H1-2025</t>
        </is>
      </c>
      <c r="F1979" s="2" t="n">
        <v>0.1</v>
      </c>
      <c r="G1979" s="2" t="n"/>
      <c r="H1979" s="3" t="inlineStr">
        <is>
          <t>item: non-cash provisions (excluded from Operational EBITDA); amount: 0.1</t>
        </is>
      </c>
      <c r="I1979" s="2" t="inlineStr">
        <is>
          <t>S4</t>
        </is>
      </c>
      <c r="J1979" s="2" t="n">
        <v>17</v>
      </c>
      <c r="K1979" s="2" t="inlineStr">
        <is>
          <t>Non-cash provisions (0.8) (0.1) (0.7)</t>
        </is>
      </c>
      <c r="L1979" s="2" t="inlineStr">
        <is>
          <t>pend</t>
        </is>
      </c>
      <c r="M1979" s="2" t="n"/>
      <c r="N1979" s="2" t="n"/>
      <c r="O1979" s="3" t="inlineStr">
        <is>
          <t>https://vanillabonds.com/dossier-data/pdf/fastned/fastned-h1-2026-interim-report.pdf#page=17</t>
        </is>
      </c>
    </row>
    <row r="1980">
      <c r="A1980" s="2" t="inlineStr">
        <is>
          <t>F1979</t>
        </is>
      </c>
      <c r="B1980" s="2" t="inlineStr">
        <is>
          <t>financials</t>
        </is>
      </c>
      <c r="C1980" s="2" t="inlineStr">
        <is>
          <t>addback_item</t>
        </is>
      </c>
      <c r="D1980" s="3" t="inlineStr">
        <is>
          <t>EBITDA add-back: item; amount; justification as given by the company</t>
        </is>
      </c>
      <c r="E1980" s="2" t="inlineStr">
        <is>
          <t>H1-2026</t>
        </is>
      </c>
      <c r="F1980" s="2" t="n">
        <v>22.9</v>
      </c>
      <c r="G1980" s="2" t="n"/>
      <c r="H1980" s="3" t="inlineStr">
        <is>
          <t>item: network expansion costs (excluded from Operational EBITDA); amount: 22.9; justification: company defines them as salaries and overhead for network development, site acquisition, design, construction engineering and IT</t>
        </is>
      </c>
      <c r="I1980" s="2" t="inlineStr">
        <is>
          <t>S4</t>
        </is>
      </c>
      <c r="J1980" s="2" t="n">
        <v>17</v>
      </c>
      <c r="K1980" s="3" t="inlineStr">
        <is>
          <t>Network expansion costs (22.9) (16.3) (10.9) 40%</t>
        </is>
      </c>
      <c r="L1980" s="2" t="inlineStr">
        <is>
          <t>pend</t>
        </is>
      </c>
      <c r="M1980" s="2" t="n"/>
      <c r="N1980" s="2" t="n"/>
      <c r="O1980" s="3" t="inlineStr">
        <is>
          <t>https://vanillabonds.com/dossier-data/pdf/fastned/fastned-h1-2026-interim-report.pdf#page=17</t>
        </is>
      </c>
    </row>
    <row r="1981">
      <c r="A1981" s="2" t="inlineStr">
        <is>
          <t>F1980</t>
        </is>
      </c>
      <c r="B1981" s="2" t="inlineStr">
        <is>
          <t>financials</t>
        </is>
      </c>
      <c r="C1981" s="2" t="inlineStr">
        <is>
          <t>addback_item</t>
        </is>
      </c>
      <c r="D1981" s="3" t="inlineStr">
        <is>
          <t>EBITDA add-back: item; amount; justification as given by the company</t>
        </is>
      </c>
      <c r="E1981" s="2" t="inlineStr">
        <is>
          <t>H1-2026</t>
        </is>
      </c>
      <c r="F1981" s="2" t="n">
        <v>0.8</v>
      </c>
      <c r="G1981" s="2" t="n"/>
      <c r="H1981" s="3" t="inlineStr">
        <is>
          <t>item: non-cash provisions (excluded from Operational EBITDA); amount: 0.8</t>
        </is>
      </c>
      <c r="I1981" s="2" t="inlineStr">
        <is>
          <t>S4</t>
        </is>
      </c>
      <c r="J1981" s="2" t="n">
        <v>17</v>
      </c>
      <c r="K1981" s="2" t="inlineStr">
        <is>
          <t>Non-cash provisions (0.8) (0.1) (0.7)</t>
        </is>
      </c>
      <c r="L1981" s="2" t="inlineStr">
        <is>
          <t>pend</t>
        </is>
      </c>
      <c r="M1981" s="2" t="n"/>
      <c r="N1981" s="2" t="n"/>
      <c r="O1981" s="3" t="inlineStr">
        <is>
          <t>https://vanillabonds.com/dossier-data/pdf/fastned/fastned-h1-2026-interim-report.pdf#page=17</t>
        </is>
      </c>
    </row>
    <row r="1982">
      <c r="A1982" s="2" t="inlineStr">
        <is>
          <t>F1981</t>
        </is>
      </c>
      <c r="B1982" s="2" t="inlineStr">
        <is>
          <t>financials</t>
        </is>
      </c>
      <c r="C1982" s="2" t="inlineStr">
        <is>
          <t>one_off</t>
        </is>
      </c>
      <c r="D1982" s="3" t="inlineStr">
        <is>
          <t>One-off item: item; amount; recurrence (years in which it recurred)</t>
        </is>
      </c>
      <c r="E1982" s="2" t="inlineStr">
        <is>
          <t>H1-2025</t>
        </is>
      </c>
      <c r="F1982" s="2" t="n">
        <v>1.6</v>
      </c>
      <c r="G1982" s="2" t="n"/>
      <c r="H1982" s="3" t="inlineStr">
        <is>
          <t>item: exceptional items (construction services); amount: 1.6; recurrence: H1 2024 0.1</t>
        </is>
      </c>
      <c r="I1982" s="2" t="inlineStr">
        <is>
          <t>S4</t>
        </is>
      </c>
      <c r="J1982" s="2" t="n">
        <v>17</v>
      </c>
      <c r="K1982" s="2" t="inlineStr">
        <is>
          <t>Exceptional items 2.2 1.6 0.1</t>
        </is>
      </c>
      <c r="L1982" s="2" t="inlineStr">
        <is>
          <t>pend</t>
        </is>
      </c>
      <c r="M1982" s="2" t="n"/>
      <c r="N1982" s="2" t="n"/>
      <c r="O1982" s="3" t="inlineStr">
        <is>
          <t>https://vanillabonds.com/dossier-data/pdf/fastned/fastned-h1-2026-interim-report.pdf#page=17</t>
        </is>
      </c>
    </row>
    <row r="1983">
      <c r="A1983" s="2" t="inlineStr">
        <is>
          <t>F1982</t>
        </is>
      </c>
      <c r="B1983" s="2" t="inlineStr">
        <is>
          <t>financials</t>
        </is>
      </c>
      <c r="C1983" s="2" t="inlineStr">
        <is>
          <t>one_off</t>
        </is>
      </c>
      <c r="D1983" s="3" t="inlineStr">
        <is>
          <t>One-off item: item; amount; recurrence (years in which it recurred)</t>
        </is>
      </c>
      <c r="E1983" s="2" t="inlineStr">
        <is>
          <t>H1-2026</t>
        </is>
      </c>
      <c r="F1983" s="2" t="n">
        <v>2.2</v>
      </c>
      <c r="G1983" s="2" t="n"/>
      <c r="H1983" s="3" t="inlineStr">
        <is>
          <t>item: exceptional items relating to construction services (German highway tender), excluded from underlying EBITDA; amount: 2.2; recurrence: H1 2025 1.6, H1 2024 0.1</t>
        </is>
      </c>
      <c r="I1983" s="2" t="inlineStr">
        <is>
          <t>S4</t>
        </is>
      </c>
      <c r="J1983" s="2" t="n">
        <v>18</v>
      </c>
      <c r="K1983" s="3" t="inlineStr">
        <is>
          <t>Exceptional items relating to construction services during the period were €2.2 million (H1 2025: €1.6 million).</t>
        </is>
      </c>
      <c r="L1983" s="2" t="inlineStr">
        <is>
          <t>pend</t>
        </is>
      </c>
      <c r="M1983" s="2" t="n"/>
      <c r="N1983" s="2" t="n"/>
      <c r="O1983" s="3" t="inlineStr">
        <is>
          <t>https://vanillabonds.com/dossier-data/pdf/fastned/fastned-h1-2026-interim-report.pdf#page=18</t>
        </is>
      </c>
    </row>
    <row r="1984">
      <c r="A1984" s="2" t="inlineStr">
        <is>
          <t>F1983</t>
        </is>
      </c>
      <c r="B1984" s="2" t="inlineStr">
        <is>
          <t>financials</t>
        </is>
      </c>
      <c r="C1984" s="2" t="inlineStr">
        <is>
          <t>one_off</t>
        </is>
      </c>
      <c r="D1984" s="3" t="inlineStr">
        <is>
          <t>One-off item: item; amount; recurrence (years in which it recurred)</t>
        </is>
      </c>
      <c r="E1984" s="2" t="inlineStr">
        <is>
          <t>H1-2026</t>
        </is>
      </c>
      <c r="F1984" s="2" t="n">
        <v>5</v>
      </c>
      <c r="G1984" s="2" t="n"/>
      <c r="H1984" s="3" t="inlineStr">
        <is>
          <t>item: Dutch Q1 2026 e-credits not recognised as revenue because the government registry was unavailable, to be recognised in Q3 2026; amount: 5.0; recurrence: none stated; no gross-profit effect</t>
        </is>
      </c>
      <c r="I1984" s="2" t="inlineStr">
        <is>
          <t>S4</t>
        </is>
      </c>
      <c r="J1984" s="2" t="n">
        <v>18</v>
      </c>
      <c r="K1984" s="3" t="inlineStr">
        <is>
          <t>The reported revenue for the first half of 2026 is negatively influenced by approximately €5 million relating to Dutch e-credits for the first quarter of 2026.</t>
        </is>
      </c>
      <c r="L1984" s="2" t="inlineStr">
        <is>
          <t>pend</t>
        </is>
      </c>
      <c r="M1984" s="2" t="n"/>
      <c r="N1984" s="2" t="n"/>
      <c r="O1984" s="3" t="inlineStr">
        <is>
          <t>https://vanillabonds.com/dossier-data/pdf/fastned/fastned-h1-2026-interim-report.pdf#page=18</t>
        </is>
      </c>
    </row>
    <row r="1985">
      <c r="A1985" s="2" t="inlineStr">
        <is>
          <t>F1984</t>
        </is>
      </c>
      <c r="B1985" s="2" t="inlineStr">
        <is>
          <t>financials</t>
        </is>
      </c>
      <c r="C1985" s="2" t="inlineStr">
        <is>
          <t>offbalance_item</t>
        </is>
      </c>
      <c r="D1985" s="3" t="inlineStr">
        <is>
          <t>Off-balance item: kind (lease, factoring, guarantee given, pension deficit, earn-out, litigation provision); amount; counterparty</t>
        </is>
      </c>
      <c r="E1985" s="2" t="inlineStr">
        <is>
          <t>FY2025</t>
        </is>
      </c>
      <c r="F1985" s="2" t="n">
        <v>15.9</v>
      </c>
      <c r="G1985" s="2" t="n"/>
      <c r="H1985" s="3" t="inlineStr">
        <is>
          <t>kind: guarantee given (bank guarantees drawn under EUR 17m facility); amount: 15.9</t>
        </is>
      </c>
      <c r="I1985" s="2" t="inlineStr">
        <is>
          <t>S4</t>
        </is>
      </c>
      <c r="J1985" s="2" t="n">
        <v>48</v>
      </c>
      <c r="K1985" s="3" t="inlineStr">
        <is>
          <t>At 30 June 2026 the drawn amount was €16.0 million (31 December 2025: €15.9 million).</t>
        </is>
      </c>
      <c r="L1985" s="2" t="inlineStr">
        <is>
          <t>pend</t>
        </is>
      </c>
      <c r="M1985" s="2" t="n"/>
      <c r="N1985" s="2" t="n"/>
      <c r="O1985" s="3" t="inlineStr">
        <is>
          <t>https://vanillabonds.com/dossier-data/pdf/fastned/fastned-h1-2026-interim-report.pdf#page=48</t>
        </is>
      </c>
    </row>
    <row r="1986">
      <c r="A1986" s="2" t="inlineStr">
        <is>
          <t>F1985</t>
        </is>
      </c>
      <c r="B1986" s="2" t="inlineStr">
        <is>
          <t>financials</t>
        </is>
      </c>
      <c r="C1986" s="2" t="inlineStr">
        <is>
          <t>offbalance_item</t>
        </is>
      </c>
      <c r="D1986" s="3" t="inlineStr">
        <is>
          <t>Off-balance item: kind (lease, factoring, guarantee given, pension deficit, earn-out, litigation provision); amount; counterparty</t>
        </is>
      </c>
      <c r="E1986" s="2" t="inlineStr">
        <is>
          <t>FY2025</t>
        </is>
      </c>
      <c r="F1986" s="2" t="n">
        <v>65</v>
      </c>
      <c r="G1986" s="2" t="n"/>
      <c r="H1986" s="3" t="inlineStr">
        <is>
          <t>kind: energy purchase commitment (Power Purchase Agreements); amount: 65.0</t>
        </is>
      </c>
      <c r="I1986" s="2" t="inlineStr">
        <is>
          <t>S4</t>
        </is>
      </c>
      <c r="J1986" s="2" t="n">
        <v>48</v>
      </c>
      <c r="K1986" s="3" t="inlineStr">
        <is>
          <t>The Group has estimated energy purchase commitments of €64 million (31 December 2025: €65 million) under Power Purchase Agreements</t>
        </is>
      </c>
      <c r="L1986" s="2" t="inlineStr">
        <is>
          <t>pend</t>
        </is>
      </c>
      <c r="M1986" s="2" t="n"/>
      <c r="N1986" s="2" t="n"/>
      <c r="O1986" s="3" t="inlineStr">
        <is>
          <t>https://vanillabonds.com/dossier-data/pdf/fastned/fastned-h1-2026-interim-report.pdf#page=48</t>
        </is>
      </c>
    </row>
    <row r="1987">
      <c r="A1987" s="2" t="inlineStr">
        <is>
          <t>F1986</t>
        </is>
      </c>
      <c r="B1987" s="2" t="inlineStr">
        <is>
          <t>financials</t>
        </is>
      </c>
      <c r="C1987" s="2" t="inlineStr">
        <is>
          <t>offbalance_item</t>
        </is>
      </c>
      <c r="D1987" s="3" t="inlineStr">
        <is>
          <t>Off-balance item: kind (lease, factoring, guarantee given, pension deficit, earn-out, litigation provision); amount; counterparty</t>
        </is>
      </c>
      <c r="E1987" s="2" t="inlineStr">
        <is>
          <t>FY2025</t>
        </is>
      </c>
      <c r="F1987" s="2" t="n">
        <v>34.5</v>
      </c>
      <c r="G1987" s="2" t="n"/>
      <c r="H1987" s="3" t="inlineStr">
        <is>
          <t>kind: capital commitment (stations under construction, suppliers); amount: 34.5</t>
        </is>
      </c>
      <c r="I1987" s="2" t="inlineStr">
        <is>
          <t>S4</t>
        </is>
      </c>
      <c r="J1987" s="2" t="n">
        <v>48</v>
      </c>
      <c r="K1987" s="3" t="inlineStr">
        <is>
          <t>Outstanding commitments at 30 June 2026 amounted to approximately €38.1 million (31 December 2025: €34.5 million).</t>
        </is>
      </c>
      <c r="L1987" s="2" t="inlineStr">
        <is>
          <t>pend</t>
        </is>
      </c>
      <c r="M1987" s="2" t="n"/>
      <c r="N1987" s="2" t="n"/>
      <c r="O1987" s="3" t="inlineStr">
        <is>
          <t>https://vanillabonds.com/dossier-data/pdf/fastned/fastned-h1-2026-interim-report.pdf#page=48</t>
        </is>
      </c>
    </row>
    <row r="1988">
      <c r="A1988" s="2" t="inlineStr">
        <is>
          <t>F1987</t>
        </is>
      </c>
      <c r="B1988" s="2" t="inlineStr">
        <is>
          <t>financials</t>
        </is>
      </c>
      <c r="C1988" s="2" t="inlineStr">
        <is>
          <t>offbalance_item</t>
        </is>
      </c>
      <c r="D1988" s="3" t="inlineStr">
        <is>
          <t>Off-balance item: kind (lease, factoring, guarantee given, pension deficit, earn-out, litigation provision); amount; counterparty</t>
        </is>
      </c>
      <c r="E1988" s="2" t="inlineStr">
        <is>
          <t>H1-2026</t>
        </is>
      </c>
      <c r="F1988" s="2" t="n">
        <v>16</v>
      </c>
      <c r="G1988" s="2" t="n"/>
      <c r="H1988" s="3" t="inlineStr">
        <is>
          <t>kind: guarantee given (bank guarantees drawn under EUR 20m facility); amount: 16.0; counterparty: not named; 13.4 expires end 2029, 0.2 between 2032 and 2040, 2.3 open-ended</t>
        </is>
      </c>
      <c r="I1988" s="2" t="inlineStr">
        <is>
          <t>S4</t>
        </is>
      </c>
      <c r="J1988" s="2" t="n">
        <v>48</v>
      </c>
      <c r="K1988" s="3" t="inlineStr">
        <is>
          <t>At 30 June 2026 the drawn amount was €16.0 million (31 December 2025: €15.9 million).</t>
        </is>
      </c>
      <c r="L1988" s="2" t="inlineStr">
        <is>
          <t>pend</t>
        </is>
      </c>
      <c r="M1988" s="2" t="n"/>
      <c r="N1988" s="2" t="n"/>
      <c r="O1988" s="3" t="inlineStr">
        <is>
          <t>https://vanillabonds.com/dossier-data/pdf/fastned/fastned-h1-2026-interim-report.pdf#page=48</t>
        </is>
      </c>
    </row>
    <row r="1989">
      <c r="A1989" s="2" t="inlineStr">
        <is>
          <t>F1988</t>
        </is>
      </c>
      <c r="B1989" s="2" t="inlineStr">
        <is>
          <t>financials</t>
        </is>
      </c>
      <c r="C1989" s="2" t="inlineStr">
        <is>
          <t>offbalance_item</t>
        </is>
      </c>
      <c r="D1989" s="3" t="inlineStr">
        <is>
          <t>Off-balance item: kind (lease, factoring, guarantee given, pension deficit, earn-out, litigation provision); amount; counterparty</t>
        </is>
      </c>
      <c r="E1989" s="2" t="inlineStr">
        <is>
          <t>H1-2026</t>
        </is>
      </c>
      <c r="F1989" s="2" t="n">
        <v>64</v>
      </c>
      <c r="G1989" s="2" t="n"/>
      <c r="H1989" s="3" t="inlineStr">
        <is>
          <t>kind: energy purchase commitment (Power Purchase Agreements); amount: 64.0; counterparty: not named; 2.5 due in 2026, 27.5 in 1-5 years, 34.0 after 5 years</t>
        </is>
      </c>
      <c r="I1989" s="2" t="inlineStr">
        <is>
          <t>S4</t>
        </is>
      </c>
      <c r="J1989" s="2" t="n">
        <v>48</v>
      </c>
      <c r="K1989" s="3" t="inlineStr">
        <is>
          <t>The Group has estimated energy purchase commitments of €64 million (31 December 2025: €65 million) under Power Purchase Agreements</t>
        </is>
      </c>
      <c r="L1989" s="2" t="inlineStr">
        <is>
          <t>pend</t>
        </is>
      </c>
      <c r="M1989" s="2" t="n"/>
      <c r="N1989" s="2" t="n"/>
      <c r="O1989" s="3" t="inlineStr">
        <is>
          <t>https://vanillabonds.com/dossier-data/pdf/fastned/fastned-h1-2026-interim-report.pdf#page=48</t>
        </is>
      </c>
    </row>
    <row r="1990">
      <c r="A1990" s="2" t="inlineStr">
        <is>
          <t>F1989</t>
        </is>
      </c>
      <c r="B1990" s="2" t="inlineStr">
        <is>
          <t>financials</t>
        </is>
      </c>
      <c r="C1990" s="2" t="inlineStr">
        <is>
          <t>offbalance_item</t>
        </is>
      </c>
      <c r="D1990" s="3" t="inlineStr">
        <is>
          <t>Off-balance item: kind (lease, factoring, guarantee given, pension deficit, earn-out, litigation provision); amount; counterparty</t>
        </is>
      </c>
      <c r="E1990" s="2" t="inlineStr">
        <is>
          <t>H1-2026</t>
        </is>
      </c>
      <c r="F1990" s="2" t="n">
        <v>38.1</v>
      </c>
      <c r="G1990" s="2" t="n"/>
      <c r="H1990" s="3" t="inlineStr">
        <is>
          <t>kind: capital commitment (stations under construction, suppliers); amount: 38.1</t>
        </is>
      </c>
      <c r="I1990" s="2" t="inlineStr">
        <is>
          <t>S4</t>
        </is>
      </c>
      <c r="J1990" s="2" t="n">
        <v>48</v>
      </c>
      <c r="K1990" s="3" t="inlineStr">
        <is>
          <t>Outstanding commitments at 30 June 2026 amounted to approximately €38.1 million (31 December 2025: €34.5 million).</t>
        </is>
      </c>
      <c r="L1990" s="2" t="inlineStr">
        <is>
          <t>pend</t>
        </is>
      </c>
      <c r="M1990" s="2" t="n"/>
      <c r="N1990" s="2" t="n"/>
      <c r="O1990" s="3" t="inlineStr">
        <is>
          <t>https://vanillabonds.com/dossier-data/pdf/fastned/fastned-h1-2026-interim-report.pdf#page=48</t>
        </is>
      </c>
    </row>
    <row r="1991">
      <c r="A1991" s="2" t="inlineStr">
        <is>
          <t>F1990</t>
        </is>
      </c>
      <c r="B1991" s="2" t="inlineStr">
        <is>
          <t>financials</t>
        </is>
      </c>
      <c r="C1991" s="2" t="inlineStr">
        <is>
          <t>audit_adjustment</t>
        </is>
      </c>
      <c r="D1991" s="3" t="inlineStr">
        <is>
          <t>Audit facts: adjustments (number); management_letter_points (number); restatements; key_audit_matters</t>
        </is>
      </c>
      <c r="E1991" s="2" t="inlineStr">
        <is>
          <t>H1-2025</t>
        </is>
      </c>
      <c r="F1991" s="2" t="n"/>
      <c r="G1991" s="2" t="n"/>
      <c r="H1991" s="3" t="inlineStr">
        <is>
          <t>restatements: H1 2025 comparatives restated for the renewable energy units policy adopted in 2025 (revenue -0.8, cost of sales +0.8; no effect on operating loss, net loss, EPS or equity)</t>
        </is>
      </c>
      <c r="I1991" s="2" t="inlineStr">
        <is>
          <t>S4</t>
        </is>
      </c>
      <c r="J1991" s="2" t="n">
        <v>33</v>
      </c>
      <c r="K1991" s="3" t="inlineStr">
        <is>
          <t>As a result, the comparative information for the six months ended 30 June 2025 has been restated.</t>
        </is>
      </c>
      <c r="L1991" s="2" t="inlineStr">
        <is>
          <t>pend</t>
        </is>
      </c>
      <c r="M1991" s="2" t="n"/>
      <c r="N1991" s="2" t="n"/>
      <c r="O1991" s="3" t="inlineStr">
        <is>
          <t>https://vanillabonds.com/dossier-data/pdf/fastned/fastned-h1-2026-interim-report.pdf#page=33</t>
        </is>
      </c>
    </row>
    <row r="1992">
      <c r="A1992" s="2" t="inlineStr">
        <is>
          <t>F1991</t>
        </is>
      </c>
      <c r="B1992" s="2" t="inlineStr">
        <is>
          <t>financials</t>
        </is>
      </c>
      <c r="C1992" s="2" t="inlineStr">
        <is>
          <t>audit_adjustment</t>
        </is>
      </c>
      <c r="D1992" s="3" t="inlineStr">
        <is>
          <t>Audit facts: adjustments (number); management_letter_points (number); restatements; key_audit_matters</t>
        </is>
      </c>
      <c r="E1992" s="2" t="inlineStr">
        <is>
          <t>H1-2026</t>
        </is>
      </c>
      <c r="F1992" s="2" t="n"/>
      <c r="G1992" s="2" t="n"/>
      <c r="H1992" s="3" t="inlineStr">
        <is>
          <t>key_audit_matters: none, interim statements unaudited and not reviewed; non-IFRS measures not audited or reviewed</t>
        </is>
      </c>
      <c r="I1992" s="2" t="inlineStr">
        <is>
          <t>S4</t>
        </is>
      </c>
      <c r="J1992" s="2" t="n">
        <v>20</v>
      </c>
      <c r="K1992" s="3" t="inlineStr">
        <is>
          <t>underlying performance of the business and operations and therefore have and will not be audited or reviewed.</t>
        </is>
      </c>
      <c r="L1992" s="2" t="inlineStr">
        <is>
          <t>pend</t>
        </is>
      </c>
      <c r="M1992" s="2" t="n"/>
      <c r="N1992" s="2" t="n"/>
      <c r="O1992" s="3" t="inlineStr">
        <is>
          <t>https://vanillabonds.com/dossier-data/pdf/fastned/fastned-h1-2026-interim-report.pdf#page=20</t>
        </is>
      </c>
    </row>
    <row r="1993">
      <c r="A1993" s="2" t="inlineStr">
        <is>
          <t>F1992</t>
        </is>
      </c>
      <c r="B1993" s="2" t="inlineStr">
        <is>
          <t>financials</t>
        </is>
      </c>
      <c r="C1993" s="2" t="inlineStr">
        <is>
          <t>filing_days</t>
        </is>
      </c>
      <c r="D1993" s="3" t="inlineStr">
        <is>
          <t>Days from year end to filing of the accounts</t>
        </is>
      </c>
      <c r="E1993" s="2" t="inlineStr">
        <is>
          <t>H1-2026</t>
        </is>
      </c>
      <c r="F1993" s="2" t="n">
        <v>37</v>
      </c>
      <c r="G1993" s="2" t="n"/>
      <c r="H1993" s="3" t="inlineStr">
        <is>
          <t>30 June 2026 to directors' authorisation 6 August 2026 (publication 13 August 2026 = 44 days); no auditor's report</t>
        </is>
      </c>
      <c r="I1993" s="2" t="inlineStr">
        <is>
          <t>S4</t>
        </is>
      </c>
      <c r="J1993" s="2" t="n">
        <v>32</v>
      </c>
      <c r="K1993" s="3" t="inlineStr">
        <is>
          <t>were authorised for issue by the directors on 06 August 2026.</t>
        </is>
      </c>
      <c r="L1993" s="2" t="inlineStr">
        <is>
          <t>pend</t>
        </is>
      </c>
      <c r="M1993" s="2" t="n"/>
      <c r="N1993" s="2" t="n"/>
      <c r="O1993" s="3" t="inlineStr">
        <is>
          <t>https://vanillabonds.com/dossier-data/pdf/fastned/fastned-h1-2026-interim-report.pdf#page=32</t>
        </is>
      </c>
    </row>
    <row r="1994">
      <c r="A1994" s="2" t="inlineStr">
        <is>
          <t>F1993</t>
        </is>
      </c>
      <c r="B1994" s="2" t="inlineStr">
        <is>
          <t>financials</t>
        </is>
      </c>
      <c r="C1994" s="2" t="inlineStr">
        <is>
          <t>tax_item</t>
        </is>
      </c>
      <c r="D1994" s="3" t="inlineStr">
        <is>
          <t>Tax item: position, open assessment, dispute, ruling, payment-behaviour statement</t>
        </is>
      </c>
      <c r="E1994" s="2" t="n"/>
      <c r="F1994" s="2" t="n"/>
      <c r="G1994" s="2" t="n"/>
      <c r="H1994" s="3" t="inlineStr">
        <is>
          <t>No deferred tax asset recognised on tax losses carried forward; effective tax rate estimated at nil (H1 2025: nil); income tax expense EUR 2 thousand.</t>
        </is>
      </c>
      <c r="I1994" s="2" t="inlineStr">
        <is>
          <t>S4</t>
        </is>
      </c>
      <c r="J1994" s="2" t="n">
        <v>40</v>
      </c>
      <c r="K1994" s="3" t="inlineStr">
        <is>
          <t>As a result, the effective tax rate is estimated at nil (H1 2025: nil).</t>
        </is>
      </c>
      <c r="L1994" s="2" t="inlineStr">
        <is>
          <t>pend</t>
        </is>
      </c>
      <c r="M1994" s="2" t="n"/>
      <c r="N1994" s="2" t="n"/>
      <c r="O1994" s="3" t="inlineStr">
        <is>
          <t>https://vanillabonds.com/dossier-data/pdf/fastned/fastned-h1-2026-interim-report.pdf#page=40</t>
        </is>
      </c>
    </row>
    <row r="1995">
      <c r="A1995" s="2" t="inlineStr">
        <is>
          <t>F1994</t>
        </is>
      </c>
      <c r="B1995" s="2" t="inlineStr">
        <is>
          <t>financials</t>
        </is>
      </c>
      <c r="C1995" s="2" t="inlineStr">
        <is>
          <t>segment</t>
        </is>
      </c>
      <c r="D1995" s="3" t="inlineStr">
        <is>
          <t>Segment: segment; revenue; ebitda; assets</t>
        </is>
      </c>
      <c r="E1995" s="2" t="inlineStr">
        <is>
          <t>FY2025</t>
        </is>
      </c>
      <c r="F1995" s="2" t="n"/>
      <c r="G1995" s="2" t="n"/>
      <c r="H1995" s="3" t="inlineStr">
        <is>
          <t>segment: Netherlands; assets: 106.6 (non-current assets at 31 Dec 2025)</t>
        </is>
      </c>
      <c r="I1995" s="2" t="inlineStr">
        <is>
          <t>S4</t>
        </is>
      </c>
      <c r="J1995" s="2" t="n">
        <v>38</v>
      </c>
      <c r="K1995" s="3" t="inlineStr">
        <is>
          <t>106,567 41,478 54,842 60,077 64,819 41,164 368,947</t>
        </is>
      </c>
      <c r="L1995" s="2" t="inlineStr">
        <is>
          <t>pend</t>
        </is>
      </c>
      <c r="M1995" s="2" t="n"/>
      <c r="N1995" s="2" t="n"/>
      <c r="O1995" s="3" t="inlineStr">
        <is>
          <t>https://vanillabonds.com/dossier-data/pdf/fastned/fastned-h1-2026-interim-report.pdf#page=38</t>
        </is>
      </c>
    </row>
    <row r="1996">
      <c r="A1996" s="2" t="inlineStr">
        <is>
          <t>F1995</t>
        </is>
      </c>
      <c r="B1996" s="2" t="inlineStr">
        <is>
          <t>financials</t>
        </is>
      </c>
      <c r="C1996" s="2" t="inlineStr">
        <is>
          <t>segment</t>
        </is>
      </c>
      <c r="D1996" s="3" t="inlineStr">
        <is>
          <t>Segment: segment; revenue; ebitda; assets</t>
        </is>
      </c>
      <c r="E1996" s="2" t="inlineStr">
        <is>
          <t>FY2025</t>
        </is>
      </c>
      <c r="F1996" s="2" t="n"/>
      <c r="G1996" s="2" t="n"/>
      <c r="H1996" s="2" t="inlineStr">
        <is>
          <t>segment: Germany; assets: 41.5</t>
        </is>
      </c>
      <c r="I1996" s="2" t="inlineStr">
        <is>
          <t>S4</t>
        </is>
      </c>
      <c r="J1996" s="2" t="n">
        <v>38</v>
      </c>
      <c r="K1996" s="3" t="inlineStr">
        <is>
          <t>106,567 41,478 54,842 60,077 64,819 41,164 368,947</t>
        </is>
      </c>
      <c r="L1996" s="2" t="inlineStr">
        <is>
          <t>pend</t>
        </is>
      </c>
      <c r="M1996" s="2" t="n"/>
      <c r="N1996" s="2" t="n"/>
      <c r="O1996" s="3" t="inlineStr">
        <is>
          <t>https://vanillabonds.com/dossier-data/pdf/fastned/fastned-h1-2026-interim-report.pdf#page=38</t>
        </is>
      </c>
    </row>
    <row r="1997">
      <c r="A1997" s="2" t="inlineStr">
        <is>
          <t>F1996</t>
        </is>
      </c>
      <c r="B1997" s="2" t="inlineStr">
        <is>
          <t>financials</t>
        </is>
      </c>
      <c r="C1997" s="2" t="inlineStr">
        <is>
          <t>segment</t>
        </is>
      </c>
      <c r="D1997" s="3" t="inlineStr">
        <is>
          <t>Segment: segment; revenue; ebitda; assets</t>
        </is>
      </c>
      <c r="E1997" s="2" t="inlineStr">
        <is>
          <t>FY2025</t>
        </is>
      </c>
      <c r="F1997" s="2" t="n"/>
      <c r="G1997" s="2" t="n"/>
      <c r="H1997" s="2" t="inlineStr">
        <is>
          <t>segment: United Kingdom; assets: 54.8</t>
        </is>
      </c>
      <c r="I1997" s="2" t="inlineStr">
        <is>
          <t>S4</t>
        </is>
      </c>
      <c r="J1997" s="2" t="n">
        <v>38</v>
      </c>
      <c r="K1997" s="3" t="inlineStr">
        <is>
          <t>106,567 41,478 54,842 60,077 64,819 41,164 368,947</t>
        </is>
      </c>
      <c r="L1997" s="2" t="inlineStr">
        <is>
          <t>pend</t>
        </is>
      </c>
      <c r="M1997" s="2" t="n"/>
      <c r="N1997" s="2" t="n"/>
      <c r="O1997" s="3" t="inlineStr">
        <is>
          <t>https://vanillabonds.com/dossier-data/pdf/fastned/fastned-h1-2026-interim-report.pdf#page=38</t>
        </is>
      </c>
    </row>
    <row r="1998">
      <c r="A1998" s="2" t="inlineStr">
        <is>
          <t>F1997</t>
        </is>
      </c>
      <c r="B1998" s="2" t="inlineStr">
        <is>
          <t>financials</t>
        </is>
      </c>
      <c r="C1998" s="2" t="inlineStr">
        <is>
          <t>segment</t>
        </is>
      </c>
      <c r="D1998" s="3" t="inlineStr">
        <is>
          <t>Segment: segment; revenue; ebitda; assets</t>
        </is>
      </c>
      <c r="E1998" s="2" t="inlineStr">
        <is>
          <t>FY2025</t>
        </is>
      </c>
      <c r="F1998" s="2" t="n"/>
      <c r="G1998" s="2" t="n"/>
      <c r="H1998" s="2" t="inlineStr">
        <is>
          <t>segment: Belgium; assets: 60.1</t>
        </is>
      </c>
      <c r="I1998" s="2" t="inlineStr">
        <is>
          <t>S4</t>
        </is>
      </c>
      <c r="J1998" s="2" t="n">
        <v>38</v>
      </c>
      <c r="K1998" s="3" t="inlineStr">
        <is>
          <t>106,567 41,478 54,842 60,077 64,819 41,164 368,947</t>
        </is>
      </c>
      <c r="L1998" s="2" t="inlineStr">
        <is>
          <t>pend</t>
        </is>
      </c>
      <c r="M1998" s="2" t="n"/>
      <c r="N1998" s="2" t="n"/>
      <c r="O1998" s="3" t="inlineStr">
        <is>
          <t>https://vanillabonds.com/dossier-data/pdf/fastned/fastned-h1-2026-interim-report.pdf#page=38</t>
        </is>
      </c>
    </row>
    <row r="1999">
      <c r="A1999" s="2" t="inlineStr">
        <is>
          <t>F1998</t>
        </is>
      </c>
      <c r="B1999" s="2" t="inlineStr">
        <is>
          <t>financials</t>
        </is>
      </c>
      <c r="C1999" s="2" t="inlineStr">
        <is>
          <t>segment</t>
        </is>
      </c>
      <c r="D1999" s="3" t="inlineStr">
        <is>
          <t>Segment: segment; revenue; ebitda; assets</t>
        </is>
      </c>
      <c r="E1999" s="2" t="inlineStr">
        <is>
          <t>FY2025</t>
        </is>
      </c>
      <c r="F1999" s="2" t="n"/>
      <c r="G1999" s="2" t="n"/>
      <c r="H1999" s="2" t="inlineStr">
        <is>
          <t>segment: France; assets: 64.8</t>
        </is>
      </c>
      <c r="I1999" s="2" t="inlineStr">
        <is>
          <t>S4</t>
        </is>
      </c>
      <c r="J1999" s="2" t="n">
        <v>38</v>
      </c>
      <c r="K1999" s="3" t="inlineStr">
        <is>
          <t>106,567 41,478 54,842 60,077 64,819 41,164 368,947</t>
        </is>
      </c>
      <c r="L1999" s="2" t="inlineStr">
        <is>
          <t>pend</t>
        </is>
      </c>
      <c r="M1999" s="2" t="n"/>
      <c r="N1999" s="2" t="n"/>
      <c r="O1999" s="3" t="inlineStr">
        <is>
          <t>https://vanillabonds.com/dossier-data/pdf/fastned/fastned-h1-2026-interim-report.pdf#page=38</t>
        </is>
      </c>
    </row>
    <row r="2000">
      <c r="A2000" s="2" t="inlineStr">
        <is>
          <t>F1999</t>
        </is>
      </c>
      <c r="B2000" s="2" t="inlineStr">
        <is>
          <t>financials</t>
        </is>
      </c>
      <c r="C2000" s="2" t="inlineStr">
        <is>
          <t>segment</t>
        </is>
      </c>
      <c r="D2000" s="3" t="inlineStr">
        <is>
          <t>Segment: segment; revenue; ebitda; assets</t>
        </is>
      </c>
      <c r="E2000" s="2" t="inlineStr">
        <is>
          <t>FY2025</t>
        </is>
      </c>
      <c r="F2000" s="2" t="n"/>
      <c r="G2000" s="2" t="n"/>
      <c r="H2000" s="2" t="inlineStr">
        <is>
          <t>segment: Other Europe; assets: 41.2</t>
        </is>
      </c>
      <c r="I2000" s="2" t="inlineStr">
        <is>
          <t>S4</t>
        </is>
      </c>
      <c r="J2000" s="2" t="n">
        <v>38</v>
      </c>
      <c r="K2000" s="3" t="inlineStr">
        <is>
          <t>106,567 41,478 54,842 60,077 64,819 41,164 368,947</t>
        </is>
      </c>
      <c r="L2000" s="2" t="inlineStr">
        <is>
          <t>pend</t>
        </is>
      </c>
      <c r="M2000" s="2" t="n"/>
      <c r="N2000" s="2" t="n"/>
      <c r="O2000" s="3" t="inlineStr">
        <is>
          <t>https://vanillabonds.com/dossier-data/pdf/fastned/fastned-h1-2026-interim-report.pdf#page=38</t>
        </is>
      </c>
    </row>
    <row r="2001">
      <c r="A2001" s="2" t="inlineStr">
        <is>
          <t>F2000</t>
        </is>
      </c>
      <c r="B2001" s="2" t="inlineStr">
        <is>
          <t>financials</t>
        </is>
      </c>
      <c r="C2001" s="2" t="inlineStr">
        <is>
          <t>segment</t>
        </is>
      </c>
      <c r="D2001" s="3" t="inlineStr">
        <is>
          <t>Segment: segment; revenue; ebitda; assets</t>
        </is>
      </c>
      <c r="E2001" s="2" t="inlineStr">
        <is>
          <t>H1-2025</t>
        </is>
      </c>
      <c r="F2001" s="2" t="n">
        <v>32.7</v>
      </c>
      <c r="G2001" s="2" t="n"/>
      <c r="H2001" s="3" t="inlineStr">
        <is>
          <t>segment: Netherlands; revenue: 32.7; ebitda: 6.9</t>
        </is>
      </c>
      <c r="I2001" s="2" t="inlineStr">
        <is>
          <t>S4</t>
        </is>
      </c>
      <c r="J2001" s="2" t="n">
        <v>38</v>
      </c>
      <c r="K2001" s="3" t="inlineStr">
        <is>
          <t>6,936 340 (1,157) 261 (1,033) (2,319) 3,028</t>
        </is>
      </c>
      <c r="L2001" s="2" t="inlineStr">
        <is>
          <t>pend</t>
        </is>
      </c>
      <c r="M2001" s="2" t="n"/>
      <c r="N2001" s="2" t="n"/>
      <c r="O2001" s="3" t="inlineStr">
        <is>
          <t>https://vanillabonds.com/dossier-data/pdf/fastned/fastned-h1-2026-interim-report.pdf#page=38</t>
        </is>
      </c>
    </row>
    <row r="2002">
      <c r="A2002" s="2" t="inlineStr">
        <is>
          <t>F2001</t>
        </is>
      </c>
      <c r="B2002" s="2" t="inlineStr">
        <is>
          <t>financials</t>
        </is>
      </c>
      <c r="C2002" s="2" t="inlineStr">
        <is>
          <t>segment</t>
        </is>
      </c>
      <c r="D2002" s="3" t="inlineStr">
        <is>
          <t>Segment: segment; revenue; ebitda; assets</t>
        </is>
      </c>
      <c r="E2002" s="2" t="inlineStr">
        <is>
          <t>H1-2025</t>
        </is>
      </c>
      <c r="F2002" s="2" t="n">
        <v>9</v>
      </c>
      <c r="G2002" s="2" t="n"/>
      <c r="H2002" s="3" t="inlineStr">
        <is>
          <t>segment: Germany; revenue: 9.0 (charging 4.7, construction 4.3); ebitda: 0.3</t>
        </is>
      </c>
      <c r="I2002" s="2" t="inlineStr">
        <is>
          <t>S4</t>
        </is>
      </c>
      <c r="J2002" s="2" t="n">
        <v>38</v>
      </c>
      <c r="K2002" s="3" t="inlineStr">
        <is>
          <t>6,936 340 (1,157) 261 (1,033) (2,319) 3,028</t>
        </is>
      </c>
      <c r="L2002" s="2" t="inlineStr">
        <is>
          <t>pend</t>
        </is>
      </c>
      <c r="M2002" s="2" t="n"/>
      <c r="N2002" s="2" t="n"/>
      <c r="O2002" s="3" t="inlineStr">
        <is>
          <t>https://vanillabonds.com/dossier-data/pdf/fastned/fastned-h1-2026-interim-report.pdf#page=38</t>
        </is>
      </c>
    </row>
    <row r="2003">
      <c r="A2003" s="2" t="inlineStr">
        <is>
          <t>F2002</t>
        </is>
      </c>
      <c r="B2003" s="2" t="inlineStr">
        <is>
          <t>financials</t>
        </is>
      </c>
      <c r="C2003" s="2" t="inlineStr">
        <is>
          <t>segment</t>
        </is>
      </c>
      <c r="D2003" s="3" t="inlineStr">
        <is>
          <t>Segment: segment; revenue; ebitda; assets</t>
        </is>
      </c>
      <c r="E2003" s="2" t="inlineStr">
        <is>
          <t>H1-2025</t>
        </is>
      </c>
      <c r="F2003" s="2" t="n">
        <v>3.8</v>
      </c>
      <c r="G2003" s="2" t="n"/>
      <c r="H2003" s="3" t="inlineStr">
        <is>
          <t>segment: United Kingdom; revenue: 3.8; ebitda: -1.2</t>
        </is>
      </c>
      <c r="I2003" s="2" t="inlineStr">
        <is>
          <t>S4</t>
        </is>
      </c>
      <c r="J2003" s="2" t="n">
        <v>38</v>
      </c>
      <c r="K2003" s="3" t="inlineStr">
        <is>
          <t>6,936 340 (1,157) 261 (1,033) (2,319) 3,028</t>
        </is>
      </c>
      <c r="L2003" s="2" t="inlineStr">
        <is>
          <t>pend</t>
        </is>
      </c>
      <c r="M2003" s="2" t="n"/>
      <c r="N2003" s="2" t="n"/>
      <c r="O2003" s="3" t="inlineStr">
        <is>
          <t>https://vanillabonds.com/dossier-data/pdf/fastned/fastned-h1-2026-interim-report.pdf#page=38</t>
        </is>
      </c>
    </row>
    <row r="2004">
      <c r="A2004" s="2" t="inlineStr">
        <is>
          <t>F2003</t>
        </is>
      </c>
      <c r="B2004" s="2" t="inlineStr">
        <is>
          <t>financials</t>
        </is>
      </c>
      <c r="C2004" s="2" t="inlineStr">
        <is>
          <t>segment</t>
        </is>
      </c>
      <c r="D2004" s="3" t="inlineStr">
        <is>
          <t>Segment: segment; revenue; ebitda; assets</t>
        </is>
      </c>
      <c r="E2004" s="2" t="inlineStr">
        <is>
          <t>H1-2025</t>
        </is>
      </c>
      <c r="F2004" s="2" t="n">
        <v>6.5</v>
      </c>
      <c r="G2004" s="2" t="n"/>
      <c r="H2004" s="3" t="inlineStr">
        <is>
          <t>segment: Belgium; revenue: 6.5; ebitda: 0.3</t>
        </is>
      </c>
      <c r="I2004" s="2" t="inlineStr">
        <is>
          <t>S4</t>
        </is>
      </c>
      <c r="J2004" s="2" t="n">
        <v>38</v>
      </c>
      <c r="K2004" s="3" t="inlineStr">
        <is>
          <t>6,936 340 (1,157) 261 (1,033) (2,319) 3,028</t>
        </is>
      </c>
      <c r="L2004" s="2" t="inlineStr">
        <is>
          <t>pend</t>
        </is>
      </c>
      <c r="M2004" s="2" t="n"/>
      <c r="N2004" s="2" t="n"/>
      <c r="O2004" s="3" t="inlineStr">
        <is>
          <t>https://vanillabonds.com/dossier-data/pdf/fastned/fastned-h1-2026-interim-report.pdf#page=38</t>
        </is>
      </c>
    </row>
    <row r="2005">
      <c r="A2005" s="2" t="inlineStr">
        <is>
          <t>F2004</t>
        </is>
      </c>
      <c r="B2005" s="2" t="inlineStr">
        <is>
          <t>financials</t>
        </is>
      </c>
      <c r="C2005" s="2" t="inlineStr">
        <is>
          <t>segment</t>
        </is>
      </c>
      <c r="D2005" s="3" t="inlineStr">
        <is>
          <t>Segment: segment; revenue; ebitda; assets</t>
        </is>
      </c>
      <c r="E2005" s="2" t="inlineStr">
        <is>
          <t>H1-2025</t>
        </is>
      </c>
      <c r="F2005" s="2" t="n">
        <v>4.6</v>
      </c>
      <c r="G2005" s="2" t="n"/>
      <c r="H2005" s="3" t="inlineStr">
        <is>
          <t>segment: France; revenue: 4.6; ebitda: -1.0</t>
        </is>
      </c>
      <c r="I2005" s="2" t="inlineStr">
        <is>
          <t>S4</t>
        </is>
      </c>
      <c r="J2005" s="2" t="n">
        <v>38</v>
      </c>
      <c r="K2005" s="3" t="inlineStr">
        <is>
          <t>6,936 340 (1,157) 261 (1,033) (2,319) 3,028</t>
        </is>
      </c>
      <c r="L2005" s="2" t="inlineStr">
        <is>
          <t>pend</t>
        </is>
      </c>
      <c r="M2005" s="2" t="n"/>
      <c r="N2005" s="2" t="n"/>
      <c r="O2005" s="3" t="inlineStr">
        <is>
          <t>https://vanillabonds.com/dossier-data/pdf/fastned/fastned-h1-2026-interim-report.pdf#page=38</t>
        </is>
      </c>
    </row>
    <row r="2006">
      <c r="A2006" s="2" t="inlineStr">
        <is>
          <t>F2005</t>
        </is>
      </c>
      <c r="B2006" s="2" t="inlineStr">
        <is>
          <t>financials</t>
        </is>
      </c>
      <c r="C2006" s="2" t="inlineStr">
        <is>
          <t>segment</t>
        </is>
      </c>
      <c r="D2006" s="3" t="inlineStr">
        <is>
          <t>Segment: segment; revenue; ebitda; assets</t>
        </is>
      </c>
      <c r="E2006" s="2" t="inlineStr">
        <is>
          <t>H1-2025</t>
        </is>
      </c>
      <c r="F2006" s="2" t="n">
        <v>1.2</v>
      </c>
      <c r="G2006" s="2" t="n"/>
      <c r="H2006" s="3" t="inlineStr">
        <is>
          <t>segment: Other Europe; revenue: 1.2; ebitda: -2.3</t>
        </is>
      </c>
      <c r="I2006" s="2" t="inlineStr">
        <is>
          <t>S4</t>
        </is>
      </c>
      <c r="J2006" s="2" t="n">
        <v>38</v>
      </c>
      <c r="K2006" s="3" t="inlineStr">
        <is>
          <t>6,936 340 (1,157) 261 (1,033) (2,319) 3,028</t>
        </is>
      </c>
      <c r="L2006" s="2" t="inlineStr">
        <is>
          <t>pend</t>
        </is>
      </c>
      <c r="M2006" s="2" t="n"/>
      <c r="N2006" s="2" t="n"/>
      <c r="O2006" s="3" t="inlineStr">
        <is>
          <t>https://vanillabonds.com/dossier-data/pdf/fastned/fastned-h1-2026-interim-report.pdf#page=38</t>
        </is>
      </c>
    </row>
    <row r="2007">
      <c r="A2007" s="2" t="inlineStr">
        <is>
          <t>F2006</t>
        </is>
      </c>
      <c r="B2007" s="2" t="inlineStr">
        <is>
          <t>financials</t>
        </is>
      </c>
      <c r="C2007" s="2" t="inlineStr">
        <is>
          <t>segment</t>
        </is>
      </c>
      <c r="D2007" s="3" t="inlineStr">
        <is>
          <t>Segment: segment; revenue; ebitda; assets</t>
        </is>
      </c>
      <c r="E2007" s="2" t="inlineStr">
        <is>
          <t>H1-2026</t>
        </is>
      </c>
      <c r="F2007" s="2" t="n">
        <v>41.9</v>
      </c>
      <c r="G2007" s="2" t="n"/>
      <c r="H2007" s="3" t="inlineStr">
        <is>
          <t>segment: Netherlands; revenue: 41.9; ebitda: 17.4; assets: 108.0</t>
        </is>
      </c>
      <c r="I2007" s="2" t="inlineStr">
        <is>
          <t>S4</t>
        </is>
      </c>
      <c r="J2007" s="2" t="n">
        <v>37</v>
      </c>
      <c r="K2007" s="3" t="inlineStr">
        <is>
          <t>17,408 1,963 (2,274) 2,406 152 (3,716) 15,939</t>
        </is>
      </c>
      <c r="L2007" s="2" t="inlineStr">
        <is>
          <t>pend</t>
        </is>
      </c>
      <c r="M2007" s="2" t="n"/>
      <c r="N2007" s="2" t="n"/>
      <c r="O2007" s="3" t="inlineStr">
        <is>
          <t>https://vanillabonds.com/dossier-data/pdf/fastned/fastned-h1-2026-interim-report.pdf#page=37</t>
        </is>
      </c>
    </row>
    <row r="2008">
      <c r="A2008" s="2" t="inlineStr">
        <is>
          <t>F2007</t>
        </is>
      </c>
      <c r="B2008" s="2" t="inlineStr">
        <is>
          <t>financials</t>
        </is>
      </c>
      <c r="C2008" s="2" t="inlineStr">
        <is>
          <t>segment</t>
        </is>
      </c>
      <c r="D2008" s="3" t="inlineStr">
        <is>
          <t>Segment: segment; revenue; ebitda; assets</t>
        </is>
      </c>
      <c r="E2008" s="2" t="inlineStr">
        <is>
          <t>H1-2026</t>
        </is>
      </c>
      <c r="F2008" s="2" t="n">
        <v>15.6</v>
      </c>
      <c r="G2008" s="2" t="n"/>
      <c r="H2008" s="3" t="inlineStr">
        <is>
          <t>segment: Germany; revenue: 15.6 (charging 7.1, construction 8.5); ebitda: 2.0; assets: 41.8</t>
        </is>
      </c>
      <c r="I2008" s="2" t="inlineStr">
        <is>
          <t>S4</t>
        </is>
      </c>
      <c r="J2008" s="2" t="n">
        <v>37</v>
      </c>
      <c r="K2008" s="3" t="inlineStr">
        <is>
          <t>17,408 1,963 (2,274) 2,406 152 (3,716) 15,939</t>
        </is>
      </c>
      <c r="L2008" s="2" t="inlineStr">
        <is>
          <t>pend</t>
        </is>
      </c>
      <c r="M2008" s="2" t="n"/>
      <c r="N2008" s="2" t="n"/>
      <c r="O2008" s="3" t="inlineStr">
        <is>
          <t>https://vanillabonds.com/dossier-data/pdf/fastned/fastned-h1-2026-interim-report.pdf#page=37</t>
        </is>
      </c>
    </row>
    <row r="2009">
      <c r="A2009" s="2" t="inlineStr">
        <is>
          <t>F2008</t>
        </is>
      </c>
      <c r="B2009" s="2" t="inlineStr">
        <is>
          <t>financials</t>
        </is>
      </c>
      <c r="C2009" s="2" t="inlineStr">
        <is>
          <t>segment</t>
        </is>
      </c>
      <c r="D2009" s="3" t="inlineStr">
        <is>
          <t>Segment: segment; revenue; ebitda; assets</t>
        </is>
      </c>
      <c r="E2009" s="2" t="inlineStr">
        <is>
          <t>H1-2026</t>
        </is>
      </c>
      <c r="F2009" s="2" t="n">
        <v>4.4</v>
      </c>
      <c r="G2009" s="2" t="n"/>
      <c r="H2009" s="3" t="inlineStr">
        <is>
          <t>segment: United Kingdom; revenue: 4.4; ebitda: -2.3; assets: 56.5</t>
        </is>
      </c>
      <c r="I2009" s="2" t="inlineStr">
        <is>
          <t>S4</t>
        </is>
      </c>
      <c r="J2009" s="2" t="n">
        <v>37</v>
      </c>
      <c r="K2009" s="3" t="inlineStr">
        <is>
          <t>17,408 1,963 (2,274) 2,406 152 (3,716) 15,939</t>
        </is>
      </c>
      <c r="L2009" s="2" t="inlineStr">
        <is>
          <t>pend</t>
        </is>
      </c>
      <c r="M2009" s="2" t="n"/>
      <c r="N2009" s="2" t="n"/>
      <c r="O2009" s="3" t="inlineStr">
        <is>
          <t>https://vanillabonds.com/dossier-data/pdf/fastned/fastned-h1-2026-interim-report.pdf#page=37</t>
        </is>
      </c>
    </row>
    <row r="2010">
      <c r="A2010" s="2" t="inlineStr">
        <is>
          <t>F2009</t>
        </is>
      </c>
      <c r="B2010" s="2" t="inlineStr">
        <is>
          <t>financials</t>
        </is>
      </c>
      <c r="C2010" s="2" t="inlineStr">
        <is>
          <t>segment</t>
        </is>
      </c>
      <c r="D2010" s="3" t="inlineStr">
        <is>
          <t>Segment: segment; revenue; ebitda; assets</t>
        </is>
      </c>
      <c r="E2010" s="2" t="inlineStr">
        <is>
          <t>H1-2026</t>
        </is>
      </c>
      <c r="F2010" s="2" t="n">
        <v>11.8</v>
      </c>
      <c r="G2010" s="2" t="n"/>
      <c r="H2010" s="3" t="inlineStr">
        <is>
          <t>segment: Belgium; revenue: 11.8; ebitda: 2.4; assets: 68.7</t>
        </is>
      </c>
      <c r="I2010" s="2" t="inlineStr">
        <is>
          <t>S4</t>
        </is>
      </c>
      <c r="J2010" s="2" t="n">
        <v>37</v>
      </c>
      <c r="K2010" s="3" t="inlineStr">
        <is>
          <t>17,408 1,963 (2,274) 2,406 152 (3,716) 15,939</t>
        </is>
      </c>
      <c r="L2010" s="2" t="inlineStr">
        <is>
          <t>pend</t>
        </is>
      </c>
      <c r="M2010" s="2" t="n"/>
      <c r="N2010" s="2" t="n"/>
      <c r="O2010" s="3" t="inlineStr">
        <is>
          <t>https://vanillabonds.com/dossier-data/pdf/fastned/fastned-h1-2026-interim-report.pdf#page=37</t>
        </is>
      </c>
    </row>
    <row r="2011">
      <c r="A2011" s="2" t="inlineStr">
        <is>
          <t>F2010</t>
        </is>
      </c>
      <c r="B2011" s="2" t="inlineStr">
        <is>
          <t>financials</t>
        </is>
      </c>
      <c r="C2011" s="2" t="inlineStr">
        <is>
          <t>segment</t>
        </is>
      </c>
      <c r="D2011" s="3" t="inlineStr">
        <is>
          <t>Segment: segment; revenue; ebitda; assets</t>
        </is>
      </c>
      <c r="E2011" s="2" t="inlineStr">
        <is>
          <t>H1-2026</t>
        </is>
      </c>
      <c r="F2011" s="2" t="n">
        <v>7.8</v>
      </c>
      <c r="G2011" s="2" t="n"/>
      <c r="H2011" s="3" t="inlineStr">
        <is>
          <t>segment: France; revenue: 7.8; ebitda: 0.2; assets: 71.2</t>
        </is>
      </c>
      <c r="I2011" s="2" t="inlineStr">
        <is>
          <t>S4</t>
        </is>
      </c>
      <c r="J2011" s="2" t="n">
        <v>37</v>
      </c>
      <c r="K2011" s="3" t="inlineStr">
        <is>
          <t>17,408 1,963 (2,274) 2,406 152 (3,716) 15,939</t>
        </is>
      </c>
      <c r="L2011" s="2" t="inlineStr">
        <is>
          <t>pend</t>
        </is>
      </c>
      <c r="M2011" s="2" t="n"/>
      <c r="N2011" s="2" t="n"/>
      <c r="O2011" s="3" t="inlineStr">
        <is>
          <t>https://vanillabonds.com/dossier-data/pdf/fastned/fastned-h1-2026-interim-report.pdf#page=37</t>
        </is>
      </c>
    </row>
    <row r="2012">
      <c r="A2012" s="2" t="inlineStr">
        <is>
          <t>F2011</t>
        </is>
      </c>
      <c r="B2012" s="2" t="inlineStr">
        <is>
          <t>financials</t>
        </is>
      </c>
      <c r="C2012" s="2" t="inlineStr">
        <is>
          <t>segment</t>
        </is>
      </c>
      <c r="D2012" s="3" t="inlineStr">
        <is>
          <t>Segment: segment; revenue; ebitda; assets</t>
        </is>
      </c>
      <c r="E2012" s="2" t="inlineStr">
        <is>
          <t>H1-2026</t>
        </is>
      </c>
      <c r="F2012" s="2" t="n">
        <v>2</v>
      </c>
      <c r="G2012" s="2" t="n"/>
      <c r="H2012" s="3" t="inlineStr">
        <is>
          <t>segment: Other Europe (CH, AT, IT, ES, DK); revenue: 2.0; ebitda: -3.7; assets: 76.1</t>
        </is>
      </c>
      <c r="I2012" s="2" t="inlineStr">
        <is>
          <t>S4</t>
        </is>
      </c>
      <c r="J2012" s="2" t="n">
        <v>37</v>
      </c>
      <c r="K2012" s="3" t="inlineStr">
        <is>
          <t>17,408 1,963 (2,274) 2,406 152 (3,716) 15,939</t>
        </is>
      </c>
      <c r="L2012" s="2" t="inlineStr">
        <is>
          <t>pend</t>
        </is>
      </c>
      <c r="M2012" s="2" t="n"/>
      <c r="N2012" s="2" t="n"/>
      <c r="O2012" s="3" t="inlineStr">
        <is>
          <t>https://vanillabonds.com/dossier-data/pdf/fastned/fastned-h1-2026-interim-report.pdf#page=37</t>
        </is>
      </c>
    </row>
    <row r="2013">
      <c r="A2013" s="2" t="inlineStr">
        <is>
          <t>F2012</t>
        </is>
      </c>
      <c r="B2013" s="2" t="inlineStr">
        <is>
          <t>financials</t>
        </is>
      </c>
      <c r="C2013" s="2" t="inlineStr">
        <is>
          <t>tax_paid</t>
        </is>
      </c>
      <c r="D2013" s="2" t="inlineStr">
        <is>
          <t>Income taxes paid (cash flow statement)</t>
        </is>
      </c>
      <c r="E2013" s="2" t="inlineStr">
        <is>
          <t>H1-2025</t>
        </is>
      </c>
      <c r="F2013" s="2" t="n">
        <v>0</v>
      </c>
      <c r="G2013" s="2" t="inlineStr">
        <is>
          <t>EUR m</t>
        </is>
      </c>
      <c r="H2013" s="2" t="inlineStr">
        <is>
          <t>Income taxes paid EUR 3 thousand</t>
        </is>
      </c>
      <c r="I2013" s="2" t="inlineStr">
        <is>
          <t>S4</t>
        </is>
      </c>
      <c r="J2013" s="2" t="n">
        <v>29</v>
      </c>
      <c r="K2013" s="2" t="inlineStr">
        <is>
          <t>Income taxes (paid)/received 2 (3)</t>
        </is>
      </c>
      <c r="L2013" s="2" t="inlineStr">
        <is>
          <t>pend</t>
        </is>
      </c>
      <c r="M2013" s="2" t="n"/>
      <c r="N2013" s="2" t="n"/>
      <c r="O2013" s="3" t="inlineStr">
        <is>
          <t>https://vanillabonds.com/dossier-data/pdf/fastned/fastned-h1-2026-interim-report.pdf#page=29</t>
        </is>
      </c>
    </row>
    <row r="2014">
      <c r="A2014" s="2" t="inlineStr">
        <is>
          <t>F2013</t>
        </is>
      </c>
      <c r="B2014" s="2" t="inlineStr">
        <is>
          <t>financials</t>
        </is>
      </c>
      <c r="C2014" s="2" t="inlineStr">
        <is>
          <t>tax_paid</t>
        </is>
      </c>
      <c r="D2014" s="2" t="inlineStr">
        <is>
          <t>Income taxes paid (cash flow statement)</t>
        </is>
      </c>
      <c r="E2014" s="2" t="inlineStr">
        <is>
          <t>H1-2026</t>
        </is>
      </c>
      <c r="F2014" s="2" t="n">
        <v>0</v>
      </c>
      <c r="G2014" s="2" t="inlineStr">
        <is>
          <t>EUR m</t>
        </is>
      </c>
      <c r="H2014" s="2" t="inlineStr">
        <is>
          <t>Income taxes received EUR 2 thousand</t>
        </is>
      </c>
      <c r="I2014" s="2" t="inlineStr">
        <is>
          <t>S4</t>
        </is>
      </c>
      <c r="J2014" s="2" t="n">
        <v>29</v>
      </c>
      <c r="K2014" s="2" t="inlineStr">
        <is>
          <t>Income taxes (paid)/received 2 (3)</t>
        </is>
      </c>
      <c r="L2014" s="2" t="inlineStr">
        <is>
          <t>pend</t>
        </is>
      </c>
      <c r="M2014" s="2" t="n"/>
      <c r="N2014" s="2" t="n"/>
      <c r="O2014" s="3" t="inlineStr">
        <is>
          <t>https://vanillabonds.com/dossier-data/pdf/fastned/fastned-h1-2026-interim-report.pdf#page=29</t>
        </is>
      </c>
    </row>
    <row r="2015">
      <c r="A2015" s="2" t="inlineStr">
        <is>
          <t>F2014</t>
        </is>
      </c>
      <c r="B2015" s="2" t="inlineStr">
        <is>
          <t>debt</t>
        </is>
      </c>
      <c r="C2015" s="2" t="inlineStr">
        <is>
          <t>hedge</t>
        </is>
      </c>
      <c r="D2015" s="3" t="inlineStr">
        <is>
          <t>Hedge: instrument; counterparty; notional; maturity; hedged item (rate, FX)</t>
        </is>
      </c>
      <c r="E2015" s="2" t="n"/>
      <c r="F2015" s="2" t="n"/>
      <c r="G2015" s="2" t="n"/>
      <c r="H2015" s="3" t="inlineStr">
        <is>
          <t>instrument: interest rate swap EUR, pay-fixed receive-floating, cash flow hedge; counterparty: ABN AMRO; maturity: 2030-03-31; hedged item: floating-rate EUR project debt (EURIBOR)</t>
        </is>
      </c>
      <c r="I2015" s="2" t="inlineStr">
        <is>
          <t>S4</t>
        </is>
      </c>
      <c r="J2015" s="2" t="n">
        <v>49</v>
      </c>
      <c r="K2015" s="3" t="inlineStr">
        <is>
          <t>two interest rate swaps denominated in EUR (with ABN AMRO and Rabobank)</t>
        </is>
      </c>
      <c r="L2015" s="2" t="inlineStr">
        <is>
          <t>pend</t>
        </is>
      </c>
      <c r="M2015" s="2" t="n"/>
      <c r="N2015" s="2" t="n"/>
      <c r="O2015" s="3" t="inlineStr">
        <is>
          <t>https://vanillabonds.com/dossier-data/pdf/fastned/fastned-h1-2026-interim-report.pdf#page=49</t>
        </is>
      </c>
    </row>
    <row r="2016">
      <c r="A2016" s="2" t="inlineStr">
        <is>
          <t>F2015</t>
        </is>
      </c>
      <c r="B2016" s="2" t="inlineStr">
        <is>
          <t>debt</t>
        </is>
      </c>
      <c r="C2016" s="2" t="inlineStr">
        <is>
          <t>hedge</t>
        </is>
      </c>
      <c r="D2016" s="3" t="inlineStr">
        <is>
          <t>Hedge: instrument; counterparty; notional; maturity; hedged item (rate, FX)</t>
        </is>
      </c>
      <c r="E2016" s="2" t="n"/>
      <c r="F2016" s="2" t="n"/>
      <c r="G2016" s="2" t="n"/>
      <c r="H2016" s="3" t="inlineStr">
        <is>
          <t>instrument: interest rate swap EUR, pay-fixed receive-floating, cash flow hedge; counterparty: Rabobank; maturity: 2030-03-31; hedged item: floating-rate EUR project debt (EURIBOR)</t>
        </is>
      </c>
      <c r="I2016" s="2" t="inlineStr">
        <is>
          <t>S4</t>
        </is>
      </c>
      <c r="J2016" s="2" t="n">
        <v>49</v>
      </c>
      <c r="K2016" s="3" t="inlineStr">
        <is>
          <t>two interest rate swaps denominated in EUR (with ABN AMRO and Rabobank)</t>
        </is>
      </c>
      <c r="L2016" s="2" t="inlineStr">
        <is>
          <t>pend</t>
        </is>
      </c>
      <c r="M2016" s="2" t="n"/>
      <c r="N2016" s="2" t="n"/>
      <c r="O2016" s="3" t="inlineStr">
        <is>
          <t>https://vanillabonds.com/dossier-data/pdf/fastned/fastned-h1-2026-interim-report.pdf#page=49</t>
        </is>
      </c>
    </row>
    <row r="2017">
      <c r="A2017" s="2" t="inlineStr">
        <is>
          <t>F2016</t>
        </is>
      </c>
      <c r="B2017" s="2" t="inlineStr">
        <is>
          <t>debt</t>
        </is>
      </c>
      <c r="C2017" s="2" t="inlineStr">
        <is>
          <t>hedge</t>
        </is>
      </c>
      <c r="D2017" s="3" t="inlineStr">
        <is>
          <t>Hedge: instrument; counterparty; notional; maturity; hedged item (rate, FX)</t>
        </is>
      </c>
      <c r="E2017" s="2" t="n"/>
      <c r="F2017" s="2" t="n"/>
      <c r="G2017" s="2" t="n"/>
      <c r="H2017" s="3" t="inlineStr">
        <is>
          <t>instrument: interest rate swap CHF, pay-fixed receive-floating, cash flow hedge; counterparty: Credit Agricole CIB; maturity: 2030-03-31; hedged item: CHF tranche (SARON)</t>
        </is>
      </c>
      <c r="I2017" s="2" t="inlineStr">
        <is>
          <t>S4</t>
        </is>
      </c>
      <c r="J2017" s="2" t="n">
        <v>49</v>
      </c>
      <c r="K2017" s="3" t="inlineStr">
        <is>
          <t>one interest rate swap denominated in CHF (with Crédit Agricole CIB), hedging the CHF-denominated tranche</t>
        </is>
      </c>
      <c r="L2017" s="2" t="inlineStr">
        <is>
          <t>pend</t>
        </is>
      </c>
      <c r="M2017" s="2" t="n"/>
      <c r="N2017" s="2" t="n"/>
      <c r="O2017" s="3" t="inlineStr">
        <is>
          <t>https://vanillabonds.com/dossier-data/pdf/fastned/fastned-h1-2026-interim-report.pdf#page=49</t>
        </is>
      </c>
    </row>
    <row r="2018">
      <c r="A2018" s="2" t="inlineStr">
        <is>
          <t>F2017</t>
        </is>
      </c>
      <c r="B2018" s="2" t="inlineStr">
        <is>
          <t>debt</t>
        </is>
      </c>
      <c r="C2018" s="2" t="inlineStr">
        <is>
          <t>rate_type</t>
        </is>
      </c>
      <c r="D2018" s="3" t="inlineStr">
        <is>
          <t>Rate structure of the debt: floating_share (0-1); base rate; fixed_share; fx mismatch revenue vs cost</t>
        </is>
      </c>
      <c r="E2018" s="2" t="n"/>
      <c r="F2018" s="2" t="n"/>
      <c r="G2018" s="2" t="n"/>
      <c r="H2018" s="3" t="inlineStr">
        <is>
          <t>base rate: EURIBOR (Facility A1) and SARON (Facility A2), swapped to fixed; fixed_share: all retail bonds (5.0-6.0%), Facility B and 4% secured loan carry fixed rates; fx mismatch: Facility A2 in CHF retranslated at closing rate</t>
        </is>
      </c>
      <c r="I2018" s="2" t="inlineStr">
        <is>
          <t>S4</t>
        </is>
      </c>
      <c r="J2018" s="2" t="n">
        <v>44</v>
      </c>
      <c r="K2018" s="3" t="inlineStr">
        <is>
          <t>The Facility A2 tranche is denominated in Swiss francs and is retranslated into euro at the closing rate</t>
        </is>
      </c>
      <c r="L2018" s="2" t="inlineStr">
        <is>
          <t>pend</t>
        </is>
      </c>
      <c r="M2018" s="2" t="n"/>
      <c r="N2018" s="2" t="n"/>
      <c r="O2018" s="3" t="inlineStr">
        <is>
          <t>https://vanillabonds.com/dossier-data/pdf/fastned/fastned-h1-2026-interim-report.pdf#page=44</t>
        </is>
      </c>
    </row>
    <row r="2019">
      <c r="A2019" s="2" t="inlineStr">
        <is>
          <t>F2018</t>
        </is>
      </c>
      <c r="B2019" s="2" t="inlineStr">
        <is>
          <t>debt</t>
        </is>
      </c>
      <c r="C2019" s="2" t="inlineStr">
        <is>
          <t>rollover_event</t>
        </is>
      </c>
      <c r="D2019" s="3" t="inlineStr">
        <is>
          <t>Past maturity: instrument; amount; due; outcome (repaid, refinanced, extended, waived)</t>
        </is>
      </c>
      <c r="E2019" s="2" t="n"/>
      <c r="F2019" s="2" t="n">
        <v>45</v>
      </c>
      <c r="G2019" s="2" t="n"/>
      <c r="H2019" s="3" t="inlineStr">
        <is>
          <t>instrument: retail bonds (programme since inception); amount: 45.0; outcome: repaid at maturity</t>
        </is>
      </c>
      <c r="I2019" s="2" t="inlineStr">
        <is>
          <t>S4</t>
        </is>
      </c>
      <c r="J2019" s="2" t="n">
        <v>12</v>
      </c>
      <c r="K2019" s="2" t="inlineStr">
        <is>
          <t>€45 million has been repaid at maturity</t>
        </is>
      </c>
      <c r="L2019" s="2" t="inlineStr">
        <is>
          <t>pend</t>
        </is>
      </c>
      <c r="M2019" s="2" t="n"/>
      <c r="N2019" s="2" t="n"/>
      <c r="O2019" s="3" t="inlineStr">
        <is>
          <t>https://vanillabonds.com/dossier-data/pdf/fastned/fastned-h1-2026-interim-report.pdf#page=12</t>
        </is>
      </c>
    </row>
    <row r="2020">
      <c r="A2020" s="2" t="inlineStr">
        <is>
          <t>F2019</t>
        </is>
      </c>
      <c r="B2020" s="2" t="inlineStr">
        <is>
          <t>debt</t>
        </is>
      </c>
      <c r="C2020" s="2" t="inlineStr">
        <is>
          <t>rollover_event</t>
        </is>
      </c>
      <c r="D2020" s="3" t="inlineStr">
        <is>
          <t>Past maturity: instrument; amount; due; outcome (repaid, refinanced, extended, waived)</t>
        </is>
      </c>
      <c r="E2020" s="2" t="n"/>
      <c r="F2020" s="2" t="n">
        <v>81</v>
      </c>
      <c r="G2020" s="2" t="n"/>
      <c r="H2020" s="3" t="inlineStr">
        <is>
          <t>instrument: retail bonds (programme since inception); amount: 81.0; outcome: extended by investors rolling forward ahead of maturity</t>
        </is>
      </c>
      <c r="I2020" s="2" t="inlineStr">
        <is>
          <t>S4</t>
        </is>
      </c>
      <c r="J2020" s="2" t="n">
        <v>12</v>
      </c>
      <c r="K2020" s="3" t="inlineStr">
        <is>
          <t>€81 million extended by investors choosing to roll their positions forward ahead of maturity</t>
        </is>
      </c>
      <c r="L2020" s="2" t="inlineStr">
        <is>
          <t>pend</t>
        </is>
      </c>
      <c r="M2020" s="2" t="n"/>
      <c r="N2020" s="2" t="n"/>
      <c r="O2020" s="3" t="inlineStr">
        <is>
          <t>https://vanillabonds.com/dossier-data/pdf/fastned/fastned-h1-2026-interim-report.pdf#page=12</t>
        </is>
      </c>
    </row>
    <row r="2021">
      <c r="A2021" s="2" t="inlineStr">
        <is>
          <t>F2020</t>
        </is>
      </c>
      <c r="B2021" s="2" t="inlineStr">
        <is>
          <t>debt</t>
        </is>
      </c>
      <c r="C2021" s="2" t="inlineStr">
        <is>
          <t>rollover_event</t>
        </is>
      </c>
      <c r="D2021" s="3" t="inlineStr">
        <is>
          <t>Past maturity: instrument; amount; due; outcome (repaid, refinanced, extended, waived)</t>
        </is>
      </c>
      <c r="E2021" s="2" t="n"/>
      <c r="F2021" s="2" t="n">
        <v>2.3</v>
      </c>
      <c r="G2021" s="2" t="n"/>
      <c r="H2021" s="3" t="inlineStr">
        <is>
          <t>instrument: earlier retail bond issues; amount: 2.3; due: 2026; outcome: extended into the Feb-Mar 2026 6% series</t>
        </is>
      </c>
      <c r="I2021" s="2" t="inlineStr">
        <is>
          <t>S4</t>
        </is>
      </c>
      <c r="J2021" s="2" t="n">
        <v>44</v>
      </c>
      <c r="K2021" s="3" t="inlineStr">
        <is>
          <t>investors extended €2.3 million from earlier bonds issues</t>
        </is>
      </c>
      <c r="L2021" s="2" t="inlineStr">
        <is>
          <t>pend</t>
        </is>
      </c>
      <c r="M2021" s="2" t="n"/>
      <c r="N2021" s="2" t="n"/>
      <c r="O2021" s="3" t="inlineStr">
        <is>
          <t>https://vanillabonds.com/dossier-data/pdf/fastned/fastned-h1-2026-interim-report.pdf#page=44</t>
        </is>
      </c>
    </row>
    <row r="2022">
      <c r="A2022" s="2" t="inlineStr">
        <is>
          <t>F2021</t>
        </is>
      </c>
      <c r="B2022" s="2" t="inlineStr">
        <is>
          <t>debt</t>
        </is>
      </c>
      <c r="C2022" s="2" t="inlineStr">
        <is>
          <t>rollover_event</t>
        </is>
      </c>
      <c r="D2022" s="3" t="inlineStr">
        <is>
          <t>Past maturity: instrument; amount; due; outcome (repaid, refinanced, extended, waived)</t>
        </is>
      </c>
      <c r="E2022" s="2" t="n"/>
      <c r="F2022" s="2" t="n">
        <v>1.4</v>
      </c>
      <c r="G2022" s="2" t="n"/>
      <c r="H2022" s="3" t="inlineStr">
        <is>
          <t>instrument: earlier retail bond issues; amount: 1.4; due: 2026-2027; outcome: extended into the May-Jun 2026 6% series</t>
        </is>
      </c>
      <c r="I2022" s="2" t="inlineStr">
        <is>
          <t>S4</t>
        </is>
      </c>
      <c r="J2022" s="2" t="n">
        <v>44</v>
      </c>
      <c r="K2022" s="3" t="inlineStr">
        <is>
          <t>investors also extended €1.4 million from earlier bond</t>
        </is>
      </c>
      <c r="L2022" s="2" t="inlineStr">
        <is>
          <t>pend</t>
        </is>
      </c>
      <c r="M2022" s="2" t="n"/>
      <c r="N2022" s="2" t="n"/>
      <c r="O2022" s="3" t="inlineStr">
        <is>
          <t>https://vanillabonds.com/dossier-data/pdf/fastned/fastned-h1-2026-interim-report.pdf#page=44</t>
        </is>
      </c>
    </row>
    <row r="2023">
      <c r="A2023" s="2" t="inlineStr">
        <is>
          <t>F2022</t>
        </is>
      </c>
      <c r="B2023" s="2" t="inlineStr">
        <is>
          <t>management</t>
        </is>
      </c>
      <c r="C2023" s="2" t="inlineStr">
        <is>
          <t>strategy_statement</t>
        </is>
      </c>
      <c r="D2023" s="3" t="inlineStr">
        <is>
          <t>Stated strategy: year; statement; what happened; source</t>
        </is>
      </c>
      <c r="E2023" s="2" t="n"/>
      <c r="F2023" s="2" t="n"/>
      <c r="G2023" s="2" t="n"/>
      <c r="H2023" s="3" t="inlineStr">
        <is>
          <t>year: 2026; statement: strategic pillars are valuable locations, high-quality charging, trusted customer experience, commercial growth and improving station economics; source: CEO letter H1 2026</t>
        </is>
      </c>
      <c r="I2023" s="2" t="inlineStr">
        <is>
          <t>S4</t>
        </is>
      </c>
      <c r="J2023" s="2" t="n">
        <v>6</v>
      </c>
      <c r="K2023" s="3" t="inlineStr">
        <is>
          <t>our strategic pillars remain stable: valuable locations, high-quality</t>
        </is>
      </c>
      <c r="L2023" s="2" t="inlineStr">
        <is>
          <t>pend</t>
        </is>
      </c>
      <c r="M2023" s="2" t="n"/>
      <c r="N2023" s="2" t="n"/>
      <c r="O2023" s="3" t="inlineStr">
        <is>
          <t>https://vanillabonds.com/dossier-data/pdf/fastned/fastned-h1-2026-interim-report.pdf#page=6</t>
        </is>
      </c>
    </row>
    <row r="2024">
      <c r="A2024" s="2" t="inlineStr">
        <is>
          <t>F2023</t>
        </is>
      </c>
      <c r="B2024" s="2" t="inlineStr">
        <is>
          <t>management</t>
        </is>
      </c>
      <c r="C2024" s="2" t="inlineStr">
        <is>
          <t>strategy_statement</t>
        </is>
      </c>
      <c r="D2024" s="3" t="inlineStr">
        <is>
          <t>Stated strategy: year; statement; what happened; source</t>
        </is>
      </c>
      <c r="E2024" s="2" t="n"/>
      <c r="F2024" s="2" t="n"/>
      <c r="G2024" s="2" t="n"/>
      <c r="H2024" s="3" t="inlineStr">
        <is>
          <t>year: 2026; statement: funding to evolve from equity and retail bonds towards a combination of retail and institutional financing; source: Head of Funding Q&amp;A</t>
        </is>
      </c>
      <c r="I2024" s="2" t="inlineStr">
        <is>
          <t>S4</t>
        </is>
      </c>
      <c r="J2024" s="2" t="n">
        <v>13</v>
      </c>
      <c r="K2024" s="3" t="inlineStr">
        <is>
          <t>Our funding structure is evolving from reliance on equity and retail</t>
        </is>
      </c>
      <c r="L2024" s="2" t="inlineStr">
        <is>
          <t>pend</t>
        </is>
      </c>
      <c r="M2024" s="2" t="n"/>
      <c r="N2024" s="2" t="n"/>
      <c r="O2024" s="3" t="inlineStr">
        <is>
          <t>https://vanillabonds.com/dossier-data/pdf/fastned/fastned-h1-2026-interim-report.pdf#page=13</t>
        </is>
      </c>
    </row>
    <row r="2025">
      <c r="A2025" s="2" t="inlineStr">
        <is>
          <t>F2024</t>
        </is>
      </c>
      <c r="B2025" s="2" t="inlineStr">
        <is>
          <t>management</t>
        </is>
      </c>
      <c r="C2025" s="2" t="inlineStr">
        <is>
          <t>strategy_statement</t>
        </is>
      </c>
      <c r="D2025" s="3" t="inlineStr">
        <is>
          <t>Stated strategy: year; statement; what happened; source</t>
        </is>
      </c>
      <c r="E2025" s="2" t="n"/>
      <c r="F2025" s="2" t="n"/>
      <c r="G2025" s="2" t="n"/>
      <c r="H2025" s="3" t="inlineStr">
        <is>
          <t>year: 2026; statement: accelerate rollout prioritising high-traffic highway, arterial and urban locations in markets with fast-growing BEV penetration; what happened: 28 openings H1 2026, guidance 70-100 for 2026 maintained; source: market and business outlook</t>
        </is>
      </c>
      <c r="I2025" s="2" t="inlineStr">
        <is>
          <t>S4</t>
        </is>
      </c>
      <c r="J2025" s="2" t="n">
        <v>15</v>
      </c>
      <c r="K2025" s="3" t="inlineStr">
        <is>
          <t>Accelerate the rollout of our network, prioritising the most</t>
        </is>
      </c>
      <c r="L2025" s="2" t="inlineStr">
        <is>
          <t>pend</t>
        </is>
      </c>
      <c r="M2025" s="2" t="n"/>
      <c r="N2025" s="2" t="n"/>
      <c r="O2025" s="3" t="inlineStr">
        <is>
          <t>https://vanillabonds.com/dossier-data/pdf/fastned/fastned-h1-2026-interim-report.pdf#page=15</t>
        </is>
      </c>
    </row>
    <row r="2026">
      <c r="A2026" s="2" t="inlineStr">
        <is>
          <t>F2025</t>
        </is>
      </c>
      <c r="B2026" s="2" t="inlineStr">
        <is>
          <t>management</t>
        </is>
      </c>
      <c r="C2026" s="2" t="inlineStr">
        <is>
          <t>strategy_statement</t>
        </is>
      </c>
      <c r="D2026" s="3" t="inlineStr">
        <is>
          <t>Stated strategy: year; statement; what happened; source</t>
        </is>
      </c>
      <c r="E2026" s="2" t="n"/>
      <c r="F2026" s="2" t="n"/>
      <c r="G2026" s="2" t="n"/>
      <c r="H2026" s="3" t="inlineStr">
        <is>
          <t>year: 2026; statement: grow commercial performance and revenue per station from high-traffic locations; what happened: annualised revenue per station +18% to EUR 363k; source: market and business outlook</t>
        </is>
      </c>
      <c r="I2026" s="2" t="inlineStr">
        <is>
          <t>S4</t>
        </is>
      </c>
      <c r="J2026" s="2" t="n">
        <v>15</v>
      </c>
      <c r="K2026" s="3" t="inlineStr">
        <is>
          <t>Maintain our competitive edge and grow our commercial</t>
        </is>
      </c>
      <c r="L2026" s="2" t="inlineStr">
        <is>
          <t>pend</t>
        </is>
      </c>
      <c r="M2026" s="2" t="n"/>
      <c r="N2026" s="2" t="n"/>
      <c r="O2026" s="3" t="inlineStr">
        <is>
          <t>https://vanillabonds.com/dossier-data/pdf/fastned/fastned-h1-2026-interim-report.pdf#page=15</t>
        </is>
      </c>
    </row>
    <row r="2027">
      <c r="A2027" s="2" t="inlineStr">
        <is>
          <t>F2026</t>
        </is>
      </c>
      <c r="B2027" s="2" t="inlineStr">
        <is>
          <t>management</t>
        </is>
      </c>
      <c r="C2027" s="2" t="inlineStr">
        <is>
          <t>strategy_statement</t>
        </is>
      </c>
      <c r="D2027" s="3" t="inlineStr">
        <is>
          <t>Stated strategy: year; statement; what happened; source</t>
        </is>
      </c>
      <c r="E2027" s="2" t="n"/>
      <c r="F2027" s="2" t="n"/>
      <c r="G2027" s="2" t="n"/>
      <c r="H2027" s="3" t="inlineStr">
        <is>
          <t>year: 2026; statement: optimise existing network utilisation and operational efficiency; what happened: utilisation 13.7%, operation cost per charger -2%; source: market and business outlook</t>
        </is>
      </c>
      <c r="I2027" s="2" t="inlineStr">
        <is>
          <t>S4</t>
        </is>
      </c>
      <c r="J2027" s="2" t="n">
        <v>15</v>
      </c>
      <c r="K2027" s="3" t="inlineStr">
        <is>
          <t>Optimise the performance of our existing network,</t>
        </is>
      </c>
      <c r="L2027" s="2" t="inlineStr">
        <is>
          <t>pend</t>
        </is>
      </c>
      <c r="M2027" s="2" t="n"/>
      <c r="N2027" s="2" t="n"/>
      <c r="O2027" s="3" t="inlineStr">
        <is>
          <t>https://vanillabonds.com/dossier-data/pdf/fastned/fastned-h1-2026-interim-report.pdf#page=15</t>
        </is>
      </c>
    </row>
    <row r="2028">
      <c r="A2028" s="2" t="inlineStr">
        <is>
          <t>F2027</t>
        </is>
      </c>
      <c r="B2028" s="2" t="inlineStr">
        <is>
          <t>management</t>
        </is>
      </c>
      <c r="C2028" s="2" t="inlineStr">
        <is>
          <t>risk_policy</t>
        </is>
      </c>
      <c r="D2028" s="3" t="inlineStr">
        <is>
          <t>Financial policy, stated and revealed: item (leverage target, dividend, hedging, cash held, acquisition funding); stated; realised; year</t>
        </is>
      </c>
      <c r="E2028" s="2" t="n"/>
      <c r="F2028" s="2" t="n"/>
      <c r="G2028" s="2" t="n"/>
      <c r="H2028" s="3" t="inlineStr">
        <is>
          <t>item: funding mix; stated: three pillars of funding, equity listing, retail bonds and institutional bank financing; realised: EUR 100m green facility Jan 2026 and two bond campaigns H1 2026; year: 2026</t>
        </is>
      </c>
      <c r="I2028" s="2" t="inlineStr">
        <is>
          <t>S4</t>
        </is>
      </c>
      <c r="J2028" s="2" t="n">
        <v>12</v>
      </c>
      <c r="K2028" s="3" t="inlineStr">
        <is>
          <t>with the establishment of bank financing as a formal third pillar of funding</t>
        </is>
      </c>
      <c r="L2028" s="2" t="inlineStr">
        <is>
          <t>pend</t>
        </is>
      </c>
      <c r="M2028" s="2" t="n"/>
      <c r="N2028" s="2" t="n"/>
      <c r="O2028" s="3" t="inlineStr">
        <is>
          <t>https://vanillabonds.com/dossier-data/pdf/fastned/fastned-h1-2026-interim-report.pdf#page=12</t>
        </is>
      </c>
    </row>
    <row r="2029">
      <c r="A2029" s="2" t="inlineStr">
        <is>
          <t>F2028</t>
        </is>
      </c>
      <c r="B2029" s="2" t="inlineStr">
        <is>
          <t>management</t>
        </is>
      </c>
      <c r="C2029" s="2" t="inlineStr">
        <is>
          <t>risk_policy</t>
        </is>
      </c>
      <c r="D2029" s="3" t="inlineStr">
        <is>
          <t>Financial policy, stated and revealed: item (leverage target, dividend, hedging, cash held, acquisition funding); stated; realised; year</t>
        </is>
      </c>
      <c r="E2029" s="2" t="n"/>
      <c r="F2029" s="2" t="n"/>
      <c r="G2029" s="2" t="n"/>
      <c r="H2029" s="3" t="inlineStr">
        <is>
          <t>item: cash held; stated: minimum desired cash level maintained throughout the forecast period; capex can be reduced in the first part of the forecast period; realised: cash 100.7 at 30 June 2026; year: 2026</t>
        </is>
      </c>
      <c r="I2029" s="2" t="inlineStr">
        <is>
          <t>S4</t>
        </is>
      </c>
      <c r="J2029" s="2" t="n">
        <v>33</v>
      </c>
      <c r="K2029" s="3" t="inlineStr">
        <is>
          <t>whereby a minimum desired cash level is to be maintained throughout the</t>
        </is>
      </c>
      <c r="L2029" s="2" t="inlineStr">
        <is>
          <t>pend</t>
        </is>
      </c>
      <c r="M2029" s="2" t="n"/>
      <c r="N2029" s="2" t="n"/>
      <c r="O2029" s="3" t="inlineStr">
        <is>
          <t>https://vanillabonds.com/dossier-data/pdf/fastned/fastned-h1-2026-interim-report.pdf#page=33</t>
        </is>
      </c>
    </row>
    <row r="2030">
      <c r="A2030" s="2" t="inlineStr">
        <is>
          <t>F2029</t>
        </is>
      </c>
      <c r="B2030" s="2" t="inlineStr">
        <is>
          <t>management</t>
        </is>
      </c>
      <c r="C2030" s="2" t="inlineStr">
        <is>
          <t>risk_policy</t>
        </is>
      </c>
      <c r="D2030" s="3" t="inlineStr">
        <is>
          <t>Financial policy, stated and revealed: item (leverage target, dividend, hedging, cash held, acquisition funding); stated; realised; year</t>
        </is>
      </c>
      <c r="E2030" s="2" t="n"/>
      <c r="F2030" s="2" t="n"/>
      <c r="G2030" s="2" t="n"/>
      <c r="H2030" s="3" t="inlineStr">
        <is>
          <t>item: hedging; stated: facility requires hedging of a substantial portion of floating-rate interest risk; realised: three pay-fixed swaps to 31 March 2030 designated as cash flow hedges; year: 2026</t>
        </is>
      </c>
      <c r="I2030" s="2" t="inlineStr">
        <is>
          <t>S4</t>
        </is>
      </c>
      <c r="J2030" s="2" t="n">
        <v>49</v>
      </c>
      <c r="K2030" s="3" t="inlineStr">
        <is>
          <t>All three instruments are pay-fixed, receive-floating swaps and are designated as cash</t>
        </is>
      </c>
      <c r="L2030" s="2" t="inlineStr">
        <is>
          <t>pend</t>
        </is>
      </c>
      <c r="M2030" s="2" t="n"/>
      <c r="N2030" s="2" t="n"/>
      <c r="O2030" s="3" t="inlineStr">
        <is>
          <t>https://vanillabonds.com/dossier-data/pdf/fastned/fastned-h1-2026-interim-report.pdf#page=49</t>
        </is>
      </c>
    </row>
    <row r="2031">
      <c r="A2031" s="2" t="inlineStr">
        <is>
          <t>F2030</t>
        </is>
      </c>
      <c r="B2031" s="2" t="inlineStr">
        <is>
          <t>management</t>
        </is>
      </c>
      <c r="C2031" s="2" t="inlineStr">
        <is>
          <t>team_turnover</t>
        </is>
      </c>
      <c r="D2031" s="3" t="inlineStr">
        <is>
          <t>Top-team change: role; person; joined; left; reason as stated</t>
        </is>
      </c>
      <c r="E2031" s="2" t="n"/>
      <c r="F2031" s="2" t="n"/>
      <c r="G2031" s="2" t="n"/>
      <c r="H2031" s="3" t="inlineStr">
        <is>
          <t>role: CFO a.i.; person: Remco Samuels; joined: 2026-03; reason as stated: welcomed as CFO a.i.</t>
        </is>
      </c>
      <c r="I2031" s="2" t="inlineStr">
        <is>
          <t>S4</t>
        </is>
      </c>
      <c r="J2031" s="2" t="n">
        <v>2</v>
      </c>
      <c r="K2031" s="2" t="inlineStr">
        <is>
          <t>welcomes Remco Samuels as CFO a.i.</t>
        </is>
      </c>
      <c r="L2031" s="2" t="inlineStr">
        <is>
          <t>pend</t>
        </is>
      </c>
      <c r="M2031" s="2" t="n"/>
      <c r="N2031" s="2" t="n"/>
      <c r="O2031" s="3" t="inlineStr">
        <is>
          <t>https://vanillabonds.com/dossier-data/pdf/fastned/fastned-h1-2026-interim-report.pdf#page=2</t>
        </is>
      </c>
    </row>
    <row r="2032">
      <c r="A2032" s="2" t="inlineStr">
        <is>
          <t>F2031</t>
        </is>
      </c>
      <c r="B2032" s="2" t="inlineStr">
        <is>
          <t>management</t>
        </is>
      </c>
      <c r="C2032" s="2" t="inlineStr">
        <is>
          <t>team_turnover</t>
        </is>
      </c>
      <c r="D2032" s="3" t="inlineStr">
        <is>
          <t>Top-team change: role; person; joined; left; reason as stated</t>
        </is>
      </c>
      <c r="E2032" s="2" t="n"/>
      <c r="F2032" s="2" t="n"/>
      <c r="G2032" s="2" t="n"/>
      <c r="H2032" s="3" t="inlineStr">
        <is>
          <t>role: VP Strategy; person: Victor van Dijk; joined: 2026-03</t>
        </is>
      </c>
      <c r="I2032" s="2" t="inlineStr">
        <is>
          <t>S4</t>
        </is>
      </c>
      <c r="J2032" s="2" t="n">
        <v>2</v>
      </c>
      <c r="K2032" s="3" t="inlineStr">
        <is>
          <t>Fastned appoints Victor van Dijk as new VP Strategy</t>
        </is>
      </c>
      <c r="L2032" s="2" t="inlineStr">
        <is>
          <t>pend</t>
        </is>
      </c>
      <c r="M2032" s="2" t="n"/>
      <c r="N2032" s="2" t="n"/>
      <c r="O2032" s="3" t="inlineStr">
        <is>
          <t>https://vanillabonds.com/dossier-data/pdf/fastned/fastned-h1-2026-interim-report.pdf#page=2</t>
        </is>
      </c>
    </row>
    <row r="2033">
      <c r="A2033" s="2" t="inlineStr">
        <is>
          <t>F2032</t>
        </is>
      </c>
      <c r="B2033" s="2" t="inlineStr">
        <is>
          <t>management</t>
        </is>
      </c>
      <c r="C2033" s="2" t="inlineStr">
        <is>
          <t>team_turnover</t>
        </is>
      </c>
      <c r="D2033" s="3" t="inlineStr">
        <is>
          <t>Top-team change: role; person; joined; left; reason as stated</t>
        </is>
      </c>
      <c r="E2033" s="2" t="n"/>
      <c r="F2033" s="2" t="n"/>
      <c r="G2033" s="2" t="n"/>
      <c r="H2033" s="3" t="inlineStr">
        <is>
          <t>role: Country Directors France, Switzerland and Denmark; joined: spring 2026; reason as stated: strengthened country leadership, more execution decisions delegated in-country</t>
        </is>
      </c>
      <c r="I2033" s="2" t="inlineStr">
        <is>
          <t>S4</t>
        </is>
      </c>
      <c r="J2033" s="2" t="n">
        <v>8</v>
      </c>
      <c r="K2033" s="3" t="inlineStr">
        <is>
          <t>We strengthened country leadership in France, Switzerland and Denmark in spring</t>
        </is>
      </c>
      <c r="L2033" s="2" t="inlineStr">
        <is>
          <t>pend</t>
        </is>
      </c>
      <c r="M2033" s="2" t="n"/>
      <c r="N2033" s="2" t="n"/>
      <c r="O2033" s="3" t="inlineStr">
        <is>
          <t>https://vanillabonds.com/dossier-data/pdf/fastned/fastned-h1-2026-interim-report.pdf#page=8</t>
        </is>
      </c>
    </row>
    <row r="2034">
      <c r="A2034" s="2" t="inlineStr">
        <is>
          <t>F2033</t>
        </is>
      </c>
      <c r="B2034" s="2" t="inlineStr">
        <is>
          <t>plan</t>
        </is>
      </c>
      <c r="C2034" s="2" t="inlineStr">
        <is>
          <t>plan_variable</t>
        </is>
      </c>
      <c r="D2034" s="3" t="inlineStr">
        <is>
          <t>Plan claim as a variable: variable; value; year; reference_class; n; median; spread; percentile; source</t>
        </is>
      </c>
      <c r="E2034" s="2" t="n"/>
      <c r="F2034" s="2" t="n"/>
      <c r="G2034" s="2" t="n"/>
      <c r="H2034" s="3" t="inlineStr">
        <is>
          <t>variable: new station openings; value: 70-100; year: 2026; source: company guidance, maintained at H1 2026</t>
        </is>
      </c>
      <c r="I2034" s="2" t="inlineStr">
        <is>
          <t>S4</t>
        </is>
      </c>
      <c r="J2034" s="2" t="n">
        <v>8</v>
      </c>
      <c r="K2034" s="3" t="inlineStr">
        <is>
          <t>Fastned set guidance for 70-100 new stations during 2026.</t>
        </is>
      </c>
      <c r="L2034" s="2" t="inlineStr">
        <is>
          <t>pend</t>
        </is>
      </c>
      <c r="M2034" s="2" t="n"/>
      <c r="N2034" s="2" t="n"/>
      <c r="O2034" s="3" t="inlineStr">
        <is>
          <t>https://vanillabonds.com/dossier-data/pdf/fastned/fastned-h1-2026-interim-report.pdf#page=8</t>
        </is>
      </c>
    </row>
    <row r="2035">
      <c r="A2035" s="2" t="inlineStr">
        <is>
          <t>F2034</t>
        </is>
      </c>
      <c r="B2035" s="2" t="inlineStr">
        <is>
          <t>plan</t>
        </is>
      </c>
      <c r="C2035" s="2" t="inlineStr">
        <is>
          <t>company_downside</t>
        </is>
      </c>
      <c r="D2035" s="3" t="inlineStr">
        <is>
          <t>The company's own downside case: variable; year; value; assumption (status rep)</t>
        </is>
      </c>
      <c r="E2035" s="2" t="n"/>
      <c r="F2035" s="2" t="n"/>
      <c r="G2035" s="2" t="n"/>
      <c r="H2035" s="3" t="inlineStr">
        <is>
          <t>variable: liquidity forecast downside scenarios; year: H2 2026-2027; assumption: continued cost inflation incl. energy, supply chain and trade disruptions, softer road traffic, slower BEV sales growth vs base case; mitigating actions available incl. reducing capex</t>
        </is>
      </c>
      <c r="I2035" s="2" t="inlineStr">
        <is>
          <t>S4</t>
        </is>
      </c>
      <c r="J2035" s="2" t="n">
        <v>33</v>
      </c>
      <c r="K2035" s="3" t="inlineStr">
        <is>
          <t>downside scenarios, reflecting factors such as continued cost inflation (including</t>
        </is>
      </c>
      <c r="L2035" s="2" t="inlineStr">
        <is>
          <t>pend</t>
        </is>
      </c>
      <c r="M2035" s="2" t="n"/>
      <c r="N2035" s="2" t="n"/>
      <c r="O2035" s="3" t="inlineStr">
        <is>
          <t>https://vanillabonds.com/dossier-data/pdf/fastned/fastned-h1-2026-interim-report.pdf#page=33</t>
        </is>
      </c>
    </row>
    <row r="2036">
      <c r="A2036" s="2" t="inlineStr">
        <is>
          <t>F2035</t>
        </is>
      </c>
      <c r="B2036" s="2" t="inlineStr">
        <is>
          <t>structure</t>
        </is>
      </c>
      <c r="C2036" s="2" t="inlineStr">
        <is>
          <t>intercreditor_term</t>
        </is>
      </c>
      <c r="D2036" s="3" t="inlineStr">
        <is>
          <t>Intercreditor term: item (ranking, enforcement, standstill, payment blockage, release); agreed text</t>
        </is>
      </c>
      <c r="E2036" s="2" t="n"/>
      <c r="F2036" s="2" t="n"/>
      <c r="G2036" s="2" t="n"/>
      <c r="H2036" s="3" t="inlineStr">
        <is>
          <t>item: ranking; agreed text: green facility is secured and ranks senior, unlike the corporate bonds which are unsecured and not subordinated</t>
        </is>
      </c>
      <c r="I2036" s="2" t="inlineStr">
        <is>
          <t>S4</t>
        </is>
      </c>
      <c r="J2036" s="2" t="n">
        <v>44</v>
      </c>
      <c r="K2036" s="3" t="inlineStr">
        <is>
          <t>Unlike the Group's corporate bonds, the facility is secured and ranks senior</t>
        </is>
      </c>
      <c r="L2036" s="2" t="inlineStr">
        <is>
          <t>pend</t>
        </is>
      </c>
      <c r="M2036" s="2" t="n"/>
      <c r="N2036" s="2" t="n"/>
      <c r="O2036" s="3" t="inlineStr">
        <is>
          <t>https://vanillabonds.com/dossier-data/pdf/fastned/fastned-h1-2026-interim-report.pdf#page=44</t>
        </is>
      </c>
    </row>
    <row r="2037">
      <c r="A2037" s="2" t="inlineStr">
        <is>
          <t>F2036</t>
        </is>
      </c>
      <c r="B2037" s="2" t="inlineStr">
        <is>
          <t>compliance</t>
        </is>
      </c>
      <c r="C2037" s="2" t="inlineStr">
        <is>
          <t>litigation_item</t>
        </is>
      </c>
      <c r="D2037" s="3" t="inlineStr">
        <is>
          <t>Litigation, insolvency, fine or tax dispute: register; case; date; amount; status</t>
        </is>
      </c>
      <c r="E2037" s="2" t="n"/>
      <c r="F2037" s="2" t="n"/>
      <c r="G2037" s="2" t="n"/>
      <c r="H2037" s="3" t="inlineStr">
        <is>
          <t>register: Higher Regional Court of Duesseldorf; case: Fastned's legal campaign on German motorway charging locations; date: 2026-03; status: ruling confirmed that motorway charging locations must go through open and competitive tenders</t>
        </is>
      </c>
      <c r="I2037" s="2" t="inlineStr">
        <is>
          <t>S4</t>
        </is>
      </c>
      <c r="J2037" s="2" t="n">
        <v>8</v>
      </c>
      <c r="K2037" s="3" t="inlineStr">
        <is>
          <t>the March 2026 ruling from the Higher Regional Court of</t>
        </is>
      </c>
      <c r="L2037" s="2" t="inlineStr">
        <is>
          <t>pend</t>
        </is>
      </c>
      <c r="M2037" s="2" t="n"/>
      <c r="N2037" s="2" t="n"/>
      <c r="O2037" s="3" t="inlineStr">
        <is>
          <t>https://vanillabonds.com/dossier-data/pdf/fastned/fastned-h1-2026-interim-report.pdf#page=8</t>
        </is>
      </c>
    </row>
    <row r="2038">
      <c r="A2038" s="2" t="inlineStr">
        <is>
          <t>F2037</t>
        </is>
      </c>
      <c r="B2038" s="2" t="inlineStr">
        <is>
          <t>compliance</t>
        </is>
      </c>
      <c r="C2038" s="2" t="inlineStr">
        <is>
          <t>esg_fact</t>
        </is>
      </c>
      <c r="D2038" s="3" t="inlineStr">
        <is>
          <t>ESG fact: item (CSRD / VSME status, energy, emissions, taxonomy, permit, incident, labour); value; year; source</t>
        </is>
      </c>
      <c r="E2038" s="2" t="n"/>
      <c r="F2038" s="2" t="n">
        <v>101.9</v>
      </c>
      <c r="G2038" s="2" t="n"/>
      <c r="H2038" s="3" t="inlineStr">
        <is>
          <t>item: CO2 equivalent avoided; value: 101.9 kilotonnes; year: H1 2026; source: company (+38% vs H1 2025)</t>
        </is>
      </c>
      <c r="I2038" s="2" t="inlineStr">
        <is>
          <t>S4</t>
        </is>
      </c>
      <c r="J2038" s="2" t="n">
        <v>16</v>
      </c>
      <c r="K2038" s="3" t="inlineStr">
        <is>
          <t>we avoided the equivalent of 101.9 kilotonnes of</t>
        </is>
      </c>
      <c r="L2038" s="2" t="inlineStr">
        <is>
          <t>pend</t>
        </is>
      </c>
      <c r="M2038" s="2" t="n"/>
      <c r="N2038" s="2" t="n"/>
      <c r="O2038" s="3" t="inlineStr">
        <is>
          <t>https://vanillabonds.com/dossier-data/pdf/fastned/fastned-h1-2026-interim-report.pdf#page=16</t>
        </is>
      </c>
    </row>
    <row r="2039">
      <c r="A2039" s="2" t="inlineStr">
        <is>
          <t>F2038</t>
        </is>
      </c>
      <c r="B2039" s="2" t="inlineStr">
        <is>
          <t>compliance</t>
        </is>
      </c>
      <c r="C2039" s="2" t="inlineStr">
        <is>
          <t>esg_fact</t>
        </is>
      </c>
      <c r="D2039" s="3" t="inlineStr">
        <is>
          <t>ESG fact: item (CSRD / VSME status, energy, emissions, taxonomy, permit, incident, labour); value; year; source</t>
        </is>
      </c>
      <c r="E2039" s="2" t="n"/>
      <c r="F2039" s="2" t="n">
        <v>562.2</v>
      </c>
      <c r="G2039" s="2" t="n"/>
      <c r="H2039" s="3" t="inlineStr">
        <is>
          <t>item: electric kilometres powered; value: 562.2 million km; year: H1 2026; source: company</t>
        </is>
      </c>
      <c r="I2039" s="2" t="inlineStr">
        <is>
          <t>S4</t>
        </is>
      </c>
      <c r="J2039" s="2" t="n">
        <v>16</v>
      </c>
      <c r="K2039" s="3" t="inlineStr">
        <is>
          <t>drivers to cover over 562.2 million kilometres on European roads.</t>
        </is>
      </c>
      <c r="L2039" s="2" t="inlineStr">
        <is>
          <t>pend</t>
        </is>
      </c>
      <c r="M2039" s="2" t="n"/>
      <c r="N2039" s="2" t="n"/>
      <c r="O2039" s="3" t="inlineStr">
        <is>
          <t>https://vanillabonds.com/dossier-data/pdf/fastned/fastned-h1-2026-interim-report.pdf#page=16</t>
        </is>
      </c>
    </row>
    <row r="2040">
      <c r="A2040" s="2" t="inlineStr">
        <is>
          <t>F2039</t>
        </is>
      </c>
      <c r="B2040" s="2" t="inlineStr">
        <is>
          <t>compliance</t>
        </is>
      </c>
      <c r="C2040" s="2" t="inlineStr">
        <is>
          <t>esg_fact</t>
        </is>
      </c>
      <c r="D2040" s="3" t="inlineStr">
        <is>
          <t>ESG fact: item (CSRD / VSME status, energy, emissions, taxonomy, permit, incident, labour); value; year; source</t>
        </is>
      </c>
      <c r="E2040" s="2" t="n"/>
      <c r="F2040" s="2" t="n"/>
      <c r="G2040" s="2" t="n"/>
      <c r="H2040" s="3" t="inlineStr">
        <is>
          <t>item: energy; value: sells only renewable electricity; 2025 GoO and REGO purchases verified by Dutch Carbon Consultants; year: 2026; source: company</t>
        </is>
      </c>
      <c r="I2040" s="2" t="inlineStr">
        <is>
          <t>S4</t>
        </is>
      </c>
      <c r="J2040" s="2" t="n">
        <v>16</v>
      </c>
      <c r="K2040" s="3" t="inlineStr">
        <is>
          <t>Guarantee of Origin (GoO) and Renewable Energy Guarantee of</t>
        </is>
      </c>
      <c r="L2040" s="2" t="inlineStr">
        <is>
          <t>pend</t>
        </is>
      </c>
      <c r="M2040" s="2" t="n"/>
      <c r="N2040" s="2" t="n"/>
      <c r="O2040" s="3" t="inlineStr">
        <is>
          <t>https://vanillabonds.com/dossier-data/pdf/fastned/fastned-h1-2026-interim-report.pdf#page=16</t>
        </is>
      </c>
    </row>
    <row r="2041">
      <c r="A2041" s="2" t="inlineStr">
        <is>
          <t>F2040</t>
        </is>
      </c>
      <c r="B2041" s="2" t="inlineStr">
        <is>
          <t>compliance</t>
        </is>
      </c>
      <c r="C2041" s="2" t="inlineStr">
        <is>
          <t>esg_fact</t>
        </is>
      </c>
      <c r="D2041" s="3" t="inlineStr">
        <is>
          <t>ESG fact: item (CSRD / VSME status, energy, emissions, taxonomy, permit, incident, labour); value; year; source</t>
        </is>
      </c>
      <c r="E2041" s="2" t="n"/>
      <c r="F2041" s="2" t="n"/>
      <c r="G2041" s="2" t="n"/>
      <c r="H2041" s="3" t="inlineStr">
        <is>
          <t>item: green financing; value: EUR 100m facility designated green term facility; year: 2026; source: note 8.2</t>
        </is>
      </c>
      <c r="I2041" s="2" t="inlineStr">
        <is>
          <t>S4</t>
        </is>
      </c>
      <c r="J2041" s="2" t="n">
        <v>44</v>
      </c>
      <c r="K2041" s="3" t="inlineStr">
        <is>
          <t>green term facility with a syndicate of five lenders to finance the roll-out</t>
        </is>
      </c>
      <c r="L2041" s="2" t="inlineStr">
        <is>
          <t>pend</t>
        </is>
      </c>
      <c r="M2041" s="2" t="n"/>
      <c r="N2041" s="2" t="n"/>
      <c r="O2041" s="3" t="inlineStr">
        <is>
          <t>https://vanillabonds.com/dossier-data/pdf/fastned/fastned-h1-2026-interim-report.pdf#page=44</t>
        </is>
      </c>
    </row>
    <row r="2042">
      <c r="A2042" s="2" t="inlineStr">
        <is>
          <t>F2041</t>
        </is>
      </c>
      <c r="B2042" s="2" t="inlineStr">
        <is>
          <t>market_data</t>
        </is>
      </c>
      <c r="C2042" s="2" t="inlineStr">
        <is>
          <t>instrument_term</t>
        </is>
      </c>
      <c r="D2042" s="3" t="inlineStr">
        <is>
          <t>Instrument term: term (rate type, base rate, maturity, call, listing, ISIN, denomination, settlement, holders, transfer); value</t>
        </is>
      </c>
      <c r="E2042" s="2" t="n"/>
      <c r="F2042" s="2" t="n"/>
      <c r="G2042" s="2" t="n"/>
      <c r="H2042" s="3" t="inlineStr">
        <is>
          <t>term: holders (retail bonds); value: thousands of retail investors in the Netherlands and Belgium, more than 12,000 bondholders</t>
        </is>
      </c>
      <c r="I2042" s="2" t="inlineStr">
        <is>
          <t>S4</t>
        </is>
      </c>
      <c r="J2042" s="2" t="n">
        <v>12</v>
      </c>
      <c r="K2042" s="3" t="inlineStr">
        <is>
          <t>More than 12,000 bondholders have now invested in Fastned.</t>
        </is>
      </c>
      <c r="L2042" s="2" t="inlineStr">
        <is>
          <t>pend</t>
        </is>
      </c>
      <c r="M2042" s="2" t="n"/>
      <c r="N2042" s="2" t="n"/>
      <c r="O2042" s="3" t="inlineStr">
        <is>
          <t>https://vanillabonds.com/dossier-data/pdf/fastned/fastned-h1-2026-interim-report.pdf#page=12</t>
        </is>
      </c>
    </row>
    <row r="2043">
      <c r="A2043" s="2" t="inlineStr">
        <is>
          <t>F2042</t>
        </is>
      </c>
      <c r="B2043" s="2" t="inlineStr">
        <is>
          <t>market_data</t>
        </is>
      </c>
      <c r="C2043" s="2" t="inlineStr">
        <is>
          <t>instrument_term</t>
        </is>
      </c>
      <c r="D2043" s="3" t="inlineStr">
        <is>
          <t>Instrument term: term (rate type, base rate, maturity, call, listing, ISIN, denomination, settlement, holders, transfer); value</t>
        </is>
      </c>
      <c r="E2043" s="2" t="n"/>
      <c r="F2043" s="2" t="n"/>
      <c r="G2043" s="2" t="n"/>
      <c r="H2043" s="3" t="inlineStr">
        <is>
          <t>term: rate type (retail bonds 2026 series); value: fixed 6% per annum, payable quarterly in arrears</t>
        </is>
      </c>
      <c r="I2043" s="2" t="inlineStr">
        <is>
          <t>S4</t>
        </is>
      </c>
      <c r="J2043" s="2" t="n">
        <v>44</v>
      </c>
      <c r="K2043" s="3" t="inlineStr">
        <is>
          <t>Interest on this bond is 6% per annum, payable quarterly in arrears.</t>
        </is>
      </c>
      <c r="L2043" s="2" t="inlineStr">
        <is>
          <t>pend</t>
        </is>
      </c>
      <c r="M2043" s="2" t="n"/>
      <c r="N2043" s="2" t="n"/>
      <c r="O2043" s="3" t="inlineStr">
        <is>
          <t>https://vanillabonds.com/dossier-data/pdf/fastned/fastned-h1-2026-interim-report.pdf#page=44</t>
        </is>
      </c>
    </row>
    <row r="2044">
      <c r="A2044" s="2" t="inlineStr">
        <is>
          <t>F2043</t>
        </is>
      </c>
      <c r="B2044" s="2" t="inlineStr">
        <is>
          <t>market_data</t>
        </is>
      </c>
      <c r="C2044" s="2" t="inlineStr">
        <is>
          <t>instrument_term</t>
        </is>
      </c>
      <c r="D2044" s="3" t="inlineStr">
        <is>
          <t>Instrument term: term (rate type, base rate, maturity, call, listing, ISIN, denomination, settlement, holders, transfer); value</t>
        </is>
      </c>
      <c r="E2044" s="2" t="n"/>
      <c r="F2044" s="2" t="n"/>
      <c r="G2044" s="2" t="n"/>
      <c r="H2044" s="3" t="inlineStr">
        <is>
          <t>term: call; value: Group may repay all or part of outstanding bonds at any time where the Final Terms of the series allow early redemption</t>
        </is>
      </c>
      <c r="I2044" s="2" t="inlineStr">
        <is>
          <t>S4</t>
        </is>
      </c>
      <c r="J2044" s="2" t="n">
        <v>44</v>
      </c>
      <c r="K2044" s="3" t="inlineStr">
        <is>
          <t>The Group may repay all or part of the outstanding bonds at any time, provided</t>
        </is>
      </c>
      <c r="L2044" s="2" t="inlineStr">
        <is>
          <t>pend</t>
        </is>
      </c>
      <c r="M2044" s="2" t="n"/>
      <c r="N2044" s="2" t="n"/>
      <c r="O2044" s="3" t="inlineStr">
        <is>
          <t>https://vanillabonds.com/dossier-data/pdf/fastned/fastned-h1-2026-interim-report.pdf#page=44</t>
        </is>
      </c>
    </row>
    <row r="2045">
      <c r="A2045" s="2" t="inlineStr">
        <is>
          <t>F2044</t>
        </is>
      </c>
      <c r="B2045" s="2" t="inlineStr">
        <is>
          <t>market_data</t>
        </is>
      </c>
      <c r="C2045" s="2" t="inlineStr">
        <is>
          <t>instrument_term</t>
        </is>
      </c>
      <c r="D2045" s="3" t="inlineStr">
        <is>
          <t>Instrument term: term (rate type, base rate, maturity, call, listing, ISIN, denomination, settlement, holders, transfer); value</t>
        </is>
      </c>
      <c r="E2045" s="2" t="n"/>
      <c r="F2045" s="2" t="n"/>
      <c r="G2045" s="2" t="n"/>
      <c r="H2045" s="3" t="inlineStr">
        <is>
          <t>term: listing / transfer (retail bonds); value: not registered on any exchange, trading very limited, not subordinated</t>
        </is>
      </c>
      <c r="I2045" s="2" t="inlineStr">
        <is>
          <t>S4</t>
        </is>
      </c>
      <c r="J2045" s="2" t="n">
        <v>44</v>
      </c>
      <c r="K2045" s="3" t="inlineStr">
        <is>
          <t>not subordinated and trading is very limited as they are not registered on any</t>
        </is>
      </c>
      <c r="L2045" s="2" t="inlineStr">
        <is>
          <t>pend</t>
        </is>
      </c>
      <c r="M2045" s="2" t="n"/>
      <c r="N2045" s="2" t="n"/>
      <c r="O2045" s="3" t="inlineStr">
        <is>
          <t>https://vanillabonds.com/dossier-data/pdf/fastned/fastned-h1-2026-interim-report.pdf#page=44</t>
        </is>
      </c>
    </row>
    <row r="2046">
      <c r="A2046" s="2" t="inlineStr">
        <is>
          <t>F2045</t>
        </is>
      </c>
      <c r="B2046" s="2" t="inlineStr">
        <is>
          <t>market_data</t>
        </is>
      </c>
      <c r="C2046" s="2" t="inlineStr">
        <is>
          <t>instrument_term</t>
        </is>
      </c>
      <c r="D2046" s="3" t="inlineStr">
        <is>
          <t>Instrument term: term (rate type, base rate, maturity, call, listing, ISIN, denomination, settlement, holders, transfer); value</t>
        </is>
      </c>
      <c r="E2046" s="2" t="n"/>
      <c r="F2046" s="2" t="n"/>
      <c r="G2046" s="2" t="n"/>
      <c r="H2046" s="3" t="inlineStr">
        <is>
          <t>term: purpose (retail bonds); value: finance new stations and operating expenses</t>
        </is>
      </c>
      <c r="I2046" s="2" t="inlineStr">
        <is>
          <t>S4</t>
        </is>
      </c>
      <c r="J2046" s="2" t="n">
        <v>44</v>
      </c>
      <c r="K2046" s="3" t="inlineStr">
        <is>
          <t>The purpose of the bond is to finance new stations and operating expenses.</t>
        </is>
      </c>
      <c r="L2046" s="2" t="inlineStr">
        <is>
          <t>pend</t>
        </is>
      </c>
      <c r="M2046" s="2" t="n"/>
      <c r="N2046" s="2" t="n"/>
      <c r="O2046" s="3" t="inlineStr">
        <is>
          <t>https://vanillabonds.com/dossier-data/pdf/fastned/fastned-h1-2026-interim-report.pdf#page=44</t>
        </is>
      </c>
    </row>
    <row r="2047">
      <c r="A2047" s="2" t="inlineStr">
        <is>
          <t>F2046</t>
        </is>
      </c>
      <c r="B2047" s="2" t="inlineStr">
        <is>
          <t>market_data</t>
        </is>
      </c>
      <c r="C2047" s="2" t="inlineStr">
        <is>
          <t>instrument_term</t>
        </is>
      </c>
      <c r="D2047" s="3" t="inlineStr">
        <is>
          <t>Instrument term: term (rate type, base rate, maturity, call, listing, ISIN, denomination, settlement, holders, transfer); value</t>
        </is>
      </c>
      <c r="E2047" s="2" t="n"/>
      <c r="F2047" s="2" t="n"/>
      <c r="G2047" s="2" t="n"/>
      <c r="H2047" s="3" t="inlineStr">
        <is>
          <t>term: margin step-up (green facility floating tranches); value: margins step up over the term of the facility</t>
        </is>
      </c>
      <c r="I2047" s="2" t="inlineStr">
        <is>
          <t>S4</t>
        </is>
      </c>
      <c r="J2047" s="2" t="n">
        <v>44</v>
      </c>
      <c r="K2047" s="3" t="inlineStr">
        <is>
          <t>The margins on the floating tranches step up over the term of the facility.</t>
        </is>
      </c>
      <c r="L2047" s="2" t="inlineStr">
        <is>
          <t>pend</t>
        </is>
      </c>
      <c r="M2047" s="2" t="n"/>
      <c r="N2047" s="2" t="n"/>
      <c r="O2047" s="3" t="inlineStr">
        <is>
          <t>https://vanillabonds.com/dossier-data/pdf/fastned/fastned-h1-2026-interim-report.pdf#page=44</t>
        </is>
      </c>
    </row>
    <row r="2048">
      <c r="A2048" s="2" t="inlineStr">
        <is>
          <t>F2047</t>
        </is>
      </c>
      <c r="B2048" s="2" t="inlineStr">
        <is>
          <t>market_data</t>
        </is>
      </c>
      <c r="C2048" s="2" t="inlineStr">
        <is>
          <t>instrument_term</t>
        </is>
      </c>
      <c r="D2048" s="3" t="inlineStr">
        <is>
          <t>Instrument term: term (rate type, base rate, maturity, call, listing, ISIN, denomination, settlement, holders, transfer); value</t>
        </is>
      </c>
      <c r="E2048" s="2" t="n"/>
      <c r="F2048" s="2" t="n"/>
      <c r="G2048" s="2" t="n"/>
      <c r="H2048" s="3" t="inlineStr">
        <is>
          <t>term: incremental facilities (green facility); value: up to EUR 100m in aggregate, uncommitted, subject to lender approval of an updated financial model</t>
        </is>
      </c>
      <c r="I2048" s="2" t="inlineStr">
        <is>
          <t>S4</t>
        </is>
      </c>
      <c r="J2048" s="2" t="n">
        <v>44</v>
      </c>
      <c r="K2048" s="3" t="inlineStr">
        <is>
          <t>The agreement permits the Group to request incremental facilities of up to €100 million in aggregate.</t>
        </is>
      </c>
      <c r="L2048" s="2" t="inlineStr">
        <is>
          <t>pend</t>
        </is>
      </c>
      <c r="M2048" s="2" t="n"/>
      <c r="N2048" s="2" t="n"/>
      <c r="O2048" s="3" t="inlineStr">
        <is>
          <t>https://vanillabonds.com/dossier-data/pdf/fastned/fastned-h1-2026-interim-report.pdf#page=44</t>
        </is>
      </c>
    </row>
    <row r="2049">
      <c r="A2049" s="2" t="inlineStr">
        <is>
          <t>F2048</t>
        </is>
      </c>
      <c r="B2049" s="2" t="inlineStr">
        <is>
          <t>market_data</t>
        </is>
      </c>
      <c r="C2049" s="2" t="inlineStr">
        <is>
          <t>instrument_term</t>
        </is>
      </c>
      <c r="D2049" s="3" t="inlineStr">
        <is>
          <t>Instrument term: term (rate type, base rate, maturity, call, listing, ISIN, denomination, settlement, holders, transfer); value</t>
        </is>
      </c>
      <c r="E2049" s="2" t="n"/>
      <c r="F2049" s="2" t="n"/>
      <c r="G2049" s="2" t="n"/>
      <c r="H2049" s="3" t="inlineStr">
        <is>
          <t>term: secured loan interest (Caisse des Depots, 2022-2024); value: fixed 4% capitalised in first three years, then variable component based on kWh sold payable annually; variable interest paid since 2025</t>
        </is>
      </c>
      <c r="I2049" s="2" t="inlineStr">
        <is>
          <t>S4</t>
        </is>
      </c>
      <c r="J2049" s="2" t="n">
        <v>44</v>
      </c>
      <c r="K2049" s="3" t="inlineStr">
        <is>
          <t>Interest is a fixed component of 4% in the first three years and will be capitalised.</t>
        </is>
      </c>
      <c r="L2049" s="2" t="inlineStr">
        <is>
          <t>pend</t>
        </is>
      </c>
      <c r="M2049" s="2" t="n"/>
      <c r="N2049" s="2" t="n"/>
      <c r="O2049" s="3" t="inlineStr">
        <is>
          <t>https://vanillabonds.com/dossier-data/pdf/fastned/fastned-h1-2026-interim-report.pdf#page=44</t>
        </is>
      </c>
    </row>
    <row r="2050">
      <c r="A2050" s="2" t="inlineStr">
        <is>
          <t>F2049</t>
        </is>
      </c>
      <c r="B2050" s="2" t="inlineStr">
        <is>
          <t>market_data</t>
        </is>
      </c>
      <c r="C2050" s="2" t="inlineStr">
        <is>
          <t>instrument_term</t>
        </is>
      </c>
      <c r="D2050" s="3" t="inlineStr">
        <is>
          <t>Instrument term: term (rate type, base rate, maturity, call, listing, ISIN, denomination, settlement, holders, transfer); value</t>
        </is>
      </c>
      <c r="E2050" s="2" t="n"/>
      <c r="F2050" s="2" t="n"/>
      <c r="G2050" s="2" t="n"/>
      <c r="H2050" s="3" t="inlineStr">
        <is>
          <t>term: German government grant; value: interest-free loan unwound over the term, repaid via remuneration sharing at a fixed rate per kWh sold per site each quarter</t>
        </is>
      </c>
      <c r="I2050" s="2" t="inlineStr">
        <is>
          <t>S4</t>
        </is>
      </c>
      <c r="J2050" s="2" t="n">
        <v>44</v>
      </c>
      <c r="K2050" s="3" t="inlineStr">
        <is>
          <t>arrangement, based on a fixed rate per kWh sold per site each quarter.</t>
        </is>
      </c>
      <c r="L2050" s="2" t="inlineStr">
        <is>
          <t>pend</t>
        </is>
      </c>
      <c r="M2050" s="2" t="n"/>
      <c r="N2050" s="2" t="n"/>
      <c r="O2050" s="3" t="inlineStr">
        <is>
          <t>https://vanillabonds.com/dossier-data/pdf/fastned/fastned-h1-2026-interim-report.pdf#page=44</t>
        </is>
      </c>
    </row>
    <row r="2051">
      <c r="A2051" s="2" t="inlineStr">
        <is>
          <t>F2050</t>
        </is>
      </c>
      <c r="B2051" s="2" t="inlineStr">
        <is>
          <t>market_data</t>
        </is>
      </c>
      <c r="C2051" s="2" t="inlineStr">
        <is>
          <t>instrument_term</t>
        </is>
      </c>
      <c r="D2051" s="3" t="inlineStr">
        <is>
          <t>Instrument term: term (rate type, base rate, maturity, call, listing, ISIN, denomination, settlement, holders, transfer); value</t>
        </is>
      </c>
      <c r="E2051" s="2" t="n"/>
      <c r="F2051" s="2" t="n"/>
      <c r="G2051" s="2" t="n"/>
      <c r="H2051" s="3" t="inlineStr">
        <is>
          <t>term: repayment (green facility); value: bullet at maturity 22 Jan 2031 with mandatory cash sweep in years four and five, first sweep date 30 June 2029</t>
        </is>
      </c>
      <c r="I2051" s="2" t="inlineStr">
        <is>
          <t>S4</t>
        </is>
      </c>
      <c r="J2051" s="2" t="n">
        <v>45</v>
      </c>
      <c r="K2051" s="3" t="inlineStr">
        <is>
          <t>subject to a mandatory cash sweep in the fourth and fifth years under</t>
        </is>
      </c>
      <c r="L2051" s="2" t="inlineStr">
        <is>
          <t>pend</t>
        </is>
      </c>
      <c r="M2051" s="2" t="n"/>
      <c r="N2051" s="2" t="n"/>
      <c r="O2051" s="3" t="inlineStr">
        <is>
          <t>https://vanillabonds.com/dossier-data/pdf/fastned/fastned-h1-2026-interim-report.pdf#page=45</t>
        </is>
      </c>
    </row>
    <row r="2052">
      <c r="A2052" s="2" t="inlineStr">
        <is>
          <t>F2051</t>
        </is>
      </c>
      <c r="B2052" s="2" t="inlineStr">
        <is>
          <t>market_data</t>
        </is>
      </c>
      <c r="C2052" s="2" t="inlineStr">
        <is>
          <t>instrument_term</t>
        </is>
      </c>
      <c r="D2052" s="3" t="inlineStr">
        <is>
          <t>Instrument term: term (rate type, base rate, maturity, call, listing, ISIN, denomination, settlement, holders, transfer); value</t>
        </is>
      </c>
      <c r="E2052" s="2" t="n"/>
      <c r="F2052" s="2" t="n"/>
      <c r="G2052" s="2" t="n"/>
      <c r="H2052" s="3" t="inlineStr">
        <is>
          <t>term: hedging requirement (green facility); value: hedge a substantial portion of floating-rate interest risk; done via interest rate swaps</t>
        </is>
      </c>
      <c r="I2052" s="2" t="inlineStr">
        <is>
          <t>S4</t>
        </is>
      </c>
      <c r="J2052" s="2" t="n">
        <v>45</v>
      </c>
      <c r="K2052" s="3" t="inlineStr">
        <is>
          <t>the Group is required to hedge a substantial portion of the interest rate risk on the floating-rate tranches</t>
        </is>
      </c>
      <c r="L2052" s="2" t="inlineStr">
        <is>
          <t>pend</t>
        </is>
      </c>
      <c r="M2052" s="2" t="n"/>
      <c r="N2052" s="2" t="n"/>
      <c r="O2052" s="3" t="inlineStr">
        <is>
          <t>https://vanillabonds.com/dossier-data/pdf/fastned/fastned-h1-2026-interim-report.pdf#page=45</t>
        </is>
      </c>
    </row>
    <row r="2053">
      <c r="A2053" s="2" t="inlineStr">
        <is>
          <t>F2052</t>
        </is>
      </c>
      <c r="B2053" s="2" t="inlineStr">
        <is>
          <t>identity</t>
        </is>
      </c>
      <c r="C2053" s="2" t="inlineStr">
        <is>
          <t>legal_form</t>
        </is>
      </c>
      <c r="D2053" s="2" t="inlineStr">
        <is>
          <t>Legal form</t>
        </is>
      </c>
      <c r="E2053" s="2" t="n"/>
      <c r="F2053" s="2" t="n"/>
      <c r="G2053" s="2" t="n"/>
      <c r="H2053" s="3" t="inlineStr">
        <is>
          <t>Dutch private limited company (B.V.), incorporated and domiciled in the Netherlands.</t>
        </is>
      </c>
      <c r="I2053" s="2" t="inlineStr">
        <is>
          <t>S1</t>
        </is>
      </c>
      <c r="J2053" s="2" t="n">
        <v>97</v>
      </c>
      <c r="K2053" s="3" t="inlineStr">
        <is>
          <t>Fastned B.V. is a limited company incorporated and domiciled in the Netherlands (registered with the Dutch trade register under number 54606179)</t>
        </is>
      </c>
      <c r="L2053" s="2" t="inlineStr">
        <is>
          <t>ok</t>
        </is>
      </c>
      <c r="M2053" s="2" t="inlineStr">
        <is>
          <t>Sam Lakmaker</t>
        </is>
      </c>
      <c r="N2053" s="3" t="inlineStr">
        <is>
          <t>restored 20 Oct 2026 from review.csv: carried by hand on 19 Oct, not in the extraction cache, so extract.py --merge-only drops it</t>
        </is>
      </c>
      <c r="O2053" s="3" t="inlineStr">
        <is>
          <t>https://vanillabonds.com/dossier-data/pdf/fastned/fastned-2023-annual-report.pdf#page=97</t>
        </is>
      </c>
    </row>
    <row r="2054">
      <c r="A2054" s="2" t="inlineStr">
        <is>
          <t>F2053</t>
        </is>
      </c>
      <c r="B2054" s="2" t="inlineStr">
        <is>
          <t>identity</t>
        </is>
      </c>
      <c r="C2054" s="2" t="inlineStr">
        <is>
          <t>registry</t>
        </is>
      </c>
      <c r="D2054" s="2" t="inlineStr">
        <is>
          <t>Commercial register / registration no.</t>
        </is>
      </c>
      <c r="E2054" s="2" t="n"/>
      <c r="F2054" s="2" t="n"/>
      <c r="G2054" s="2" t="n"/>
      <c r="H2054" s="3" t="inlineStr">
        <is>
          <t>Dutch trade register (Chamber of Commerce / KvK) number 54606179.</t>
        </is>
      </c>
      <c r="I2054" s="2" t="inlineStr">
        <is>
          <t>S1</t>
        </is>
      </c>
      <c r="J2054" s="2" t="n">
        <v>97</v>
      </c>
      <c r="K2054" s="3" t="inlineStr">
        <is>
          <t>registered with the Dutch trade register under number 54606179</t>
        </is>
      </c>
      <c r="L2054" s="2" t="inlineStr">
        <is>
          <t>ok</t>
        </is>
      </c>
      <c r="M2054" s="2" t="inlineStr">
        <is>
          <t>Sam Lakmaker</t>
        </is>
      </c>
      <c r="N2054" s="3" t="inlineStr">
        <is>
          <t>restored 20 Oct 2026 from review.csv: carried by hand on 19 Oct, not in the extraction cache, so extract.py --merge-only drops it</t>
        </is>
      </c>
      <c r="O2054" s="3" t="inlineStr">
        <is>
          <t>https://vanillabonds.com/dossier-data/pdf/fastned/fastned-2023-annual-report.pdf#page=97</t>
        </is>
      </c>
    </row>
    <row r="2055">
      <c r="A2055" s="2" t="inlineStr">
        <is>
          <t>F2054</t>
        </is>
      </c>
      <c r="B2055" s="2" t="inlineStr">
        <is>
          <t>identity</t>
        </is>
      </c>
      <c r="C2055" s="2" t="inlineStr">
        <is>
          <t>founded</t>
        </is>
      </c>
      <c r="D2055" s="2" t="inlineStr">
        <is>
          <t>Founded</t>
        </is>
      </c>
      <c r="E2055" s="2" t="n"/>
      <c r="F2055" s="2" t="n"/>
      <c r="G2055" s="2" t="n"/>
      <c r="H2055" s="3" t="inlineStr">
        <is>
          <t>Founded about twelve years before 2023 (2011/2012); first station at Palmpol opened ten years before 2023.</t>
        </is>
      </c>
      <c r="I2055" s="2" t="inlineStr">
        <is>
          <t>S1</t>
        </is>
      </c>
      <c r="J2055" s="2" t="n">
        <v>14</v>
      </c>
      <c r="K2055" s="3" t="inlineStr">
        <is>
          <t>Twelve years ago, Fastned set out to give freedom to electric drivers and accelerate the transition to electric mobility.</t>
        </is>
      </c>
      <c r="L2055" s="2" t="inlineStr">
        <is>
          <t>ok</t>
        </is>
      </c>
      <c r="M2055" s="2" t="inlineStr">
        <is>
          <t>Sam Lakmaker</t>
        </is>
      </c>
      <c r="N2055" s="3" t="inlineStr">
        <is>
          <t>restored 20 Oct 2026 from review.csv: carried by hand on 19 Oct, not in the extraction cache, so extract.py --merge-only drops it</t>
        </is>
      </c>
      <c r="O2055" s="3" t="inlineStr">
        <is>
          <t>https://vanillabonds.com/dossier-data/pdf/fastned/fastned-2023-annual-report.pdf#page=14</t>
        </is>
      </c>
    </row>
    <row r="2056">
      <c r="A2056" s="2" t="inlineStr">
        <is>
          <t>F2055</t>
        </is>
      </c>
      <c r="B2056" s="2" t="inlineStr">
        <is>
          <t>identity</t>
        </is>
      </c>
      <c r="C2056" s="2" t="inlineStr">
        <is>
          <t>registered_office</t>
        </is>
      </c>
      <c r="D2056" s="2" t="inlineStr">
        <is>
          <t>Registered office</t>
        </is>
      </c>
      <c r="E2056" s="2" t="n"/>
      <c r="F2056" s="2" t="n"/>
      <c r="G2056" s="2" t="n"/>
      <c r="H2056" s="3" t="inlineStr">
        <is>
          <t>Mondriaantoren, floors 21 and 22, Amstelplein 44, Amsterdam, the Netherlands.</t>
        </is>
      </c>
      <c r="I2056" s="2" t="inlineStr">
        <is>
          <t>S1</t>
        </is>
      </c>
      <c r="J2056" s="2" t="n">
        <v>97</v>
      </c>
      <c r="K2056" s="3" t="inlineStr">
        <is>
          <t>The registered office is located at Mondriaantoren, floor 21 &amp; 22, Amstelplein 44 in Amsterdam.</t>
        </is>
      </c>
      <c r="L2056" s="2" t="inlineStr">
        <is>
          <t>ok</t>
        </is>
      </c>
      <c r="M2056" s="2" t="inlineStr">
        <is>
          <t>Sam Lakmaker</t>
        </is>
      </c>
      <c r="N2056" s="3" t="inlineStr">
        <is>
          <t>restored 20 Oct 2026 from review.csv: carried by hand on 19 Oct, not in the extraction cache, so extract.py --merge-only drops it</t>
        </is>
      </c>
      <c r="O2056" s="3" t="inlineStr">
        <is>
          <t>https://vanillabonds.com/dossier-data/pdf/fastned/fastned-2023-annual-report.pdf#page=97</t>
        </is>
      </c>
    </row>
    <row r="2057">
      <c r="A2057" s="2" t="inlineStr">
        <is>
          <t>F2056</t>
        </is>
      </c>
      <c r="B2057" s="2" t="inlineStr">
        <is>
          <t>identity</t>
        </is>
      </c>
      <c r="C2057" s="2" t="inlineStr">
        <is>
          <t>sector</t>
        </is>
      </c>
      <c r="D2057" s="2" t="inlineStr">
        <is>
          <t>Sector</t>
        </is>
      </c>
      <c r="E2057" s="2" t="n"/>
      <c r="F2057" s="2" t="n"/>
      <c r="G2057" s="2" t="n"/>
      <c r="H2057" s="3" t="inlineStr">
        <is>
          <t>Developer, owner and operator of fast-charging stations for fully electric and hybrid cars (EV charging infrastructure).</t>
        </is>
      </c>
      <c r="I2057" s="2" t="inlineStr">
        <is>
          <t>S1</t>
        </is>
      </c>
      <c r="J2057" s="2" t="n">
        <v>97</v>
      </c>
      <c r="K2057" s="3" t="inlineStr">
        <is>
          <t>consist of the exploitation of fast charging facilities for fully electric and hybrid cars.</t>
        </is>
      </c>
      <c r="L2057" s="2" t="inlineStr">
        <is>
          <t>ok</t>
        </is>
      </c>
      <c r="M2057" s="2" t="inlineStr">
        <is>
          <t>Sam Lakmaker</t>
        </is>
      </c>
      <c r="N2057" s="3" t="inlineStr">
        <is>
          <t>restored 20 Oct 2026 from review.csv: carried by hand on 19 Oct, not in the extraction cache, so extract.py --merge-only drops it</t>
        </is>
      </c>
      <c r="O2057" s="3" t="inlineStr">
        <is>
          <t>https://vanillabonds.com/dossier-data/pdf/fastned/fastned-2023-annual-report.pdf#page=97</t>
        </is>
      </c>
    </row>
    <row r="2058">
      <c r="A2058" s="2" t="inlineStr">
        <is>
          <t>F2057</t>
        </is>
      </c>
      <c r="B2058" s="2" t="inlineStr">
        <is>
          <t>management</t>
        </is>
      </c>
      <c r="C2058" s="2" t="inlineStr">
        <is>
          <t>mgmt_person</t>
        </is>
      </c>
      <c r="D2058" s="3" t="inlineStr">
        <is>
          <t>Executive: name, role, since, prior roles (register / report)</t>
        </is>
      </c>
      <c r="E2058" s="2" t="n"/>
      <c r="F2058" s="2" t="n"/>
      <c r="G2058" s="2" t="n"/>
      <c r="H2058" s="3" t="inlineStr">
        <is>
          <t>Liselotte Kooi, background as stated; As a corporate lawyer at De Brauw Blackstone Westbroek N.V. and other law firms in Amsterdam and New York, Liselotte advised companies, investors, financial institutions and investment funds in the field of corporate governance, finance and M&amp;A transactions. Since 2013, Liselotte has worked at Royal FrieslandCampina N.V., a large Dutch dairy cooperative and multinational.</t>
        </is>
      </c>
      <c r="I2058" s="2" t="inlineStr">
        <is>
          <t>S3</t>
        </is>
      </c>
      <c r="J2058" s="2" t="n">
        <v>105</v>
      </c>
      <c r="K2058" s="3" t="inlineStr">
        <is>
          <t>As a corporate lawyer at De Brauw Blackstone Westbroek N.V. and other law firms in Amsterdam and New York, Liselotte advised companies, investors, financial institutions and investment funds in the field of corporate governance, finance and M&amp;A transactions. Since 2013, Liselotte has worked at Royal FrieslandCampina N.V., a large Dutch dairy cooperative and multinational.</t>
        </is>
      </c>
      <c r="L2058" s="2" t="inlineStr">
        <is>
          <t>pend</t>
        </is>
      </c>
      <c r="M2058" s="2" t="n"/>
      <c r="N2058" s="3" t="inlineStr">
        <is>
          <t>biography sentences quoted verbatim (bios.py, 2026-10-24)</t>
        </is>
      </c>
      <c r="O2058" s="3" t="inlineStr">
        <is>
          <t>https://vanillabonds.com/dossier-data/pdf/fastned/fastned-2025-annual-report.pdf#page=105</t>
        </is>
      </c>
    </row>
    <row r="2059">
      <c r="A2059" s="2" t="inlineStr">
        <is>
          <t>F2058</t>
        </is>
      </c>
      <c r="B2059" s="2" t="inlineStr">
        <is>
          <t>management</t>
        </is>
      </c>
      <c r="C2059" s="2" t="inlineStr">
        <is>
          <t>mgmt_person</t>
        </is>
      </c>
      <c r="D2059" s="3" t="inlineStr">
        <is>
          <t>Executive: name, role, since, prior roles (register / report)</t>
        </is>
      </c>
      <c r="E2059" s="2" t="n"/>
      <c r="F2059" s="2" t="n"/>
      <c r="G2059" s="2" t="n"/>
      <c r="H2059" s="3" t="inlineStr">
        <is>
          <t>Jérôme Janssen, background as stated; Jérôme Janssen joined Schroders Capital in January 2019 as co-head of infrastructure equity investments. Jérôme was previously in charge of infrastructure investments at Crédit Agricole Assurances (CAA), a European leading institutional investor.</t>
        </is>
      </c>
      <c r="I2059" s="2" t="inlineStr">
        <is>
          <t>S3</t>
        </is>
      </c>
      <c r="J2059" s="2" t="n">
        <v>106</v>
      </c>
      <c r="K2059" s="3" t="inlineStr">
        <is>
          <t>Jérôme Janssen joined Schroders Capital in January 2019 as co-head of infrastructure equity investments. Jérôme was previously in charge of infrastructure investments at Crédit Agricole Assurances (CAA), a European leading institutional investor.</t>
        </is>
      </c>
      <c r="L2059" s="2" t="inlineStr">
        <is>
          <t>pend</t>
        </is>
      </c>
      <c r="M2059" s="2" t="n"/>
      <c r="N2059" s="3" t="inlineStr">
        <is>
          <t>biography sentences quoted verbatim (bios.py, 2026-10-24)</t>
        </is>
      </c>
      <c r="O2059" s="3" t="inlineStr">
        <is>
          <t>https://vanillabonds.com/dossier-data/pdf/fastned/fastned-2025-annual-report.pdf#page=106</t>
        </is>
      </c>
    </row>
    <row r="2060">
      <c r="A2060" s="2" t="inlineStr">
        <is>
          <t>F2059</t>
        </is>
      </c>
      <c r="B2060" s="2" t="inlineStr">
        <is>
          <t>management</t>
        </is>
      </c>
      <c r="C2060" s="2" t="inlineStr">
        <is>
          <t>mgmt_person</t>
        </is>
      </c>
      <c r="D2060" s="3" t="inlineStr">
        <is>
          <t>Executive: name, role, since, prior roles (register / report)</t>
        </is>
      </c>
      <c r="E2060" s="2" t="n"/>
      <c r="F2060" s="2" t="n"/>
      <c r="G2060" s="2" t="n"/>
      <c r="H2060" s="3" t="inlineStr">
        <is>
          <t>Bart Lubbers, background as stated; Bart worked in corporate finance at PwC and was a member of the Supervisory Boards of Qwic, Epyon, Mercon Steel Structures B.V., Hotel Figi, and Metro Newspaper in the Netherlands (which he also founded). Bart holds an MBA from the Rotterdam School of Management and a master’s degree in History from the University of Utrecht in the Netherlands.</t>
        </is>
      </c>
      <c r="I2060" s="2" t="inlineStr">
        <is>
          <t>S3</t>
        </is>
      </c>
      <c r="J2060" s="2" t="n">
        <v>106</v>
      </c>
      <c r="K2060" s="3" t="inlineStr">
        <is>
          <t>Bart worked in corporate finance at PwC and was a member of the Supervisory Boards of Qwic, Epyon, Mercon Steel Structures B.V., Hotel Figi, and Metro Newspaper in the Netherlands (which he also founded). Bart holds an MBA from the Rotterdam School of Management and a master’s degree in History from the University of Utrecht in the Netherlands.</t>
        </is>
      </c>
      <c r="L2060" s="2" t="inlineStr">
        <is>
          <t>pend</t>
        </is>
      </c>
      <c r="M2060" s="2" t="n"/>
      <c r="N2060" s="3" t="inlineStr">
        <is>
          <t>biography sentences quoted verbatim (bios.py, 2026-10-24)</t>
        </is>
      </c>
      <c r="O2060" s="3" t="inlineStr">
        <is>
          <t>https://vanillabonds.com/dossier-data/pdf/fastned/fastned-2025-annual-report.pdf#page=106</t>
        </is>
      </c>
    </row>
    <row r="2061">
      <c r="A2061" s="2" t="inlineStr">
        <is>
          <t>F2060</t>
        </is>
      </c>
      <c r="B2061" s="2" t="inlineStr">
        <is>
          <t>management</t>
        </is>
      </c>
      <c r="C2061" s="2" t="inlineStr">
        <is>
          <t>mgmt_person</t>
        </is>
      </c>
      <c r="D2061" s="3" t="inlineStr">
        <is>
          <t>Executive: name, role, since, prior roles (register / report)</t>
        </is>
      </c>
      <c r="E2061" s="2" t="n"/>
      <c r="F2061" s="2" t="n"/>
      <c r="G2061" s="2" t="n"/>
      <c r="H2061" s="3" t="inlineStr">
        <is>
          <t>Nancy Kabalt, background as stated; Nancy is working as an independent entrepreneur and partner at Windkracht 5!, a consultancy company in the energy sector. In addition, she fulfils various roles in organisations at the heart of the energy transition.</t>
        </is>
      </c>
      <c r="I2061" s="2" t="inlineStr">
        <is>
          <t>S3</t>
        </is>
      </c>
      <c r="J2061" s="2" t="n">
        <v>106</v>
      </c>
      <c r="K2061" s="3" t="inlineStr">
        <is>
          <t>Nancy is working as an independent entrepreneur and partner at Windkracht 5!, a consultancy company in the energy sector. In addition, she fulfils various roles in organisations at the heart of the energy transition.</t>
        </is>
      </c>
      <c r="L2061" s="2" t="inlineStr">
        <is>
          <t>pend</t>
        </is>
      </c>
      <c r="M2061" s="2" t="n"/>
      <c r="N2061" s="3" t="inlineStr">
        <is>
          <t>biography sentences quoted verbatim (bios.py, 2026-10-24)</t>
        </is>
      </c>
      <c r="O2061" s="3" t="inlineStr">
        <is>
          <t>https://vanillabonds.com/dossier-data/pdf/fastned/fastned-2025-annual-report.pdf#page=106</t>
        </is>
      </c>
    </row>
    <row r="2062">
      <c r="A2062" s="2" t="inlineStr">
        <is>
          <t>F2061</t>
        </is>
      </c>
      <c r="B2062" s="2" t="inlineStr">
        <is>
          <t>management</t>
        </is>
      </c>
      <c r="C2062" s="2" t="inlineStr">
        <is>
          <t>mgmt_person</t>
        </is>
      </c>
      <c r="D2062" s="3" t="inlineStr">
        <is>
          <t>Executive: name, role, since, prior roles (register / report)</t>
        </is>
      </c>
      <c r="E2062" s="2" t="n"/>
      <c r="F2062" s="2" t="n"/>
      <c r="G2062" s="2" t="n"/>
      <c r="H2062" s="3" t="inlineStr">
        <is>
          <t>Maaike Veen, background as stated; After completing an economics degree and a postgraduate degree in journalism, Maaike started her career in international journalism. Between 2004 - 2013 Maaike lived in London, where she was a UK &amp; Ireland correspondent for Dutch national media (e.g. Trouw, Elsevier).</t>
        </is>
      </c>
      <c r="I2062" s="2" t="inlineStr">
        <is>
          <t>S3</t>
        </is>
      </c>
      <c r="J2062" s="2" t="n">
        <v>107</v>
      </c>
      <c r="K2062" s="3" t="inlineStr">
        <is>
          <t>After completing an economics degree and a postgraduate degree in journalism, Maaike started her career in international journalism. Between 2004 - 2013 Maaike lived in London, where she was a UK &amp; Ireland correspondent for Dutch national media (e.g. Trouw, Elsevier).</t>
        </is>
      </c>
      <c r="L2062" s="2" t="inlineStr">
        <is>
          <t>pend</t>
        </is>
      </c>
      <c r="M2062" s="2" t="n"/>
      <c r="N2062" s="3" t="inlineStr">
        <is>
          <t>biography sentences quoted verbatim (bios.py, 2026-10-24)</t>
        </is>
      </c>
      <c r="O2062" s="3" t="inlineStr">
        <is>
          <t>https://vanillabonds.com/dossier-data/pdf/fastned/fastned-2025-annual-report.pdf#page=107</t>
        </is>
      </c>
    </row>
    <row r="2063">
      <c r="A2063" s="2" t="inlineStr">
        <is>
          <t>F2062</t>
        </is>
      </c>
      <c r="B2063" s="2" t="inlineStr">
        <is>
          <t>management</t>
        </is>
      </c>
      <c r="C2063" s="2" t="inlineStr">
        <is>
          <t>mgmt_person</t>
        </is>
      </c>
      <c r="D2063" s="3" t="inlineStr">
        <is>
          <t>Executive: name, role, since, prior roles (register / report)</t>
        </is>
      </c>
      <c r="E2063" s="2" t="n"/>
      <c r="F2063" s="2" t="n"/>
      <c r="G2063" s="2" t="n"/>
      <c r="H2063" s="3" t="inlineStr">
        <is>
          <t>Henk Pals, background as stated; Henk, a former CPA, is a partner at Dutch Dream Group, an M&amp;A and corporate finance advisory firm. His most high-profile deal was the sale of Marktplaats to Ebay.</t>
        </is>
      </c>
      <c r="I2063" s="2" t="inlineStr">
        <is>
          <t>S3</t>
        </is>
      </c>
      <c r="J2063" s="2" t="n">
        <v>108</v>
      </c>
      <c r="K2063" s="3" t="inlineStr">
        <is>
          <t>Henk, a former CPA, is a partner at Dutch Dream Group, an M&amp;A and corporate finance advisory firm. His most high-profile deal was the sale of Marktplaats to Ebay.</t>
        </is>
      </c>
      <c r="L2063" s="2" t="inlineStr">
        <is>
          <t>pend</t>
        </is>
      </c>
      <c r="M2063" s="2" t="n"/>
      <c r="N2063" s="3" t="inlineStr">
        <is>
          <t>biography sentences quoted verbatim (bios.py, 2026-10-24)</t>
        </is>
      </c>
      <c r="O2063" s="3" t="inlineStr">
        <is>
          <t>https://vanillabonds.com/dossier-data/pdf/fastned/fastned-2025-annual-report.pdf#page=108</t>
        </is>
      </c>
    </row>
    <row r="2064">
      <c r="A2064" s="2" t="inlineStr">
        <is>
          <t>F2063</t>
        </is>
      </c>
      <c r="B2064" s="2" t="inlineStr">
        <is>
          <t>management</t>
        </is>
      </c>
      <c r="C2064" s="2" t="inlineStr">
        <is>
          <t>mgmt_person</t>
        </is>
      </c>
      <c r="D2064" s="3" t="inlineStr">
        <is>
          <t>Executive: name, role, since, prior roles (register / report)</t>
        </is>
      </c>
      <c r="E2064" s="2" t="n"/>
      <c r="F2064" s="2" t="n"/>
      <c r="G2064" s="2" t="n"/>
      <c r="H2064" s="3" t="inlineStr">
        <is>
          <t>Michiel Weghs, background as stated; After graduating from Delft University of Technology, he worked in the Power &amp; Utilities team of the Corporate Finance branch of ABN AMRO. He currently works at the Port of Rotterdam Authority, where he focuses on the financing of sustainable projects and companies in the transportation and circular sector.</t>
        </is>
      </c>
      <c r="I2064" s="2" t="inlineStr">
        <is>
          <t>S2</t>
        </is>
      </c>
      <c r="J2064" s="2" t="n">
        <v>92</v>
      </c>
      <c r="K2064" s="3" t="inlineStr">
        <is>
          <t>After graduating from Delft University of Technology, he worked in the Power &amp; Utilities team of the Corporate Finance branch of ABN AMRO. He currently works at the Port of Rotterdam Authority, where he focuses on the financing of sustainable projects and companies in the transportation and circular sector.</t>
        </is>
      </c>
      <c r="L2064" s="2" t="inlineStr">
        <is>
          <t>pend</t>
        </is>
      </c>
      <c r="M2064" s="2" t="n"/>
      <c r="N2064" s="3" t="inlineStr">
        <is>
          <t>biography sentences quoted verbatim (bios.py, 2026-10-24)</t>
        </is>
      </c>
      <c r="O2064" s="3" t="inlineStr">
        <is>
          <t>https://vanillabonds.com/dossier-data/pdf/fastned/fastned-2024-annual-report.pdf#page=92</t>
        </is>
      </c>
    </row>
    <row r="2065">
      <c r="A2065" s="2" t="inlineStr">
        <is>
          <t>F2064</t>
        </is>
      </c>
      <c r="B2065" s="2" t="inlineStr">
        <is>
          <t>management</t>
        </is>
      </c>
      <c r="C2065" s="2" t="inlineStr">
        <is>
          <t>mgmt_person</t>
        </is>
      </c>
      <c r="D2065" s="3" t="inlineStr">
        <is>
          <t>Executive: name, role, since, prior roles (register / report)</t>
        </is>
      </c>
      <c r="E2065" s="2" t="n"/>
      <c r="F2065" s="2" t="n"/>
      <c r="G2065" s="2" t="n"/>
      <c r="H2065" s="3" t="inlineStr">
        <is>
          <t>Michiel Langezaal, background as stated; Before the founding of Fastned and his appointment as CEO of the Company in 2012, Michiel was New Business Developer at Epyon/ABB, a maker of fast chargers for electric vehicles, from 2010 to 2012. Before that, he worked as a strategy consultant at A.T. Kearney from 2007 to 2010.</t>
        </is>
      </c>
      <c r="I2065" s="2" t="inlineStr">
        <is>
          <t>S3</t>
        </is>
      </c>
      <c r="J2065" s="2" t="n">
        <v>109</v>
      </c>
      <c r="K2065" s="3" t="inlineStr">
        <is>
          <t>Before the founding of Fastned and his appointment as CEO of the Company in 2012, Michiel was New Business Developer at Epyon/ABB, a maker of fast chargers for electric vehicles, from 2010 to 2012. Before that, he worked as a strategy consultant at A.T. Kearney from 2007 to 2010.</t>
        </is>
      </c>
      <c r="L2065" s="2" t="inlineStr">
        <is>
          <t>pend</t>
        </is>
      </c>
      <c r="M2065" s="2" t="n"/>
      <c r="N2065" s="3" t="inlineStr">
        <is>
          <t>biography sentences quoted verbatim (bios.py, 2026-10-24)</t>
        </is>
      </c>
      <c r="O2065" s="3" t="inlineStr">
        <is>
          <t>https://vanillabonds.com/dossier-data/pdf/fastned/fastned-2025-annual-report.pdf#page=109</t>
        </is>
      </c>
    </row>
    <row r="2066">
      <c r="A2066" s="2" t="inlineStr">
        <is>
          <t>F2065</t>
        </is>
      </c>
      <c r="B2066" s="2" t="inlineStr">
        <is>
          <t>management</t>
        </is>
      </c>
      <c r="C2066" s="2" t="inlineStr">
        <is>
          <t>mgmt_person</t>
        </is>
      </c>
      <c r="D2066" s="3" t="inlineStr">
        <is>
          <t>Executive: name, role, since, prior roles (register / report)</t>
        </is>
      </c>
      <c r="E2066" s="2" t="n"/>
      <c r="F2066" s="2" t="n"/>
      <c r="G2066" s="2" t="n"/>
      <c r="H2066" s="3" t="inlineStr">
        <is>
          <t>Victor van Dijk, background as stated; Before his appointment as member of the Management Board of Fastned in 2019, Victor worked at ING as Managing Director Debt Capital Markets (DCM) where he had been responsible for corporate DCM in Germany, Switzerland and Austria since 2012. Victor has more than 14 years of work experience in various positions at ING, in roles mainly focused on corporate funding and capital structuring.</t>
        </is>
      </c>
      <c r="I2066" s="2" t="inlineStr">
        <is>
          <t>S3</t>
        </is>
      </c>
      <c r="J2066" s="2" t="n">
        <v>110</v>
      </c>
      <c r="K2066" s="3" t="inlineStr">
        <is>
          <t>Before his appointment as member of the Management Board of Fastned in 2019, Victor worked at ING as Managing Director Debt Capital Markets (DCM) where he had been responsible for corporate DCM in Germany, Switzerland and Austria since 2012. Victor has more than 14 years of work experience in various positions at ING, in roles mainly focused on corporate funding and capital structuring.</t>
        </is>
      </c>
      <c r="L2066" s="2" t="inlineStr">
        <is>
          <t>pend</t>
        </is>
      </c>
      <c r="M2066" s="2" t="n"/>
      <c r="N2066" s="3" t="inlineStr">
        <is>
          <t>biography sentences quoted verbatim (bios.py, 2026-10-24)</t>
        </is>
      </c>
      <c r="O2066" s="3" t="inlineStr">
        <is>
          <t>https://vanillabonds.com/dossier-data/pdf/fastned/fastned-2025-annual-report.pdf#page=110</t>
        </is>
      </c>
    </row>
    <row r="2067">
      <c r="A2067" s="2" t="inlineStr">
        <is>
          <t>F2066</t>
        </is>
      </c>
      <c r="B2067" s="2" t="inlineStr">
        <is>
          <t>management</t>
        </is>
      </c>
      <c r="C2067" s="2" t="inlineStr">
        <is>
          <t>mgmt_person</t>
        </is>
      </c>
      <c r="D2067" s="3" t="inlineStr">
        <is>
          <t>Executive: name, role, since, prior roles (register / report)</t>
        </is>
      </c>
      <c r="E2067" s="2" t="n"/>
      <c r="F2067" s="2" t="n"/>
      <c r="G2067" s="2" t="n"/>
      <c r="H2067" s="3" t="inlineStr">
        <is>
          <t>Niels Korthals Altes, background as stated; Between 2013 and 2022 Niels was Head of Funding and Chief Commercial Officer (CCO) at the company, playing a key role in Fastned’s IPO as well as developing the public bonds programme. Earlier in his career, Niels was founder and director of Windcentrale B.V., director at Climate Neutral Group B.V., and founder and Managing Director of GreenSeat B.V.</t>
        </is>
      </c>
      <c r="I2067" s="2" t="inlineStr">
        <is>
          <t>S3</t>
        </is>
      </c>
      <c r="J2067" s="2" t="n">
        <v>108</v>
      </c>
      <c r="K2067" s="3" t="inlineStr">
        <is>
          <t>Between 2013 and 2022 Niels was Head of Funding and Chief Commercial Officer (CCO) at the company, playing a key role in Fastned’s IPO as well as developing the public bonds programme. Earlier in his career, Niels was founder and director of Windcentrale B.V., director at Climate Neutral Group B.V., and founder and Managing Director of GreenSeat B.V.</t>
        </is>
      </c>
      <c r="L2067" s="2" t="inlineStr">
        <is>
          <t>pend</t>
        </is>
      </c>
      <c r="M2067" s="2" t="n"/>
      <c r="N2067" s="3" t="inlineStr">
        <is>
          <t>biography sentences quoted verbatim (bios.py, 2026-10-24)</t>
        </is>
      </c>
      <c r="O2067" s="3" t="inlineStr">
        <is>
          <t>https://vanillabonds.com/dossier-data/pdf/fastned/fastned-2025-annual-report.pdf#page=108</t>
        </is>
      </c>
    </row>
    <row r="2068">
      <c r="A2068" s="2" t="inlineStr">
        <is>
          <t>F2067</t>
        </is>
      </c>
      <c r="B2068" s="2" t="inlineStr">
        <is>
          <t>management</t>
        </is>
      </c>
      <c r="C2068" s="2" t="inlineStr">
        <is>
          <t>mgmt_person</t>
        </is>
      </c>
      <c r="D2068" s="3" t="inlineStr">
        <is>
          <t>Executive: name, role, since, prior roles (register / report)</t>
        </is>
      </c>
      <c r="E2068" s="2" t="n"/>
      <c r="F2068" s="2" t="n"/>
      <c r="G2068" s="2" t="n"/>
      <c r="H2068" s="3" t="inlineStr">
        <is>
          <t>Françoise Poggi, background as stated; Following terms with renowned companies such as Cisco Systems and Sonos, Inc., Françoise joined Tesla in 2017.</t>
        </is>
      </c>
      <c r="I2068" s="2" t="inlineStr">
        <is>
          <t>S3</t>
        </is>
      </c>
      <c r="J2068" s="2" t="n">
        <v>110</v>
      </c>
      <c r="K2068" s="3" t="inlineStr">
        <is>
          <t>Following terms with renowned companies such as Cisco Systems and Sonos, Inc., Françoise joined Tesla in 2017.</t>
        </is>
      </c>
      <c r="L2068" s="2" t="inlineStr">
        <is>
          <t>pend</t>
        </is>
      </c>
      <c r="M2068" s="2" t="n"/>
      <c r="N2068" s="3" t="inlineStr">
        <is>
          <t>biography sentences quoted verbatim (bios.py, 2026-10-24)</t>
        </is>
      </c>
      <c r="O2068" s="3" t="inlineStr">
        <is>
          <t>https://vanillabonds.com/dossier-data/pdf/fastned/fastned-2025-annual-report.pdf#page=110</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 xmlns:r="http://schemas.openxmlformats.org/officeDocument/2006/relationships" ref="O894" r:id="rId893"/>
    <hyperlink xmlns:r="http://schemas.openxmlformats.org/officeDocument/2006/relationships" ref="O895" r:id="rId894"/>
    <hyperlink xmlns:r="http://schemas.openxmlformats.org/officeDocument/2006/relationships" ref="O896" r:id="rId895"/>
    <hyperlink xmlns:r="http://schemas.openxmlformats.org/officeDocument/2006/relationships" ref="O897" r:id="rId896"/>
    <hyperlink xmlns:r="http://schemas.openxmlformats.org/officeDocument/2006/relationships" ref="O898" r:id="rId897"/>
    <hyperlink xmlns:r="http://schemas.openxmlformats.org/officeDocument/2006/relationships" ref="O899" r:id="rId898"/>
    <hyperlink xmlns:r="http://schemas.openxmlformats.org/officeDocument/2006/relationships" ref="O900" r:id="rId899"/>
    <hyperlink xmlns:r="http://schemas.openxmlformats.org/officeDocument/2006/relationships" ref="O901" r:id="rId900"/>
    <hyperlink xmlns:r="http://schemas.openxmlformats.org/officeDocument/2006/relationships" ref="O902" r:id="rId901"/>
    <hyperlink xmlns:r="http://schemas.openxmlformats.org/officeDocument/2006/relationships" ref="O903" r:id="rId902"/>
    <hyperlink xmlns:r="http://schemas.openxmlformats.org/officeDocument/2006/relationships" ref="O904" r:id="rId903"/>
    <hyperlink xmlns:r="http://schemas.openxmlformats.org/officeDocument/2006/relationships" ref="O905" r:id="rId904"/>
    <hyperlink xmlns:r="http://schemas.openxmlformats.org/officeDocument/2006/relationships" ref="O906" r:id="rId905"/>
    <hyperlink xmlns:r="http://schemas.openxmlformats.org/officeDocument/2006/relationships" ref="O907" r:id="rId906"/>
    <hyperlink xmlns:r="http://schemas.openxmlformats.org/officeDocument/2006/relationships" ref="O908" r:id="rId907"/>
    <hyperlink xmlns:r="http://schemas.openxmlformats.org/officeDocument/2006/relationships" ref="O909" r:id="rId908"/>
    <hyperlink xmlns:r="http://schemas.openxmlformats.org/officeDocument/2006/relationships" ref="O910" r:id="rId909"/>
    <hyperlink xmlns:r="http://schemas.openxmlformats.org/officeDocument/2006/relationships" ref="O911" r:id="rId910"/>
    <hyperlink xmlns:r="http://schemas.openxmlformats.org/officeDocument/2006/relationships" ref="O912" r:id="rId911"/>
    <hyperlink xmlns:r="http://schemas.openxmlformats.org/officeDocument/2006/relationships" ref="O913" r:id="rId912"/>
    <hyperlink xmlns:r="http://schemas.openxmlformats.org/officeDocument/2006/relationships" ref="O914" r:id="rId913"/>
    <hyperlink xmlns:r="http://schemas.openxmlformats.org/officeDocument/2006/relationships" ref="O915" r:id="rId914"/>
    <hyperlink xmlns:r="http://schemas.openxmlformats.org/officeDocument/2006/relationships" ref="O916" r:id="rId915"/>
    <hyperlink xmlns:r="http://schemas.openxmlformats.org/officeDocument/2006/relationships" ref="O917" r:id="rId916"/>
    <hyperlink xmlns:r="http://schemas.openxmlformats.org/officeDocument/2006/relationships" ref="O918" r:id="rId917"/>
    <hyperlink xmlns:r="http://schemas.openxmlformats.org/officeDocument/2006/relationships" ref="O919" r:id="rId918"/>
    <hyperlink xmlns:r="http://schemas.openxmlformats.org/officeDocument/2006/relationships" ref="O920" r:id="rId919"/>
    <hyperlink xmlns:r="http://schemas.openxmlformats.org/officeDocument/2006/relationships" ref="O921" r:id="rId920"/>
    <hyperlink xmlns:r="http://schemas.openxmlformats.org/officeDocument/2006/relationships" ref="O922" r:id="rId921"/>
    <hyperlink xmlns:r="http://schemas.openxmlformats.org/officeDocument/2006/relationships" ref="O923" r:id="rId922"/>
    <hyperlink xmlns:r="http://schemas.openxmlformats.org/officeDocument/2006/relationships" ref="O924" r:id="rId923"/>
    <hyperlink xmlns:r="http://schemas.openxmlformats.org/officeDocument/2006/relationships" ref="O925" r:id="rId924"/>
    <hyperlink xmlns:r="http://schemas.openxmlformats.org/officeDocument/2006/relationships" ref="O926" r:id="rId925"/>
    <hyperlink xmlns:r="http://schemas.openxmlformats.org/officeDocument/2006/relationships" ref="O927" r:id="rId926"/>
    <hyperlink xmlns:r="http://schemas.openxmlformats.org/officeDocument/2006/relationships" ref="O928" r:id="rId927"/>
    <hyperlink xmlns:r="http://schemas.openxmlformats.org/officeDocument/2006/relationships" ref="O929" r:id="rId928"/>
    <hyperlink xmlns:r="http://schemas.openxmlformats.org/officeDocument/2006/relationships" ref="O930" r:id="rId929"/>
    <hyperlink xmlns:r="http://schemas.openxmlformats.org/officeDocument/2006/relationships" ref="O931" r:id="rId930"/>
    <hyperlink xmlns:r="http://schemas.openxmlformats.org/officeDocument/2006/relationships" ref="O932" r:id="rId931"/>
    <hyperlink xmlns:r="http://schemas.openxmlformats.org/officeDocument/2006/relationships" ref="O933" r:id="rId932"/>
    <hyperlink xmlns:r="http://schemas.openxmlformats.org/officeDocument/2006/relationships" ref="O934" r:id="rId933"/>
    <hyperlink xmlns:r="http://schemas.openxmlformats.org/officeDocument/2006/relationships" ref="O935" r:id="rId934"/>
    <hyperlink xmlns:r="http://schemas.openxmlformats.org/officeDocument/2006/relationships" ref="O936" r:id="rId935"/>
    <hyperlink xmlns:r="http://schemas.openxmlformats.org/officeDocument/2006/relationships" ref="O937" r:id="rId936"/>
    <hyperlink xmlns:r="http://schemas.openxmlformats.org/officeDocument/2006/relationships" ref="O938" r:id="rId937"/>
    <hyperlink xmlns:r="http://schemas.openxmlformats.org/officeDocument/2006/relationships" ref="O939" r:id="rId938"/>
    <hyperlink xmlns:r="http://schemas.openxmlformats.org/officeDocument/2006/relationships" ref="O940" r:id="rId939"/>
    <hyperlink xmlns:r="http://schemas.openxmlformats.org/officeDocument/2006/relationships" ref="O941" r:id="rId940"/>
    <hyperlink xmlns:r="http://schemas.openxmlformats.org/officeDocument/2006/relationships" ref="O942" r:id="rId941"/>
    <hyperlink xmlns:r="http://schemas.openxmlformats.org/officeDocument/2006/relationships" ref="O943" r:id="rId942"/>
    <hyperlink xmlns:r="http://schemas.openxmlformats.org/officeDocument/2006/relationships" ref="O944" r:id="rId943"/>
    <hyperlink xmlns:r="http://schemas.openxmlformats.org/officeDocument/2006/relationships" ref="O945" r:id="rId944"/>
    <hyperlink xmlns:r="http://schemas.openxmlformats.org/officeDocument/2006/relationships" ref="O946" r:id="rId945"/>
    <hyperlink xmlns:r="http://schemas.openxmlformats.org/officeDocument/2006/relationships" ref="O947" r:id="rId946"/>
    <hyperlink xmlns:r="http://schemas.openxmlformats.org/officeDocument/2006/relationships" ref="O948" r:id="rId947"/>
    <hyperlink xmlns:r="http://schemas.openxmlformats.org/officeDocument/2006/relationships" ref="O949" r:id="rId948"/>
    <hyperlink xmlns:r="http://schemas.openxmlformats.org/officeDocument/2006/relationships" ref="O950" r:id="rId949"/>
    <hyperlink xmlns:r="http://schemas.openxmlformats.org/officeDocument/2006/relationships" ref="O951" r:id="rId950"/>
    <hyperlink xmlns:r="http://schemas.openxmlformats.org/officeDocument/2006/relationships" ref="O952" r:id="rId951"/>
    <hyperlink xmlns:r="http://schemas.openxmlformats.org/officeDocument/2006/relationships" ref="O953" r:id="rId952"/>
    <hyperlink xmlns:r="http://schemas.openxmlformats.org/officeDocument/2006/relationships" ref="O954" r:id="rId953"/>
    <hyperlink xmlns:r="http://schemas.openxmlformats.org/officeDocument/2006/relationships" ref="O955" r:id="rId954"/>
    <hyperlink xmlns:r="http://schemas.openxmlformats.org/officeDocument/2006/relationships" ref="O956" r:id="rId955"/>
    <hyperlink xmlns:r="http://schemas.openxmlformats.org/officeDocument/2006/relationships" ref="O957" r:id="rId956"/>
    <hyperlink xmlns:r="http://schemas.openxmlformats.org/officeDocument/2006/relationships" ref="O958" r:id="rId957"/>
    <hyperlink xmlns:r="http://schemas.openxmlformats.org/officeDocument/2006/relationships" ref="O959" r:id="rId958"/>
    <hyperlink xmlns:r="http://schemas.openxmlformats.org/officeDocument/2006/relationships" ref="O960" r:id="rId959"/>
    <hyperlink xmlns:r="http://schemas.openxmlformats.org/officeDocument/2006/relationships" ref="O961" r:id="rId960"/>
    <hyperlink xmlns:r="http://schemas.openxmlformats.org/officeDocument/2006/relationships" ref="O962" r:id="rId961"/>
    <hyperlink xmlns:r="http://schemas.openxmlformats.org/officeDocument/2006/relationships" ref="O963" r:id="rId962"/>
    <hyperlink xmlns:r="http://schemas.openxmlformats.org/officeDocument/2006/relationships" ref="O964" r:id="rId963"/>
    <hyperlink xmlns:r="http://schemas.openxmlformats.org/officeDocument/2006/relationships" ref="O965" r:id="rId964"/>
    <hyperlink xmlns:r="http://schemas.openxmlformats.org/officeDocument/2006/relationships" ref="O966" r:id="rId965"/>
    <hyperlink xmlns:r="http://schemas.openxmlformats.org/officeDocument/2006/relationships" ref="O967" r:id="rId966"/>
    <hyperlink xmlns:r="http://schemas.openxmlformats.org/officeDocument/2006/relationships" ref="O968" r:id="rId967"/>
    <hyperlink xmlns:r="http://schemas.openxmlformats.org/officeDocument/2006/relationships" ref="O969" r:id="rId968"/>
    <hyperlink xmlns:r="http://schemas.openxmlformats.org/officeDocument/2006/relationships" ref="O970" r:id="rId969"/>
    <hyperlink xmlns:r="http://schemas.openxmlformats.org/officeDocument/2006/relationships" ref="O971" r:id="rId970"/>
    <hyperlink xmlns:r="http://schemas.openxmlformats.org/officeDocument/2006/relationships" ref="O972" r:id="rId971"/>
    <hyperlink xmlns:r="http://schemas.openxmlformats.org/officeDocument/2006/relationships" ref="O973" r:id="rId972"/>
    <hyperlink xmlns:r="http://schemas.openxmlformats.org/officeDocument/2006/relationships" ref="O974" r:id="rId973"/>
    <hyperlink xmlns:r="http://schemas.openxmlformats.org/officeDocument/2006/relationships" ref="O975" r:id="rId974"/>
    <hyperlink xmlns:r="http://schemas.openxmlformats.org/officeDocument/2006/relationships" ref="O976" r:id="rId975"/>
    <hyperlink xmlns:r="http://schemas.openxmlformats.org/officeDocument/2006/relationships" ref="O977" r:id="rId976"/>
    <hyperlink xmlns:r="http://schemas.openxmlformats.org/officeDocument/2006/relationships" ref="O978" r:id="rId977"/>
    <hyperlink xmlns:r="http://schemas.openxmlformats.org/officeDocument/2006/relationships" ref="O979" r:id="rId978"/>
    <hyperlink xmlns:r="http://schemas.openxmlformats.org/officeDocument/2006/relationships" ref="O980" r:id="rId979"/>
    <hyperlink xmlns:r="http://schemas.openxmlformats.org/officeDocument/2006/relationships" ref="O981" r:id="rId980"/>
    <hyperlink xmlns:r="http://schemas.openxmlformats.org/officeDocument/2006/relationships" ref="O982" r:id="rId981"/>
    <hyperlink xmlns:r="http://schemas.openxmlformats.org/officeDocument/2006/relationships" ref="O983" r:id="rId982"/>
    <hyperlink xmlns:r="http://schemas.openxmlformats.org/officeDocument/2006/relationships" ref="O984" r:id="rId983"/>
    <hyperlink xmlns:r="http://schemas.openxmlformats.org/officeDocument/2006/relationships" ref="O985" r:id="rId984"/>
    <hyperlink xmlns:r="http://schemas.openxmlformats.org/officeDocument/2006/relationships" ref="O986" r:id="rId985"/>
    <hyperlink xmlns:r="http://schemas.openxmlformats.org/officeDocument/2006/relationships" ref="O987" r:id="rId986"/>
    <hyperlink xmlns:r="http://schemas.openxmlformats.org/officeDocument/2006/relationships" ref="O988" r:id="rId987"/>
    <hyperlink xmlns:r="http://schemas.openxmlformats.org/officeDocument/2006/relationships" ref="O989" r:id="rId988"/>
    <hyperlink xmlns:r="http://schemas.openxmlformats.org/officeDocument/2006/relationships" ref="O990" r:id="rId989"/>
    <hyperlink xmlns:r="http://schemas.openxmlformats.org/officeDocument/2006/relationships" ref="O991" r:id="rId990"/>
    <hyperlink xmlns:r="http://schemas.openxmlformats.org/officeDocument/2006/relationships" ref="O992" r:id="rId991"/>
    <hyperlink xmlns:r="http://schemas.openxmlformats.org/officeDocument/2006/relationships" ref="O993" r:id="rId992"/>
    <hyperlink xmlns:r="http://schemas.openxmlformats.org/officeDocument/2006/relationships" ref="O994" r:id="rId993"/>
    <hyperlink xmlns:r="http://schemas.openxmlformats.org/officeDocument/2006/relationships" ref="O995" r:id="rId994"/>
    <hyperlink xmlns:r="http://schemas.openxmlformats.org/officeDocument/2006/relationships" ref="O996" r:id="rId995"/>
    <hyperlink xmlns:r="http://schemas.openxmlformats.org/officeDocument/2006/relationships" ref="O997" r:id="rId996"/>
    <hyperlink xmlns:r="http://schemas.openxmlformats.org/officeDocument/2006/relationships" ref="O998" r:id="rId997"/>
    <hyperlink xmlns:r="http://schemas.openxmlformats.org/officeDocument/2006/relationships" ref="O999" r:id="rId998"/>
    <hyperlink xmlns:r="http://schemas.openxmlformats.org/officeDocument/2006/relationships" ref="O1000" r:id="rId999"/>
    <hyperlink xmlns:r="http://schemas.openxmlformats.org/officeDocument/2006/relationships" ref="O1001" r:id="rId1000"/>
    <hyperlink xmlns:r="http://schemas.openxmlformats.org/officeDocument/2006/relationships" ref="O1002" r:id="rId1001"/>
    <hyperlink xmlns:r="http://schemas.openxmlformats.org/officeDocument/2006/relationships" ref="O1003" r:id="rId1002"/>
    <hyperlink xmlns:r="http://schemas.openxmlformats.org/officeDocument/2006/relationships" ref="O1004" r:id="rId1003"/>
    <hyperlink xmlns:r="http://schemas.openxmlformats.org/officeDocument/2006/relationships" ref="O1005" r:id="rId1004"/>
    <hyperlink xmlns:r="http://schemas.openxmlformats.org/officeDocument/2006/relationships" ref="O1006" r:id="rId1005"/>
    <hyperlink xmlns:r="http://schemas.openxmlformats.org/officeDocument/2006/relationships" ref="O1007" r:id="rId1006"/>
    <hyperlink xmlns:r="http://schemas.openxmlformats.org/officeDocument/2006/relationships" ref="O1008" r:id="rId1007"/>
    <hyperlink xmlns:r="http://schemas.openxmlformats.org/officeDocument/2006/relationships" ref="O1009" r:id="rId1008"/>
    <hyperlink xmlns:r="http://schemas.openxmlformats.org/officeDocument/2006/relationships" ref="O1010" r:id="rId1009"/>
    <hyperlink xmlns:r="http://schemas.openxmlformats.org/officeDocument/2006/relationships" ref="O1011" r:id="rId1010"/>
    <hyperlink xmlns:r="http://schemas.openxmlformats.org/officeDocument/2006/relationships" ref="O1012" r:id="rId1011"/>
    <hyperlink xmlns:r="http://schemas.openxmlformats.org/officeDocument/2006/relationships" ref="O1013" r:id="rId1012"/>
    <hyperlink xmlns:r="http://schemas.openxmlformats.org/officeDocument/2006/relationships" ref="O1014" r:id="rId1013"/>
    <hyperlink xmlns:r="http://schemas.openxmlformats.org/officeDocument/2006/relationships" ref="O1015" r:id="rId1014"/>
    <hyperlink xmlns:r="http://schemas.openxmlformats.org/officeDocument/2006/relationships" ref="O1016" r:id="rId1015"/>
    <hyperlink xmlns:r="http://schemas.openxmlformats.org/officeDocument/2006/relationships" ref="O1017" r:id="rId1016"/>
    <hyperlink xmlns:r="http://schemas.openxmlformats.org/officeDocument/2006/relationships" ref="O1018" r:id="rId1017"/>
    <hyperlink xmlns:r="http://schemas.openxmlformats.org/officeDocument/2006/relationships" ref="O1019" r:id="rId1018"/>
    <hyperlink xmlns:r="http://schemas.openxmlformats.org/officeDocument/2006/relationships" ref="O1020" r:id="rId1019"/>
    <hyperlink xmlns:r="http://schemas.openxmlformats.org/officeDocument/2006/relationships" ref="O1021" r:id="rId1020"/>
    <hyperlink xmlns:r="http://schemas.openxmlformats.org/officeDocument/2006/relationships" ref="O1022" r:id="rId1021"/>
    <hyperlink xmlns:r="http://schemas.openxmlformats.org/officeDocument/2006/relationships" ref="O1023" r:id="rId1022"/>
    <hyperlink xmlns:r="http://schemas.openxmlformats.org/officeDocument/2006/relationships" ref="O1024" r:id="rId1023"/>
    <hyperlink xmlns:r="http://schemas.openxmlformats.org/officeDocument/2006/relationships" ref="O1025" r:id="rId1024"/>
    <hyperlink xmlns:r="http://schemas.openxmlformats.org/officeDocument/2006/relationships" ref="O1026" r:id="rId1025"/>
    <hyperlink xmlns:r="http://schemas.openxmlformats.org/officeDocument/2006/relationships" ref="O1027" r:id="rId1026"/>
    <hyperlink xmlns:r="http://schemas.openxmlformats.org/officeDocument/2006/relationships" ref="O1028" r:id="rId1027"/>
    <hyperlink xmlns:r="http://schemas.openxmlformats.org/officeDocument/2006/relationships" ref="O1029" r:id="rId1028"/>
    <hyperlink xmlns:r="http://schemas.openxmlformats.org/officeDocument/2006/relationships" ref="O1030" r:id="rId1029"/>
    <hyperlink xmlns:r="http://schemas.openxmlformats.org/officeDocument/2006/relationships" ref="O1031" r:id="rId1030"/>
    <hyperlink xmlns:r="http://schemas.openxmlformats.org/officeDocument/2006/relationships" ref="O1032" r:id="rId1031"/>
    <hyperlink xmlns:r="http://schemas.openxmlformats.org/officeDocument/2006/relationships" ref="O1033" r:id="rId1032"/>
    <hyperlink xmlns:r="http://schemas.openxmlformats.org/officeDocument/2006/relationships" ref="O1034" r:id="rId1033"/>
    <hyperlink xmlns:r="http://schemas.openxmlformats.org/officeDocument/2006/relationships" ref="O1035" r:id="rId1034"/>
    <hyperlink xmlns:r="http://schemas.openxmlformats.org/officeDocument/2006/relationships" ref="O1036" r:id="rId1035"/>
    <hyperlink xmlns:r="http://schemas.openxmlformats.org/officeDocument/2006/relationships" ref="O1037" r:id="rId1036"/>
    <hyperlink xmlns:r="http://schemas.openxmlformats.org/officeDocument/2006/relationships" ref="O1038" r:id="rId1037"/>
    <hyperlink xmlns:r="http://schemas.openxmlformats.org/officeDocument/2006/relationships" ref="O1039" r:id="rId1038"/>
    <hyperlink xmlns:r="http://schemas.openxmlformats.org/officeDocument/2006/relationships" ref="O1040" r:id="rId1039"/>
    <hyperlink xmlns:r="http://schemas.openxmlformats.org/officeDocument/2006/relationships" ref="O1041" r:id="rId1040"/>
    <hyperlink xmlns:r="http://schemas.openxmlformats.org/officeDocument/2006/relationships" ref="O1042" r:id="rId1041"/>
    <hyperlink xmlns:r="http://schemas.openxmlformats.org/officeDocument/2006/relationships" ref="O1043" r:id="rId1042"/>
    <hyperlink xmlns:r="http://schemas.openxmlformats.org/officeDocument/2006/relationships" ref="O1044" r:id="rId1043"/>
    <hyperlink xmlns:r="http://schemas.openxmlformats.org/officeDocument/2006/relationships" ref="O1045" r:id="rId1044"/>
    <hyperlink xmlns:r="http://schemas.openxmlformats.org/officeDocument/2006/relationships" ref="O1046" r:id="rId1045"/>
    <hyperlink xmlns:r="http://schemas.openxmlformats.org/officeDocument/2006/relationships" ref="O1047" r:id="rId1046"/>
    <hyperlink xmlns:r="http://schemas.openxmlformats.org/officeDocument/2006/relationships" ref="O1048" r:id="rId1047"/>
    <hyperlink xmlns:r="http://schemas.openxmlformats.org/officeDocument/2006/relationships" ref="O1049" r:id="rId1048"/>
    <hyperlink xmlns:r="http://schemas.openxmlformats.org/officeDocument/2006/relationships" ref="O1050" r:id="rId1049"/>
    <hyperlink xmlns:r="http://schemas.openxmlformats.org/officeDocument/2006/relationships" ref="O1051" r:id="rId1050"/>
    <hyperlink xmlns:r="http://schemas.openxmlformats.org/officeDocument/2006/relationships" ref="O1052" r:id="rId1051"/>
    <hyperlink xmlns:r="http://schemas.openxmlformats.org/officeDocument/2006/relationships" ref="O1053" r:id="rId1052"/>
    <hyperlink xmlns:r="http://schemas.openxmlformats.org/officeDocument/2006/relationships" ref="O1054" r:id="rId1053"/>
    <hyperlink xmlns:r="http://schemas.openxmlformats.org/officeDocument/2006/relationships" ref="O1055" r:id="rId1054"/>
    <hyperlink xmlns:r="http://schemas.openxmlformats.org/officeDocument/2006/relationships" ref="O1056" r:id="rId1055"/>
    <hyperlink xmlns:r="http://schemas.openxmlformats.org/officeDocument/2006/relationships" ref="O1057" r:id="rId1056"/>
    <hyperlink xmlns:r="http://schemas.openxmlformats.org/officeDocument/2006/relationships" ref="O1058" r:id="rId1057"/>
    <hyperlink xmlns:r="http://schemas.openxmlformats.org/officeDocument/2006/relationships" ref="O1059" r:id="rId1058"/>
    <hyperlink xmlns:r="http://schemas.openxmlformats.org/officeDocument/2006/relationships" ref="O1060" r:id="rId1059"/>
    <hyperlink xmlns:r="http://schemas.openxmlformats.org/officeDocument/2006/relationships" ref="O1061" r:id="rId1060"/>
    <hyperlink xmlns:r="http://schemas.openxmlformats.org/officeDocument/2006/relationships" ref="O1062" r:id="rId1061"/>
    <hyperlink xmlns:r="http://schemas.openxmlformats.org/officeDocument/2006/relationships" ref="O1063" r:id="rId1062"/>
    <hyperlink xmlns:r="http://schemas.openxmlformats.org/officeDocument/2006/relationships" ref="O1064" r:id="rId1063"/>
    <hyperlink xmlns:r="http://schemas.openxmlformats.org/officeDocument/2006/relationships" ref="O1065" r:id="rId1064"/>
    <hyperlink xmlns:r="http://schemas.openxmlformats.org/officeDocument/2006/relationships" ref="O1066" r:id="rId1065"/>
    <hyperlink xmlns:r="http://schemas.openxmlformats.org/officeDocument/2006/relationships" ref="O1067" r:id="rId1066"/>
    <hyperlink xmlns:r="http://schemas.openxmlformats.org/officeDocument/2006/relationships" ref="O1068" r:id="rId1067"/>
    <hyperlink xmlns:r="http://schemas.openxmlformats.org/officeDocument/2006/relationships" ref="O1069" r:id="rId1068"/>
    <hyperlink xmlns:r="http://schemas.openxmlformats.org/officeDocument/2006/relationships" ref="O1070" r:id="rId1069"/>
    <hyperlink xmlns:r="http://schemas.openxmlformats.org/officeDocument/2006/relationships" ref="O1071" r:id="rId1070"/>
    <hyperlink xmlns:r="http://schemas.openxmlformats.org/officeDocument/2006/relationships" ref="O1072" r:id="rId1071"/>
    <hyperlink xmlns:r="http://schemas.openxmlformats.org/officeDocument/2006/relationships" ref="O1073" r:id="rId1072"/>
    <hyperlink xmlns:r="http://schemas.openxmlformats.org/officeDocument/2006/relationships" ref="O1074" r:id="rId1073"/>
    <hyperlink xmlns:r="http://schemas.openxmlformats.org/officeDocument/2006/relationships" ref="O1075" r:id="rId1074"/>
    <hyperlink xmlns:r="http://schemas.openxmlformats.org/officeDocument/2006/relationships" ref="O1076" r:id="rId1075"/>
    <hyperlink xmlns:r="http://schemas.openxmlformats.org/officeDocument/2006/relationships" ref="O1077" r:id="rId1076"/>
    <hyperlink xmlns:r="http://schemas.openxmlformats.org/officeDocument/2006/relationships" ref="O1078" r:id="rId1077"/>
    <hyperlink xmlns:r="http://schemas.openxmlformats.org/officeDocument/2006/relationships" ref="O1079" r:id="rId1078"/>
    <hyperlink xmlns:r="http://schemas.openxmlformats.org/officeDocument/2006/relationships" ref="O1080" r:id="rId1079"/>
    <hyperlink xmlns:r="http://schemas.openxmlformats.org/officeDocument/2006/relationships" ref="O1081" r:id="rId1080"/>
    <hyperlink xmlns:r="http://schemas.openxmlformats.org/officeDocument/2006/relationships" ref="O1082" r:id="rId1081"/>
    <hyperlink xmlns:r="http://schemas.openxmlformats.org/officeDocument/2006/relationships" ref="O1083" r:id="rId1082"/>
    <hyperlink xmlns:r="http://schemas.openxmlformats.org/officeDocument/2006/relationships" ref="O1084" r:id="rId1083"/>
    <hyperlink xmlns:r="http://schemas.openxmlformats.org/officeDocument/2006/relationships" ref="O1085" r:id="rId1084"/>
    <hyperlink xmlns:r="http://schemas.openxmlformats.org/officeDocument/2006/relationships" ref="O1086" r:id="rId1085"/>
    <hyperlink xmlns:r="http://schemas.openxmlformats.org/officeDocument/2006/relationships" ref="O1087" r:id="rId1086"/>
    <hyperlink xmlns:r="http://schemas.openxmlformats.org/officeDocument/2006/relationships" ref="O1088" r:id="rId1087"/>
    <hyperlink xmlns:r="http://schemas.openxmlformats.org/officeDocument/2006/relationships" ref="O1089" r:id="rId1088"/>
    <hyperlink xmlns:r="http://schemas.openxmlformats.org/officeDocument/2006/relationships" ref="O1090" r:id="rId1089"/>
    <hyperlink xmlns:r="http://schemas.openxmlformats.org/officeDocument/2006/relationships" ref="O1091" r:id="rId1090"/>
    <hyperlink xmlns:r="http://schemas.openxmlformats.org/officeDocument/2006/relationships" ref="O1092" r:id="rId1091"/>
    <hyperlink xmlns:r="http://schemas.openxmlformats.org/officeDocument/2006/relationships" ref="O1093" r:id="rId1092"/>
    <hyperlink xmlns:r="http://schemas.openxmlformats.org/officeDocument/2006/relationships" ref="O1094" r:id="rId1093"/>
    <hyperlink xmlns:r="http://schemas.openxmlformats.org/officeDocument/2006/relationships" ref="O1095" r:id="rId1094"/>
    <hyperlink xmlns:r="http://schemas.openxmlformats.org/officeDocument/2006/relationships" ref="O1096" r:id="rId1095"/>
    <hyperlink xmlns:r="http://schemas.openxmlformats.org/officeDocument/2006/relationships" ref="O1097" r:id="rId1096"/>
    <hyperlink xmlns:r="http://schemas.openxmlformats.org/officeDocument/2006/relationships" ref="O1098" r:id="rId1097"/>
    <hyperlink xmlns:r="http://schemas.openxmlformats.org/officeDocument/2006/relationships" ref="O1099" r:id="rId1098"/>
    <hyperlink xmlns:r="http://schemas.openxmlformats.org/officeDocument/2006/relationships" ref="O1100" r:id="rId1099"/>
    <hyperlink xmlns:r="http://schemas.openxmlformats.org/officeDocument/2006/relationships" ref="O1101" r:id="rId1100"/>
    <hyperlink xmlns:r="http://schemas.openxmlformats.org/officeDocument/2006/relationships" ref="O1102" r:id="rId1101"/>
    <hyperlink xmlns:r="http://schemas.openxmlformats.org/officeDocument/2006/relationships" ref="O1103" r:id="rId1102"/>
    <hyperlink xmlns:r="http://schemas.openxmlformats.org/officeDocument/2006/relationships" ref="O1104" r:id="rId1103"/>
    <hyperlink xmlns:r="http://schemas.openxmlformats.org/officeDocument/2006/relationships" ref="O1105" r:id="rId1104"/>
    <hyperlink xmlns:r="http://schemas.openxmlformats.org/officeDocument/2006/relationships" ref="O1106" r:id="rId1105"/>
    <hyperlink xmlns:r="http://schemas.openxmlformats.org/officeDocument/2006/relationships" ref="O1107" r:id="rId1106"/>
    <hyperlink xmlns:r="http://schemas.openxmlformats.org/officeDocument/2006/relationships" ref="O1108" r:id="rId1107"/>
    <hyperlink xmlns:r="http://schemas.openxmlformats.org/officeDocument/2006/relationships" ref="O1109" r:id="rId1108"/>
    <hyperlink xmlns:r="http://schemas.openxmlformats.org/officeDocument/2006/relationships" ref="O1110" r:id="rId1109"/>
    <hyperlink xmlns:r="http://schemas.openxmlformats.org/officeDocument/2006/relationships" ref="O1111" r:id="rId1110"/>
    <hyperlink xmlns:r="http://schemas.openxmlformats.org/officeDocument/2006/relationships" ref="O1112" r:id="rId1111"/>
    <hyperlink xmlns:r="http://schemas.openxmlformats.org/officeDocument/2006/relationships" ref="O1113" r:id="rId1112"/>
    <hyperlink xmlns:r="http://schemas.openxmlformats.org/officeDocument/2006/relationships" ref="O1114" r:id="rId1113"/>
    <hyperlink xmlns:r="http://schemas.openxmlformats.org/officeDocument/2006/relationships" ref="O1115" r:id="rId1114"/>
    <hyperlink xmlns:r="http://schemas.openxmlformats.org/officeDocument/2006/relationships" ref="O1116" r:id="rId1115"/>
    <hyperlink xmlns:r="http://schemas.openxmlformats.org/officeDocument/2006/relationships" ref="O1117" r:id="rId1116"/>
    <hyperlink xmlns:r="http://schemas.openxmlformats.org/officeDocument/2006/relationships" ref="O1118" r:id="rId1117"/>
    <hyperlink xmlns:r="http://schemas.openxmlformats.org/officeDocument/2006/relationships" ref="O1119" r:id="rId1118"/>
    <hyperlink xmlns:r="http://schemas.openxmlformats.org/officeDocument/2006/relationships" ref="O1120" r:id="rId1119"/>
    <hyperlink xmlns:r="http://schemas.openxmlformats.org/officeDocument/2006/relationships" ref="O1121" r:id="rId1120"/>
    <hyperlink xmlns:r="http://schemas.openxmlformats.org/officeDocument/2006/relationships" ref="O1122" r:id="rId1121"/>
    <hyperlink xmlns:r="http://schemas.openxmlformats.org/officeDocument/2006/relationships" ref="O1123" r:id="rId1122"/>
    <hyperlink xmlns:r="http://schemas.openxmlformats.org/officeDocument/2006/relationships" ref="O1124" r:id="rId1123"/>
    <hyperlink xmlns:r="http://schemas.openxmlformats.org/officeDocument/2006/relationships" ref="O1125" r:id="rId1124"/>
    <hyperlink xmlns:r="http://schemas.openxmlformats.org/officeDocument/2006/relationships" ref="O1126" r:id="rId1125"/>
    <hyperlink xmlns:r="http://schemas.openxmlformats.org/officeDocument/2006/relationships" ref="O1127" r:id="rId1126"/>
    <hyperlink xmlns:r="http://schemas.openxmlformats.org/officeDocument/2006/relationships" ref="O1128" r:id="rId1127"/>
    <hyperlink xmlns:r="http://schemas.openxmlformats.org/officeDocument/2006/relationships" ref="O1129" r:id="rId1128"/>
    <hyperlink xmlns:r="http://schemas.openxmlformats.org/officeDocument/2006/relationships" ref="O1130" r:id="rId1129"/>
    <hyperlink xmlns:r="http://schemas.openxmlformats.org/officeDocument/2006/relationships" ref="O1131" r:id="rId1130"/>
    <hyperlink xmlns:r="http://schemas.openxmlformats.org/officeDocument/2006/relationships" ref="O1132" r:id="rId1131"/>
    <hyperlink xmlns:r="http://schemas.openxmlformats.org/officeDocument/2006/relationships" ref="O1133" r:id="rId1132"/>
    <hyperlink xmlns:r="http://schemas.openxmlformats.org/officeDocument/2006/relationships" ref="O1134" r:id="rId1133"/>
    <hyperlink xmlns:r="http://schemas.openxmlformats.org/officeDocument/2006/relationships" ref="O1135" r:id="rId1134"/>
    <hyperlink xmlns:r="http://schemas.openxmlformats.org/officeDocument/2006/relationships" ref="O1136" r:id="rId1135"/>
    <hyperlink xmlns:r="http://schemas.openxmlformats.org/officeDocument/2006/relationships" ref="O1137" r:id="rId1136"/>
    <hyperlink xmlns:r="http://schemas.openxmlformats.org/officeDocument/2006/relationships" ref="O1138" r:id="rId1137"/>
    <hyperlink xmlns:r="http://schemas.openxmlformats.org/officeDocument/2006/relationships" ref="O1139" r:id="rId1138"/>
    <hyperlink xmlns:r="http://schemas.openxmlformats.org/officeDocument/2006/relationships" ref="O1140" r:id="rId1139"/>
    <hyperlink xmlns:r="http://schemas.openxmlformats.org/officeDocument/2006/relationships" ref="O1141" r:id="rId1140"/>
    <hyperlink xmlns:r="http://schemas.openxmlformats.org/officeDocument/2006/relationships" ref="O1142" r:id="rId1141"/>
    <hyperlink xmlns:r="http://schemas.openxmlformats.org/officeDocument/2006/relationships" ref="O1143" r:id="rId1142"/>
    <hyperlink xmlns:r="http://schemas.openxmlformats.org/officeDocument/2006/relationships" ref="O1144" r:id="rId1143"/>
    <hyperlink xmlns:r="http://schemas.openxmlformats.org/officeDocument/2006/relationships" ref="O1145" r:id="rId1144"/>
    <hyperlink xmlns:r="http://schemas.openxmlformats.org/officeDocument/2006/relationships" ref="O1146" r:id="rId1145"/>
    <hyperlink xmlns:r="http://schemas.openxmlformats.org/officeDocument/2006/relationships" ref="O1147" r:id="rId1146"/>
    <hyperlink xmlns:r="http://schemas.openxmlformats.org/officeDocument/2006/relationships" ref="O1148" r:id="rId1147"/>
    <hyperlink xmlns:r="http://schemas.openxmlformats.org/officeDocument/2006/relationships" ref="O1149" r:id="rId1148"/>
    <hyperlink xmlns:r="http://schemas.openxmlformats.org/officeDocument/2006/relationships" ref="O1150" r:id="rId1149"/>
    <hyperlink xmlns:r="http://schemas.openxmlformats.org/officeDocument/2006/relationships" ref="O1151" r:id="rId1150"/>
    <hyperlink xmlns:r="http://schemas.openxmlformats.org/officeDocument/2006/relationships" ref="O1152" r:id="rId1151"/>
    <hyperlink xmlns:r="http://schemas.openxmlformats.org/officeDocument/2006/relationships" ref="O1153" r:id="rId1152"/>
    <hyperlink xmlns:r="http://schemas.openxmlformats.org/officeDocument/2006/relationships" ref="O1154" r:id="rId1153"/>
    <hyperlink xmlns:r="http://schemas.openxmlformats.org/officeDocument/2006/relationships" ref="O1155" r:id="rId1154"/>
    <hyperlink xmlns:r="http://schemas.openxmlformats.org/officeDocument/2006/relationships" ref="O1156" r:id="rId1155"/>
    <hyperlink xmlns:r="http://schemas.openxmlformats.org/officeDocument/2006/relationships" ref="O1157" r:id="rId1156"/>
    <hyperlink xmlns:r="http://schemas.openxmlformats.org/officeDocument/2006/relationships" ref="O1158" r:id="rId1157"/>
    <hyperlink xmlns:r="http://schemas.openxmlformats.org/officeDocument/2006/relationships" ref="O1159" r:id="rId1158"/>
    <hyperlink xmlns:r="http://schemas.openxmlformats.org/officeDocument/2006/relationships" ref="O1160" r:id="rId1159"/>
    <hyperlink xmlns:r="http://schemas.openxmlformats.org/officeDocument/2006/relationships" ref="O1161" r:id="rId1160"/>
    <hyperlink xmlns:r="http://schemas.openxmlformats.org/officeDocument/2006/relationships" ref="O1162" r:id="rId1161"/>
    <hyperlink xmlns:r="http://schemas.openxmlformats.org/officeDocument/2006/relationships" ref="O1163" r:id="rId1162"/>
    <hyperlink xmlns:r="http://schemas.openxmlformats.org/officeDocument/2006/relationships" ref="O1164" r:id="rId1163"/>
    <hyperlink xmlns:r="http://schemas.openxmlformats.org/officeDocument/2006/relationships" ref="O1165" r:id="rId1164"/>
    <hyperlink xmlns:r="http://schemas.openxmlformats.org/officeDocument/2006/relationships" ref="O1166" r:id="rId1165"/>
    <hyperlink xmlns:r="http://schemas.openxmlformats.org/officeDocument/2006/relationships" ref="O1167" r:id="rId1166"/>
    <hyperlink xmlns:r="http://schemas.openxmlformats.org/officeDocument/2006/relationships" ref="O1168" r:id="rId1167"/>
    <hyperlink xmlns:r="http://schemas.openxmlformats.org/officeDocument/2006/relationships" ref="O1169" r:id="rId1168"/>
    <hyperlink xmlns:r="http://schemas.openxmlformats.org/officeDocument/2006/relationships" ref="O1170" r:id="rId1169"/>
    <hyperlink xmlns:r="http://schemas.openxmlformats.org/officeDocument/2006/relationships" ref="O1171" r:id="rId1170"/>
    <hyperlink xmlns:r="http://schemas.openxmlformats.org/officeDocument/2006/relationships" ref="O1172" r:id="rId1171"/>
    <hyperlink xmlns:r="http://schemas.openxmlformats.org/officeDocument/2006/relationships" ref="O1173" r:id="rId1172"/>
    <hyperlink xmlns:r="http://schemas.openxmlformats.org/officeDocument/2006/relationships" ref="O1174" r:id="rId1173"/>
    <hyperlink xmlns:r="http://schemas.openxmlformats.org/officeDocument/2006/relationships" ref="O1175" r:id="rId1174"/>
    <hyperlink xmlns:r="http://schemas.openxmlformats.org/officeDocument/2006/relationships" ref="O1176" r:id="rId1175"/>
    <hyperlink xmlns:r="http://schemas.openxmlformats.org/officeDocument/2006/relationships" ref="O1177" r:id="rId1176"/>
    <hyperlink xmlns:r="http://schemas.openxmlformats.org/officeDocument/2006/relationships" ref="O1178" r:id="rId1177"/>
    <hyperlink xmlns:r="http://schemas.openxmlformats.org/officeDocument/2006/relationships" ref="O1179" r:id="rId1178"/>
    <hyperlink xmlns:r="http://schemas.openxmlformats.org/officeDocument/2006/relationships" ref="O1180" r:id="rId1179"/>
    <hyperlink xmlns:r="http://schemas.openxmlformats.org/officeDocument/2006/relationships" ref="O1181" r:id="rId1180"/>
    <hyperlink xmlns:r="http://schemas.openxmlformats.org/officeDocument/2006/relationships" ref="O1182" r:id="rId1181"/>
    <hyperlink xmlns:r="http://schemas.openxmlformats.org/officeDocument/2006/relationships" ref="O1183" r:id="rId1182"/>
    <hyperlink xmlns:r="http://schemas.openxmlformats.org/officeDocument/2006/relationships" ref="O1184" r:id="rId1183"/>
    <hyperlink xmlns:r="http://schemas.openxmlformats.org/officeDocument/2006/relationships" ref="O1185" r:id="rId1184"/>
    <hyperlink xmlns:r="http://schemas.openxmlformats.org/officeDocument/2006/relationships" ref="O1186" r:id="rId1185"/>
    <hyperlink xmlns:r="http://schemas.openxmlformats.org/officeDocument/2006/relationships" ref="O1187" r:id="rId1186"/>
    <hyperlink xmlns:r="http://schemas.openxmlformats.org/officeDocument/2006/relationships" ref="O1188" r:id="rId1187"/>
    <hyperlink xmlns:r="http://schemas.openxmlformats.org/officeDocument/2006/relationships" ref="O1189" r:id="rId1188"/>
    <hyperlink xmlns:r="http://schemas.openxmlformats.org/officeDocument/2006/relationships" ref="O1190" r:id="rId1189"/>
    <hyperlink xmlns:r="http://schemas.openxmlformats.org/officeDocument/2006/relationships" ref="O1191" r:id="rId1190"/>
    <hyperlink xmlns:r="http://schemas.openxmlformats.org/officeDocument/2006/relationships" ref="O1192" r:id="rId1191"/>
    <hyperlink xmlns:r="http://schemas.openxmlformats.org/officeDocument/2006/relationships" ref="O1193" r:id="rId1192"/>
    <hyperlink xmlns:r="http://schemas.openxmlformats.org/officeDocument/2006/relationships" ref="O1194" r:id="rId1193"/>
    <hyperlink xmlns:r="http://schemas.openxmlformats.org/officeDocument/2006/relationships" ref="O1195" r:id="rId1194"/>
    <hyperlink xmlns:r="http://schemas.openxmlformats.org/officeDocument/2006/relationships" ref="O1196" r:id="rId1195"/>
    <hyperlink xmlns:r="http://schemas.openxmlformats.org/officeDocument/2006/relationships" ref="O1197" r:id="rId1196"/>
    <hyperlink xmlns:r="http://schemas.openxmlformats.org/officeDocument/2006/relationships" ref="O1198" r:id="rId1197"/>
    <hyperlink xmlns:r="http://schemas.openxmlformats.org/officeDocument/2006/relationships" ref="O1199" r:id="rId1198"/>
    <hyperlink xmlns:r="http://schemas.openxmlformats.org/officeDocument/2006/relationships" ref="O1200" r:id="rId1199"/>
    <hyperlink xmlns:r="http://schemas.openxmlformats.org/officeDocument/2006/relationships" ref="O1201" r:id="rId1200"/>
    <hyperlink xmlns:r="http://schemas.openxmlformats.org/officeDocument/2006/relationships" ref="O1202" r:id="rId1201"/>
    <hyperlink xmlns:r="http://schemas.openxmlformats.org/officeDocument/2006/relationships" ref="O1203" r:id="rId1202"/>
    <hyperlink xmlns:r="http://schemas.openxmlformats.org/officeDocument/2006/relationships" ref="O1204" r:id="rId1203"/>
    <hyperlink xmlns:r="http://schemas.openxmlformats.org/officeDocument/2006/relationships" ref="O1205" r:id="rId1204"/>
    <hyperlink xmlns:r="http://schemas.openxmlformats.org/officeDocument/2006/relationships" ref="O1206" r:id="rId1205"/>
    <hyperlink xmlns:r="http://schemas.openxmlformats.org/officeDocument/2006/relationships" ref="O1207" r:id="rId1206"/>
    <hyperlink xmlns:r="http://schemas.openxmlformats.org/officeDocument/2006/relationships" ref="O1208" r:id="rId1207"/>
    <hyperlink xmlns:r="http://schemas.openxmlformats.org/officeDocument/2006/relationships" ref="O1209" r:id="rId1208"/>
    <hyperlink xmlns:r="http://schemas.openxmlformats.org/officeDocument/2006/relationships" ref="O1210" r:id="rId1209"/>
    <hyperlink xmlns:r="http://schemas.openxmlformats.org/officeDocument/2006/relationships" ref="O1211" r:id="rId1210"/>
    <hyperlink xmlns:r="http://schemas.openxmlformats.org/officeDocument/2006/relationships" ref="O1212" r:id="rId1211"/>
    <hyperlink xmlns:r="http://schemas.openxmlformats.org/officeDocument/2006/relationships" ref="O1213" r:id="rId1212"/>
    <hyperlink xmlns:r="http://schemas.openxmlformats.org/officeDocument/2006/relationships" ref="O1214" r:id="rId1213"/>
    <hyperlink xmlns:r="http://schemas.openxmlformats.org/officeDocument/2006/relationships" ref="O1215" r:id="rId1214"/>
    <hyperlink xmlns:r="http://schemas.openxmlformats.org/officeDocument/2006/relationships" ref="O1216" r:id="rId1215"/>
    <hyperlink xmlns:r="http://schemas.openxmlformats.org/officeDocument/2006/relationships" ref="O1217" r:id="rId1216"/>
    <hyperlink xmlns:r="http://schemas.openxmlformats.org/officeDocument/2006/relationships" ref="O1218" r:id="rId1217"/>
    <hyperlink xmlns:r="http://schemas.openxmlformats.org/officeDocument/2006/relationships" ref="O1219" r:id="rId1218"/>
    <hyperlink xmlns:r="http://schemas.openxmlformats.org/officeDocument/2006/relationships" ref="O1220" r:id="rId1219"/>
    <hyperlink xmlns:r="http://schemas.openxmlformats.org/officeDocument/2006/relationships" ref="O1221" r:id="rId1220"/>
    <hyperlink xmlns:r="http://schemas.openxmlformats.org/officeDocument/2006/relationships" ref="O1222" r:id="rId1221"/>
    <hyperlink xmlns:r="http://schemas.openxmlformats.org/officeDocument/2006/relationships" ref="O1223" r:id="rId1222"/>
    <hyperlink xmlns:r="http://schemas.openxmlformats.org/officeDocument/2006/relationships" ref="O1224" r:id="rId1223"/>
    <hyperlink xmlns:r="http://schemas.openxmlformats.org/officeDocument/2006/relationships" ref="O1225" r:id="rId1224"/>
    <hyperlink xmlns:r="http://schemas.openxmlformats.org/officeDocument/2006/relationships" ref="O1226" r:id="rId1225"/>
    <hyperlink xmlns:r="http://schemas.openxmlformats.org/officeDocument/2006/relationships" ref="O1227" r:id="rId1226"/>
    <hyperlink xmlns:r="http://schemas.openxmlformats.org/officeDocument/2006/relationships" ref="O1228" r:id="rId1227"/>
    <hyperlink xmlns:r="http://schemas.openxmlformats.org/officeDocument/2006/relationships" ref="O1229" r:id="rId1228"/>
    <hyperlink xmlns:r="http://schemas.openxmlformats.org/officeDocument/2006/relationships" ref="O1230" r:id="rId1229"/>
    <hyperlink xmlns:r="http://schemas.openxmlformats.org/officeDocument/2006/relationships" ref="O1231" r:id="rId1230"/>
    <hyperlink xmlns:r="http://schemas.openxmlformats.org/officeDocument/2006/relationships" ref="O1232" r:id="rId1231"/>
    <hyperlink xmlns:r="http://schemas.openxmlformats.org/officeDocument/2006/relationships" ref="O1233" r:id="rId1232"/>
    <hyperlink xmlns:r="http://schemas.openxmlformats.org/officeDocument/2006/relationships" ref="O1234" r:id="rId1233"/>
    <hyperlink xmlns:r="http://schemas.openxmlformats.org/officeDocument/2006/relationships" ref="O1235" r:id="rId1234"/>
    <hyperlink xmlns:r="http://schemas.openxmlformats.org/officeDocument/2006/relationships" ref="O1236" r:id="rId1235"/>
    <hyperlink xmlns:r="http://schemas.openxmlformats.org/officeDocument/2006/relationships" ref="O1237" r:id="rId1236"/>
    <hyperlink xmlns:r="http://schemas.openxmlformats.org/officeDocument/2006/relationships" ref="O1238" r:id="rId1237"/>
    <hyperlink xmlns:r="http://schemas.openxmlformats.org/officeDocument/2006/relationships" ref="O1239" r:id="rId1238"/>
    <hyperlink xmlns:r="http://schemas.openxmlformats.org/officeDocument/2006/relationships" ref="O1240" r:id="rId1239"/>
    <hyperlink xmlns:r="http://schemas.openxmlformats.org/officeDocument/2006/relationships" ref="O1241" r:id="rId1240"/>
    <hyperlink xmlns:r="http://schemas.openxmlformats.org/officeDocument/2006/relationships" ref="O1242" r:id="rId1241"/>
    <hyperlink xmlns:r="http://schemas.openxmlformats.org/officeDocument/2006/relationships" ref="O1243" r:id="rId1242"/>
    <hyperlink xmlns:r="http://schemas.openxmlformats.org/officeDocument/2006/relationships" ref="O1244" r:id="rId1243"/>
    <hyperlink xmlns:r="http://schemas.openxmlformats.org/officeDocument/2006/relationships" ref="O1245" r:id="rId1244"/>
    <hyperlink xmlns:r="http://schemas.openxmlformats.org/officeDocument/2006/relationships" ref="O1246" r:id="rId1245"/>
    <hyperlink xmlns:r="http://schemas.openxmlformats.org/officeDocument/2006/relationships" ref="O1247" r:id="rId1246"/>
    <hyperlink xmlns:r="http://schemas.openxmlformats.org/officeDocument/2006/relationships" ref="O1248" r:id="rId1247"/>
    <hyperlink xmlns:r="http://schemas.openxmlformats.org/officeDocument/2006/relationships" ref="O1249" r:id="rId1248"/>
    <hyperlink xmlns:r="http://schemas.openxmlformats.org/officeDocument/2006/relationships" ref="O1250" r:id="rId1249"/>
    <hyperlink xmlns:r="http://schemas.openxmlformats.org/officeDocument/2006/relationships" ref="O1251" r:id="rId1250"/>
    <hyperlink xmlns:r="http://schemas.openxmlformats.org/officeDocument/2006/relationships" ref="O1252" r:id="rId1251"/>
    <hyperlink xmlns:r="http://schemas.openxmlformats.org/officeDocument/2006/relationships" ref="O1253" r:id="rId1252"/>
    <hyperlink xmlns:r="http://schemas.openxmlformats.org/officeDocument/2006/relationships" ref="O1254" r:id="rId1253"/>
    <hyperlink xmlns:r="http://schemas.openxmlformats.org/officeDocument/2006/relationships" ref="O1255" r:id="rId1254"/>
    <hyperlink xmlns:r="http://schemas.openxmlformats.org/officeDocument/2006/relationships" ref="O1256" r:id="rId1255"/>
    <hyperlink xmlns:r="http://schemas.openxmlformats.org/officeDocument/2006/relationships" ref="O1257" r:id="rId1256"/>
    <hyperlink xmlns:r="http://schemas.openxmlformats.org/officeDocument/2006/relationships" ref="O1258" r:id="rId1257"/>
    <hyperlink xmlns:r="http://schemas.openxmlformats.org/officeDocument/2006/relationships" ref="O1259" r:id="rId1258"/>
    <hyperlink xmlns:r="http://schemas.openxmlformats.org/officeDocument/2006/relationships" ref="O1260" r:id="rId1259"/>
    <hyperlink xmlns:r="http://schemas.openxmlformats.org/officeDocument/2006/relationships" ref="O1261" r:id="rId1260"/>
    <hyperlink xmlns:r="http://schemas.openxmlformats.org/officeDocument/2006/relationships" ref="O1262" r:id="rId1261"/>
    <hyperlink xmlns:r="http://schemas.openxmlformats.org/officeDocument/2006/relationships" ref="O1263" r:id="rId1262"/>
    <hyperlink xmlns:r="http://schemas.openxmlformats.org/officeDocument/2006/relationships" ref="O1264" r:id="rId1263"/>
    <hyperlink xmlns:r="http://schemas.openxmlformats.org/officeDocument/2006/relationships" ref="O1265" r:id="rId1264"/>
    <hyperlink xmlns:r="http://schemas.openxmlformats.org/officeDocument/2006/relationships" ref="O1266" r:id="rId1265"/>
    <hyperlink xmlns:r="http://schemas.openxmlformats.org/officeDocument/2006/relationships" ref="O1267" r:id="rId1266"/>
    <hyperlink xmlns:r="http://schemas.openxmlformats.org/officeDocument/2006/relationships" ref="O1268" r:id="rId1267"/>
    <hyperlink xmlns:r="http://schemas.openxmlformats.org/officeDocument/2006/relationships" ref="O1269" r:id="rId1268"/>
    <hyperlink xmlns:r="http://schemas.openxmlformats.org/officeDocument/2006/relationships" ref="O1270" r:id="rId1269"/>
    <hyperlink xmlns:r="http://schemas.openxmlformats.org/officeDocument/2006/relationships" ref="O1271" r:id="rId1270"/>
    <hyperlink xmlns:r="http://schemas.openxmlformats.org/officeDocument/2006/relationships" ref="O1272" r:id="rId1271"/>
    <hyperlink xmlns:r="http://schemas.openxmlformats.org/officeDocument/2006/relationships" ref="O1273" r:id="rId1272"/>
    <hyperlink xmlns:r="http://schemas.openxmlformats.org/officeDocument/2006/relationships" ref="O1274" r:id="rId1273"/>
    <hyperlink xmlns:r="http://schemas.openxmlformats.org/officeDocument/2006/relationships" ref="O1275" r:id="rId1274"/>
    <hyperlink xmlns:r="http://schemas.openxmlformats.org/officeDocument/2006/relationships" ref="O1276" r:id="rId1275"/>
    <hyperlink xmlns:r="http://schemas.openxmlformats.org/officeDocument/2006/relationships" ref="O1277" r:id="rId1276"/>
    <hyperlink xmlns:r="http://schemas.openxmlformats.org/officeDocument/2006/relationships" ref="O1278" r:id="rId1277"/>
    <hyperlink xmlns:r="http://schemas.openxmlformats.org/officeDocument/2006/relationships" ref="O1279" r:id="rId1278"/>
    <hyperlink xmlns:r="http://schemas.openxmlformats.org/officeDocument/2006/relationships" ref="O1280" r:id="rId1279"/>
    <hyperlink xmlns:r="http://schemas.openxmlformats.org/officeDocument/2006/relationships" ref="O1281" r:id="rId1280"/>
    <hyperlink xmlns:r="http://schemas.openxmlformats.org/officeDocument/2006/relationships" ref="O1282" r:id="rId1281"/>
    <hyperlink xmlns:r="http://schemas.openxmlformats.org/officeDocument/2006/relationships" ref="O1283" r:id="rId1282"/>
    <hyperlink xmlns:r="http://schemas.openxmlformats.org/officeDocument/2006/relationships" ref="O1284" r:id="rId1283"/>
    <hyperlink xmlns:r="http://schemas.openxmlformats.org/officeDocument/2006/relationships" ref="O1285" r:id="rId1284"/>
    <hyperlink xmlns:r="http://schemas.openxmlformats.org/officeDocument/2006/relationships" ref="O1286" r:id="rId1285"/>
    <hyperlink xmlns:r="http://schemas.openxmlformats.org/officeDocument/2006/relationships" ref="O1287" r:id="rId1286"/>
    <hyperlink xmlns:r="http://schemas.openxmlformats.org/officeDocument/2006/relationships" ref="O1288" r:id="rId1287"/>
    <hyperlink xmlns:r="http://schemas.openxmlformats.org/officeDocument/2006/relationships" ref="O1289" r:id="rId1288"/>
    <hyperlink xmlns:r="http://schemas.openxmlformats.org/officeDocument/2006/relationships" ref="O1290" r:id="rId1289"/>
    <hyperlink xmlns:r="http://schemas.openxmlformats.org/officeDocument/2006/relationships" ref="O1291" r:id="rId1290"/>
    <hyperlink xmlns:r="http://schemas.openxmlformats.org/officeDocument/2006/relationships" ref="O1292" r:id="rId1291"/>
    <hyperlink xmlns:r="http://schemas.openxmlformats.org/officeDocument/2006/relationships" ref="O1293" r:id="rId1292"/>
    <hyperlink xmlns:r="http://schemas.openxmlformats.org/officeDocument/2006/relationships" ref="O1294" r:id="rId1293"/>
    <hyperlink xmlns:r="http://schemas.openxmlformats.org/officeDocument/2006/relationships" ref="O1295" r:id="rId1294"/>
    <hyperlink xmlns:r="http://schemas.openxmlformats.org/officeDocument/2006/relationships" ref="O1296" r:id="rId1295"/>
    <hyperlink xmlns:r="http://schemas.openxmlformats.org/officeDocument/2006/relationships" ref="O1297" r:id="rId1296"/>
    <hyperlink xmlns:r="http://schemas.openxmlformats.org/officeDocument/2006/relationships" ref="O1298" r:id="rId1297"/>
    <hyperlink xmlns:r="http://schemas.openxmlformats.org/officeDocument/2006/relationships" ref="O1299" r:id="rId1298"/>
    <hyperlink xmlns:r="http://schemas.openxmlformats.org/officeDocument/2006/relationships" ref="O1300" r:id="rId1299"/>
    <hyperlink xmlns:r="http://schemas.openxmlformats.org/officeDocument/2006/relationships" ref="O1301" r:id="rId1300"/>
    <hyperlink xmlns:r="http://schemas.openxmlformats.org/officeDocument/2006/relationships" ref="O1302" r:id="rId1301"/>
    <hyperlink xmlns:r="http://schemas.openxmlformats.org/officeDocument/2006/relationships" ref="O1303" r:id="rId1302"/>
    <hyperlink xmlns:r="http://schemas.openxmlformats.org/officeDocument/2006/relationships" ref="O1304" r:id="rId1303"/>
    <hyperlink xmlns:r="http://schemas.openxmlformats.org/officeDocument/2006/relationships" ref="O1305" r:id="rId1304"/>
    <hyperlink xmlns:r="http://schemas.openxmlformats.org/officeDocument/2006/relationships" ref="O1306" r:id="rId1305"/>
    <hyperlink xmlns:r="http://schemas.openxmlformats.org/officeDocument/2006/relationships" ref="O1307" r:id="rId1306"/>
    <hyperlink xmlns:r="http://schemas.openxmlformats.org/officeDocument/2006/relationships" ref="O1308" r:id="rId1307"/>
    <hyperlink xmlns:r="http://schemas.openxmlformats.org/officeDocument/2006/relationships" ref="O1309" r:id="rId1308"/>
    <hyperlink xmlns:r="http://schemas.openxmlformats.org/officeDocument/2006/relationships" ref="O1310" r:id="rId1309"/>
    <hyperlink xmlns:r="http://schemas.openxmlformats.org/officeDocument/2006/relationships" ref="O1311" r:id="rId1310"/>
    <hyperlink xmlns:r="http://schemas.openxmlformats.org/officeDocument/2006/relationships" ref="O1312" r:id="rId1311"/>
    <hyperlink xmlns:r="http://schemas.openxmlformats.org/officeDocument/2006/relationships" ref="O1313" r:id="rId1312"/>
    <hyperlink xmlns:r="http://schemas.openxmlformats.org/officeDocument/2006/relationships" ref="O1314" r:id="rId1313"/>
    <hyperlink xmlns:r="http://schemas.openxmlformats.org/officeDocument/2006/relationships" ref="O1315" r:id="rId1314"/>
    <hyperlink xmlns:r="http://schemas.openxmlformats.org/officeDocument/2006/relationships" ref="O1316" r:id="rId1315"/>
    <hyperlink xmlns:r="http://schemas.openxmlformats.org/officeDocument/2006/relationships" ref="O1317" r:id="rId1316"/>
    <hyperlink xmlns:r="http://schemas.openxmlformats.org/officeDocument/2006/relationships" ref="O1318" r:id="rId1317"/>
    <hyperlink xmlns:r="http://schemas.openxmlformats.org/officeDocument/2006/relationships" ref="O1319" r:id="rId1318"/>
    <hyperlink xmlns:r="http://schemas.openxmlformats.org/officeDocument/2006/relationships" ref="O1320" r:id="rId1319"/>
    <hyperlink xmlns:r="http://schemas.openxmlformats.org/officeDocument/2006/relationships" ref="O1321" r:id="rId1320"/>
    <hyperlink xmlns:r="http://schemas.openxmlformats.org/officeDocument/2006/relationships" ref="O1322" r:id="rId1321"/>
    <hyperlink xmlns:r="http://schemas.openxmlformats.org/officeDocument/2006/relationships" ref="O1323" r:id="rId1322"/>
    <hyperlink xmlns:r="http://schemas.openxmlformats.org/officeDocument/2006/relationships" ref="O1324" r:id="rId1323"/>
    <hyperlink xmlns:r="http://schemas.openxmlformats.org/officeDocument/2006/relationships" ref="O1325" r:id="rId1324"/>
    <hyperlink xmlns:r="http://schemas.openxmlformats.org/officeDocument/2006/relationships" ref="O1326" r:id="rId1325"/>
    <hyperlink xmlns:r="http://schemas.openxmlformats.org/officeDocument/2006/relationships" ref="O1327" r:id="rId1326"/>
    <hyperlink xmlns:r="http://schemas.openxmlformats.org/officeDocument/2006/relationships" ref="O1328" r:id="rId1327"/>
    <hyperlink xmlns:r="http://schemas.openxmlformats.org/officeDocument/2006/relationships" ref="O1329" r:id="rId1328"/>
    <hyperlink xmlns:r="http://schemas.openxmlformats.org/officeDocument/2006/relationships" ref="O1330" r:id="rId1329"/>
    <hyperlink xmlns:r="http://schemas.openxmlformats.org/officeDocument/2006/relationships" ref="O1331" r:id="rId1330"/>
    <hyperlink xmlns:r="http://schemas.openxmlformats.org/officeDocument/2006/relationships" ref="O1332" r:id="rId1331"/>
    <hyperlink xmlns:r="http://schemas.openxmlformats.org/officeDocument/2006/relationships" ref="O1333" r:id="rId1332"/>
    <hyperlink xmlns:r="http://schemas.openxmlformats.org/officeDocument/2006/relationships" ref="O1334" r:id="rId1333"/>
    <hyperlink xmlns:r="http://schemas.openxmlformats.org/officeDocument/2006/relationships" ref="O1335" r:id="rId1334"/>
    <hyperlink xmlns:r="http://schemas.openxmlformats.org/officeDocument/2006/relationships" ref="O1336" r:id="rId1335"/>
    <hyperlink xmlns:r="http://schemas.openxmlformats.org/officeDocument/2006/relationships" ref="O1337" r:id="rId1336"/>
    <hyperlink xmlns:r="http://schemas.openxmlformats.org/officeDocument/2006/relationships" ref="O1338" r:id="rId1337"/>
    <hyperlink xmlns:r="http://schemas.openxmlformats.org/officeDocument/2006/relationships" ref="O1339" r:id="rId1338"/>
    <hyperlink xmlns:r="http://schemas.openxmlformats.org/officeDocument/2006/relationships" ref="O1340" r:id="rId1339"/>
    <hyperlink xmlns:r="http://schemas.openxmlformats.org/officeDocument/2006/relationships" ref="O1341" r:id="rId1340"/>
    <hyperlink xmlns:r="http://schemas.openxmlformats.org/officeDocument/2006/relationships" ref="O1342" r:id="rId1341"/>
    <hyperlink xmlns:r="http://schemas.openxmlformats.org/officeDocument/2006/relationships" ref="O1343" r:id="rId1342"/>
    <hyperlink xmlns:r="http://schemas.openxmlformats.org/officeDocument/2006/relationships" ref="O1344" r:id="rId1343"/>
    <hyperlink xmlns:r="http://schemas.openxmlformats.org/officeDocument/2006/relationships" ref="O1345" r:id="rId1344"/>
    <hyperlink xmlns:r="http://schemas.openxmlformats.org/officeDocument/2006/relationships" ref="O1346" r:id="rId1345"/>
    <hyperlink xmlns:r="http://schemas.openxmlformats.org/officeDocument/2006/relationships" ref="O1347" r:id="rId1346"/>
    <hyperlink xmlns:r="http://schemas.openxmlformats.org/officeDocument/2006/relationships" ref="O1348" r:id="rId1347"/>
    <hyperlink xmlns:r="http://schemas.openxmlformats.org/officeDocument/2006/relationships" ref="O1349" r:id="rId1348"/>
    <hyperlink xmlns:r="http://schemas.openxmlformats.org/officeDocument/2006/relationships" ref="O1350" r:id="rId1349"/>
    <hyperlink xmlns:r="http://schemas.openxmlformats.org/officeDocument/2006/relationships" ref="O1351" r:id="rId1350"/>
    <hyperlink xmlns:r="http://schemas.openxmlformats.org/officeDocument/2006/relationships" ref="O1352" r:id="rId1351"/>
    <hyperlink xmlns:r="http://schemas.openxmlformats.org/officeDocument/2006/relationships" ref="O1353" r:id="rId1352"/>
    <hyperlink xmlns:r="http://schemas.openxmlformats.org/officeDocument/2006/relationships" ref="O1354" r:id="rId1353"/>
    <hyperlink xmlns:r="http://schemas.openxmlformats.org/officeDocument/2006/relationships" ref="O1355" r:id="rId1354"/>
    <hyperlink xmlns:r="http://schemas.openxmlformats.org/officeDocument/2006/relationships" ref="O1356" r:id="rId1355"/>
    <hyperlink xmlns:r="http://schemas.openxmlformats.org/officeDocument/2006/relationships" ref="O1357" r:id="rId1356"/>
    <hyperlink xmlns:r="http://schemas.openxmlformats.org/officeDocument/2006/relationships" ref="O1358" r:id="rId1357"/>
    <hyperlink xmlns:r="http://schemas.openxmlformats.org/officeDocument/2006/relationships" ref="O1359" r:id="rId1358"/>
    <hyperlink xmlns:r="http://schemas.openxmlformats.org/officeDocument/2006/relationships" ref="O1360" r:id="rId1359"/>
    <hyperlink xmlns:r="http://schemas.openxmlformats.org/officeDocument/2006/relationships" ref="O1361" r:id="rId1360"/>
    <hyperlink xmlns:r="http://schemas.openxmlformats.org/officeDocument/2006/relationships" ref="O1362" r:id="rId1361"/>
    <hyperlink xmlns:r="http://schemas.openxmlformats.org/officeDocument/2006/relationships" ref="O1363" r:id="rId1362"/>
    <hyperlink xmlns:r="http://schemas.openxmlformats.org/officeDocument/2006/relationships" ref="O1364" r:id="rId1363"/>
    <hyperlink xmlns:r="http://schemas.openxmlformats.org/officeDocument/2006/relationships" ref="O1365" r:id="rId1364"/>
    <hyperlink xmlns:r="http://schemas.openxmlformats.org/officeDocument/2006/relationships" ref="O1366" r:id="rId1365"/>
    <hyperlink xmlns:r="http://schemas.openxmlformats.org/officeDocument/2006/relationships" ref="O1367" r:id="rId1366"/>
    <hyperlink xmlns:r="http://schemas.openxmlformats.org/officeDocument/2006/relationships" ref="O1368" r:id="rId1367"/>
    <hyperlink xmlns:r="http://schemas.openxmlformats.org/officeDocument/2006/relationships" ref="O1369" r:id="rId1368"/>
    <hyperlink xmlns:r="http://schemas.openxmlformats.org/officeDocument/2006/relationships" ref="O1370" r:id="rId1369"/>
    <hyperlink xmlns:r="http://schemas.openxmlformats.org/officeDocument/2006/relationships" ref="O1371" r:id="rId1370"/>
    <hyperlink xmlns:r="http://schemas.openxmlformats.org/officeDocument/2006/relationships" ref="O1372" r:id="rId1371"/>
    <hyperlink xmlns:r="http://schemas.openxmlformats.org/officeDocument/2006/relationships" ref="O1373" r:id="rId1372"/>
    <hyperlink xmlns:r="http://schemas.openxmlformats.org/officeDocument/2006/relationships" ref="O1374" r:id="rId1373"/>
    <hyperlink xmlns:r="http://schemas.openxmlformats.org/officeDocument/2006/relationships" ref="O1375" r:id="rId1374"/>
    <hyperlink xmlns:r="http://schemas.openxmlformats.org/officeDocument/2006/relationships" ref="O1376" r:id="rId1375"/>
    <hyperlink xmlns:r="http://schemas.openxmlformats.org/officeDocument/2006/relationships" ref="O1377" r:id="rId1376"/>
    <hyperlink xmlns:r="http://schemas.openxmlformats.org/officeDocument/2006/relationships" ref="O1378" r:id="rId1377"/>
    <hyperlink xmlns:r="http://schemas.openxmlformats.org/officeDocument/2006/relationships" ref="O1379" r:id="rId1378"/>
    <hyperlink xmlns:r="http://schemas.openxmlformats.org/officeDocument/2006/relationships" ref="O1380" r:id="rId1379"/>
    <hyperlink xmlns:r="http://schemas.openxmlformats.org/officeDocument/2006/relationships" ref="O1381" r:id="rId1380"/>
    <hyperlink xmlns:r="http://schemas.openxmlformats.org/officeDocument/2006/relationships" ref="O1382" r:id="rId1381"/>
    <hyperlink xmlns:r="http://schemas.openxmlformats.org/officeDocument/2006/relationships" ref="O1383" r:id="rId1382"/>
    <hyperlink xmlns:r="http://schemas.openxmlformats.org/officeDocument/2006/relationships" ref="O1384" r:id="rId1383"/>
    <hyperlink xmlns:r="http://schemas.openxmlformats.org/officeDocument/2006/relationships" ref="O1385" r:id="rId1384"/>
    <hyperlink xmlns:r="http://schemas.openxmlformats.org/officeDocument/2006/relationships" ref="O1386" r:id="rId1385"/>
    <hyperlink xmlns:r="http://schemas.openxmlformats.org/officeDocument/2006/relationships" ref="O1387" r:id="rId1386"/>
    <hyperlink xmlns:r="http://schemas.openxmlformats.org/officeDocument/2006/relationships" ref="O1388" r:id="rId1387"/>
    <hyperlink xmlns:r="http://schemas.openxmlformats.org/officeDocument/2006/relationships" ref="O1389" r:id="rId1388"/>
    <hyperlink xmlns:r="http://schemas.openxmlformats.org/officeDocument/2006/relationships" ref="O1390" r:id="rId1389"/>
    <hyperlink xmlns:r="http://schemas.openxmlformats.org/officeDocument/2006/relationships" ref="O1391" r:id="rId1390"/>
    <hyperlink xmlns:r="http://schemas.openxmlformats.org/officeDocument/2006/relationships" ref="O1392" r:id="rId1391"/>
    <hyperlink xmlns:r="http://schemas.openxmlformats.org/officeDocument/2006/relationships" ref="O1393" r:id="rId1392"/>
    <hyperlink xmlns:r="http://schemas.openxmlformats.org/officeDocument/2006/relationships" ref="O1394" r:id="rId1393"/>
    <hyperlink xmlns:r="http://schemas.openxmlformats.org/officeDocument/2006/relationships" ref="O1395" r:id="rId1394"/>
    <hyperlink xmlns:r="http://schemas.openxmlformats.org/officeDocument/2006/relationships" ref="O1396" r:id="rId1395"/>
    <hyperlink xmlns:r="http://schemas.openxmlformats.org/officeDocument/2006/relationships" ref="O1397" r:id="rId1396"/>
    <hyperlink xmlns:r="http://schemas.openxmlformats.org/officeDocument/2006/relationships" ref="O1398" r:id="rId1397"/>
    <hyperlink xmlns:r="http://schemas.openxmlformats.org/officeDocument/2006/relationships" ref="O1399" r:id="rId1398"/>
    <hyperlink xmlns:r="http://schemas.openxmlformats.org/officeDocument/2006/relationships" ref="O1400" r:id="rId1399"/>
    <hyperlink xmlns:r="http://schemas.openxmlformats.org/officeDocument/2006/relationships" ref="O1401" r:id="rId1400"/>
    <hyperlink xmlns:r="http://schemas.openxmlformats.org/officeDocument/2006/relationships" ref="O1402" r:id="rId1401"/>
    <hyperlink xmlns:r="http://schemas.openxmlformats.org/officeDocument/2006/relationships" ref="O1403" r:id="rId1402"/>
    <hyperlink xmlns:r="http://schemas.openxmlformats.org/officeDocument/2006/relationships" ref="O1404" r:id="rId1403"/>
    <hyperlink xmlns:r="http://schemas.openxmlformats.org/officeDocument/2006/relationships" ref="O1405" r:id="rId1404"/>
    <hyperlink xmlns:r="http://schemas.openxmlformats.org/officeDocument/2006/relationships" ref="O1406" r:id="rId1405"/>
    <hyperlink xmlns:r="http://schemas.openxmlformats.org/officeDocument/2006/relationships" ref="O1407" r:id="rId1406"/>
    <hyperlink xmlns:r="http://schemas.openxmlformats.org/officeDocument/2006/relationships" ref="O1408" r:id="rId1407"/>
    <hyperlink xmlns:r="http://schemas.openxmlformats.org/officeDocument/2006/relationships" ref="O1409" r:id="rId1408"/>
    <hyperlink xmlns:r="http://schemas.openxmlformats.org/officeDocument/2006/relationships" ref="O1410" r:id="rId1409"/>
    <hyperlink xmlns:r="http://schemas.openxmlformats.org/officeDocument/2006/relationships" ref="O1411" r:id="rId1410"/>
    <hyperlink xmlns:r="http://schemas.openxmlformats.org/officeDocument/2006/relationships" ref="O1412" r:id="rId1411"/>
    <hyperlink xmlns:r="http://schemas.openxmlformats.org/officeDocument/2006/relationships" ref="O1413" r:id="rId1412"/>
    <hyperlink xmlns:r="http://schemas.openxmlformats.org/officeDocument/2006/relationships" ref="O1414" r:id="rId1413"/>
    <hyperlink xmlns:r="http://schemas.openxmlformats.org/officeDocument/2006/relationships" ref="O1415" r:id="rId1414"/>
    <hyperlink xmlns:r="http://schemas.openxmlformats.org/officeDocument/2006/relationships" ref="O1416" r:id="rId1415"/>
    <hyperlink xmlns:r="http://schemas.openxmlformats.org/officeDocument/2006/relationships" ref="O1417" r:id="rId1416"/>
    <hyperlink xmlns:r="http://schemas.openxmlformats.org/officeDocument/2006/relationships" ref="O1418" r:id="rId1417"/>
    <hyperlink xmlns:r="http://schemas.openxmlformats.org/officeDocument/2006/relationships" ref="O1419" r:id="rId1418"/>
    <hyperlink xmlns:r="http://schemas.openxmlformats.org/officeDocument/2006/relationships" ref="O1420" r:id="rId1419"/>
    <hyperlink xmlns:r="http://schemas.openxmlformats.org/officeDocument/2006/relationships" ref="O1421" r:id="rId1420"/>
    <hyperlink xmlns:r="http://schemas.openxmlformats.org/officeDocument/2006/relationships" ref="O1422" r:id="rId1421"/>
    <hyperlink xmlns:r="http://schemas.openxmlformats.org/officeDocument/2006/relationships" ref="O1423" r:id="rId1422"/>
    <hyperlink xmlns:r="http://schemas.openxmlformats.org/officeDocument/2006/relationships" ref="O1424" r:id="rId1423"/>
    <hyperlink xmlns:r="http://schemas.openxmlformats.org/officeDocument/2006/relationships" ref="O1425" r:id="rId1424"/>
    <hyperlink xmlns:r="http://schemas.openxmlformats.org/officeDocument/2006/relationships" ref="O1426" r:id="rId1425"/>
    <hyperlink xmlns:r="http://schemas.openxmlformats.org/officeDocument/2006/relationships" ref="O1427" r:id="rId1426"/>
    <hyperlink xmlns:r="http://schemas.openxmlformats.org/officeDocument/2006/relationships" ref="O1428" r:id="rId1427"/>
    <hyperlink xmlns:r="http://schemas.openxmlformats.org/officeDocument/2006/relationships" ref="O1429" r:id="rId1428"/>
    <hyperlink xmlns:r="http://schemas.openxmlformats.org/officeDocument/2006/relationships" ref="O1430" r:id="rId1429"/>
    <hyperlink xmlns:r="http://schemas.openxmlformats.org/officeDocument/2006/relationships" ref="O1431" r:id="rId1430"/>
    <hyperlink xmlns:r="http://schemas.openxmlformats.org/officeDocument/2006/relationships" ref="O1432" r:id="rId1431"/>
    <hyperlink xmlns:r="http://schemas.openxmlformats.org/officeDocument/2006/relationships" ref="O1433" r:id="rId1432"/>
    <hyperlink xmlns:r="http://schemas.openxmlformats.org/officeDocument/2006/relationships" ref="O1434" r:id="rId1433"/>
    <hyperlink xmlns:r="http://schemas.openxmlformats.org/officeDocument/2006/relationships" ref="O1435" r:id="rId1434"/>
    <hyperlink xmlns:r="http://schemas.openxmlformats.org/officeDocument/2006/relationships" ref="O1436" r:id="rId1435"/>
    <hyperlink xmlns:r="http://schemas.openxmlformats.org/officeDocument/2006/relationships" ref="O1437" r:id="rId1436"/>
    <hyperlink xmlns:r="http://schemas.openxmlformats.org/officeDocument/2006/relationships" ref="O1438" r:id="rId1437"/>
    <hyperlink xmlns:r="http://schemas.openxmlformats.org/officeDocument/2006/relationships" ref="O1439" r:id="rId1438"/>
    <hyperlink xmlns:r="http://schemas.openxmlformats.org/officeDocument/2006/relationships" ref="O1440" r:id="rId1439"/>
    <hyperlink xmlns:r="http://schemas.openxmlformats.org/officeDocument/2006/relationships" ref="O1441" r:id="rId1440"/>
    <hyperlink xmlns:r="http://schemas.openxmlformats.org/officeDocument/2006/relationships" ref="O1442" r:id="rId1441"/>
    <hyperlink xmlns:r="http://schemas.openxmlformats.org/officeDocument/2006/relationships" ref="O1443" r:id="rId1442"/>
    <hyperlink xmlns:r="http://schemas.openxmlformats.org/officeDocument/2006/relationships" ref="O1444" r:id="rId1443"/>
    <hyperlink xmlns:r="http://schemas.openxmlformats.org/officeDocument/2006/relationships" ref="O1445" r:id="rId1444"/>
    <hyperlink xmlns:r="http://schemas.openxmlformats.org/officeDocument/2006/relationships" ref="O1446" r:id="rId1445"/>
    <hyperlink xmlns:r="http://schemas.openxmlformats.org/officeDocument/2006/relationships" ref="O1447" r:id="rId1446"/>
    <hyperlink xmlns:r="http://schemas.openxmlformats.org/officeDocument/2006/relationships" ref="O1448" r:id="rId1447"/>
    <hyperlink xmlns:r="http://schemas.openxmlformats.org/officeDocument/2006/relationships" ref="O1449" r:id="rId1448"/>
    <hyperlink xmlns:r="http://schemas.openxmlformats.org/officeDocument/2006/relationships" ref="O1450" r:id="rId1449"/>
    <hyperlink xmlns:r="http://schemas.openxmlformats.org/officeDocument/2006/relationships" ref="O1451" r:id="rId1450"/>
    <hyperlink xmlns:r="http://schemas.openxmlformats.org/officeDocument/2006/relationships" ref="O1452" r:id="rId1451"/>
    <hyperlink xmlns:r="http://schemas.openxmlformats.org/officeDocument/2006/relationships" ref="O1453" r:id="rId1452"/>
    <hyperlink xmlns:r="http://schemas.openxmlformats.org/officeDocument/2006/relationships" ref="O1454" r:id="rId1453"/>
    <hyperlink xmlns:r="http://schemas.openxmlformats.org/officeDocument/2006/relationships" ref="O1455" r:id="rId1454"/>
    <hyperlink xmlns:r="http://schemas.openxmlformats.org/officeDocument/2006/relationships" ref="O1456" r:id="rId1455"/>
    <hyperlink xmlns:r="http://schemas.openxmlformats.org/officeDocument/2006/relationships" ref="O1457" r:id="rId1456"/>
    <hyperlink xmlns:r="http://schemas.openxmlformats.org/officeDocument/2006/relationships" ref="O1458" r:id="rId1457"/>
    <hyperlink xmlns:r="http://schemas.openxmlformats.org/officeDocument/2006/relationships" ref="O1459" r:id="rId1458"/>
    <hyperlink xmlns:r="http://schemas.openxmlformats.org/officeDocument/2006/relationships" ref="O1460" r:id="rId1459"/>
    <hyperlink xmlns:r="http://schemas.openxmlformats.org/officeDocument/2006/relationships" ref="O1461" r:id="rId1460"/>
    <hyperlink xmlns:r="http://schemas.openxmlformats.org/officeDocument/2006/relationships" ref="O1462" r:id="rId1461"/>
    <hyperlink xmlns:r="http://schemas.openxmlformats.org/officeDocument/2006/relationships" ref="O1463" r:id="rId1462"/>
    <hyperlink xmlns:r="http://schemas.openxmlformats.org/officeDocument/2006/relationships" ref="O1464" r:id="rId1463"/>
    <hyperlink xmlns:r="http://schemas.openxmlformats.org/officeDocument/2006/relationships" ref="O1465" r:id="rId1464"/>
    <hyperlink xmlns:r="http://schemas.openxmlformats.org/officeDocument/2006/relationships" ref="O1466" r:id="rId1465"/>
    <hyperlink xmlns:r="http://schemas.openxmlformats.org/officeDocument/2006/relationships" ref="O1467" r:id="rId1466"/>
    <hyperlink xmlns:r="http://schemas.openxmlformats.org/officeDocument/2006/relationships" ref="O1468" r:id="rId1467"/>
    <hyperlink xmlns:r="http://schemas.openxmlformats.org/officeDocument/2006/relationships" ref="O1469" r:id="rId1468"/>
    <hyperlink xmlns:r="http://schemas.openxmlformats.org/officeDocument/2006/relationships" ref="O1470" r:id="rId1469"/>
    <hyperlink xmlns:r="http://schemas.openxmlformats.org/officeDocument/2006/relationships" ref="O1471" r:id="rId1470"/>
    <hyperlink xmlns:r="http://schemas.openxmlformats.org/officeDocument/2006/relationships" ref="O1472" r:id="rId1471"/>
    <hyperlink xmlns:r="http://schemas.openxmlformats.org/officeDocument/2006/relationships" ref="O1473" r:id="rId1472"/>
    <hyperlink xmlns:r="http://schemas.openxmlformats.org/officeDocument/2006/relationships" ref="O1474" r:id="rId1473"/>
    <hyperlink xmlns:r="http://schemas.openxmlformats.org/officeDocument/2006/relationships" ref="O1475" r:id="rId1474"/>
    <hyperlink xmlns:r="http://schemas.openxmlformats.org/officeDocument/2006/relationships" ref="O1476" r:id="rId1475"/>
    <hyperlink xmlns:r="http://schemas.openxmlformats.org/officeDocument/2006/relationships" ref="O1477" r:id="rId1476"/>
    <hyperlink xmlns:r="http://schemas.openxmlformats.org/officeDocument/2006/relationships" ref="O1478" r:id="rId1477"/>
    <hyperlink xmlns:r="http://schemas.openxmlformats.org/officeDocument/2006/relationships" ref="O1479" r:id="rId1478"/>
    <hyperlink xmlns:r="http://schemas.openxmlformats.org/officeDocument/2006/relationships" ref="O1480" r:id="rId1479"/>
    <hyperlink xmlns:r="http://schemas.openxmlformats.org/officeDocument/2006/relationships" ref="O1481" r:id="rId1480"/>
    <hyperlink xmlns:r="http://schemas.openxmlformats.org/officeDocument/2006/relationships" ref="O1482" r:id="rId1481"/>
    <hyperlink xmlns:r="http://schemas.openxmlformats.org/officeDocument/2006/relationships" ref="O1483" r:id="rId1482"/>
    <hyperlink xmlns:r="http://schemas.openxmlformats.org/officeDocument/2006/relationships" ref="O1484" r:id="rId1483"/>
    <hyperlink xmlns:r="http://schemas.openxmlformats.org/officeDocument/2006/relationships" ref="O1485" r:id="rId1484"/>
    <hyperlink xmlns:r="http://schemas.openxmlformats.org/officeDocument/2006/relationships" ref="O1486" r:id="rId1485"/>
    <hyperlink xmlns:r="http://schemas.openxmlformats.org/officeDocument/2006/relationships" ref="O1487" r:id="rId1486"/>
    <hyperlink xmlns:r="http://schemas.openxmlformats.org/officeDocument/2006/relationships" ref="O1488" r:id="rId1487"/>
    <hyperlink xmlns:r="http://schemas.openxmlformats.org/officeDocument/2006/relationships" ref="O1489" r:id="rId1488"/>
    <hyperlink xmlns:r="http://schemas.openxmlformats.org/officeDocument/2006/relationships" ref="O1490" r:id="rId1489"/>
    <hyperlink xmlns:r="http://schemas.openxmlformats.org/officeDocument/2006/relationships" ref="O1491" r:id="rId1490"/>
    <hyperlink xmlns:r="http://schemas.openxmlformats.org/officeDocument/2006/relationships" ref="O1492" r:id="rId1491"/>
    <hyperlink xmlns:r="http://schemas.openxmlformats.org/officeDocument/2006/relationships" ref="O1493" r:id="rId1492"/>
    <hyperlink xmlns:r="http://schemas.openxmlformats.org/officeDocument/2006/relationships" ref="O1494" r:id="rId1493"/>
    <hyperlink xmlns:r="http://schemas.openxmlformats.org/officeDocument/2006/relationships" ref="O1495" r:id="rId1494"/>
    <hyperlink xmlns:r="http://schemas.openxmlformats.org/officeDocument/2006/relationships" ref="O1496" r:id="rId1495"/>
    <hyperlink xmlns:r="http://schemas.openxmlformats.org/officeDocument/2006/relationships" ref="O1497" r:id="rId1496"/>
    <hyperlink xmlns:r="http://schemas.openxmlformats.org/officeDocument/2006/relationships" ref="O1498" r:id="rId1497"/>
    <hyperlink xmlns:r="http://schemas.openxmlformats.org/officeDocument/2006/relationships" ref="O1499" r:id="rId1498"/>
    <hyperlink xmlns:r="http://schemas.openxmlformats.org/officeDocument/2006/relationships" ref="O1500" r:id="rId1499"/>
    <hyperlink xmlns:r="http://schemas.openxmlformats.org/officeDocument/2006/relationships" ref="O1501" r:id="rId1500"/>
    <hyperlink xmlns:r="http://schemas.openxmlformats.org/officeDocument/2006/relationships" ref="O1502" r:id="rId1501"/>
    <hyperlink xmlns:r="http://schemas.openxmlformats.org/officeDocument/2006/relationships" ref="O1503" r:id="rId1502"/>
    <hyperlink xmlns:r="http://schemas.openxmlformats.org/officeDocument/2006/relationships" ref="O1504" r:id="rId1503"/>
    <hyperlink xmlns:r="http://schemas.openxmlformats.org/officeDocument/2006/relationships" ref="O1505" r:id="rId1504"/>
    <hyperlink xmlns:r="http://schemas.openxmlformats.org/officeDocument/2006/relationships" ref="O1506" r:id="rId1505"/>
    <hyperlink xmlns:r="http://schemas.openxmlformats.org/officeDocument/2006/relationships" ref="O1507" r:id="rId1506"/>
    <hyperlink xmlns:r="http://schemas.openxmlformats.org/officeDocument/2006/relationships" ref="O1508" r:id="rId1507"/>
    <hyperlink xmlns:r="http://schemas.openxmlformats.org/officeDocument/2006/relationships" ref="O1509" r:id="rId1508"/>
    <hyperlink xmlns:r="http://schemas.openxmlformats.org/officeDocument/2006/relationships" ref="O1510" r:id="rId1509"/>
    <hyperlink xmlns:r="http://schemas.openxmlformats.org/officeDocument/2006/relationships" ref="O1511" r:id="rId1510"/>
    <hyperlink xmlns:r="http://schemas.openxmlformats.org/officeDocument/2006/relationships" ref="O1512" r:id="rId1511"/>
    <hyperlink xmlns:r="http://schemas.openxmlformats.org/officeDocument/2006/relationships" ref="O1513" r:id="rId1512"/>
    <hyperlink xmlns:r="http://schemas.openxmlformats.org/officeDocument/2006/relationships" ref="O1514" r:id="rId1513"/>
    <hyperlink xmlns:r="http://schemas.openxmlformats.org/officeDocument/2006/relationships" ref="O1515" r:id="rId1514"/>
    <hyperlink xmlns:r="http://schemas.openxmlformats.org/officeDocument/2006/relationships" ref="O1516" r:id="rId1515"/>
    <hyperlink xmlns:r="http://schemas.openxmlformats.org/officeDocument/2006/relationships" ref="O1517" r:id="rId1516"/>
    <hyperlink xmlns:r="http://schemas.openxmlformats.org/officeDocument/2006/relationships" ref="O1518" r:id="rId1517"/>
    <hyperlink xmlns:r="http://schemas.openxmlformats.org/officeDocument/2006/relationships" ref="O1519" r:id="rId1518"/>
    <hyperlink xmlns:r="http://schemas.openxmlformats.org/officeDocument/2006/relationships" ref="O1520" r:id="rId1519"/>
    <hyperlink xmlns:r="http://schemas.openxmlformats.org/officeDocument/2006/relationships" ref="O1521" r:id="rId1520"/>
    <hyperlink xmlns:r="http://schemas.openxmlformats.org/officeDocument/2006/relationships" ref="O1522" r:id="rId1521"/>
    <hyperlink xmlns:r="http://schemas.openxmlformats.org/officeDocument/2006/relationships" ref="O1523" r:id="rId1522"/>
    <hyperlink xmlns:r="http://schemas.openxmlformats.org/officeDocument/2006/relationships" ref="O1524" r:id="rId1523"/>
    <hyperlink xmlns:r="http://schemas.openxmlformats.org/officeDocument/2006/relationships" ref="O1525" r:id="rId1524"/>
    <hyperlink xmlns:r="http://schemas.openxmlformats.org/officeDocument/2006/relationships" ref="O1526" r:id="rId1525"/>
    <hyperlink xmlns:r="http://schemas.openxmlformats.org/officeDocument/2006/relationships" ref="O1527" r:id="rId1526"/>
    <hyperlink xmlns:r="http://schemas.openxmlformats.org/officeDocument/2006/relationships" ref="O1528" r:id="rId1527"/>
    <hyperlink xmlns:r="http://schemas.openxmlformats.org/officeDocument/2006/relationships" ref="O1529" r:id="rId1528"/>
    <hyperlink xmlns:r="http://schemas.openxmlformats.org/officeDocument/2006/relationships" ref="O1530" r:id="rId1529"/>
    <hyperlink xmlns:r="http://schemas.openxmlformats.org/officeDocument/2006/relationships" ref="O1531" r:id="rId1530"/>
    <hyperlink xmlns:r="http://schemas.openxmlformats.org/officeDocument/2006/relationships" ref="O1532" r:id="rId1531"/>
    <hyperlink xmlns:r="http://schemas.openxmlformats.org/officeDocument/2006/relationships" ref="O1533" r:id="rId1532"/>
    <hyperlink xmlns:r="http://schemas.openxmlformats.org/officeDocument/2006/relationships" ref="O1534" r:id="rId1533"/>
    <hyperlink xmlns:r="http://schemas.openxmlformats.org/officeDocument/2006/relationships" ref="O1535" r:id="rId1534"/>
    <hyperlink xmlns:r="http://schemas.openxmlformats.org/officeDocument/2006/relationships" ref="O1536" r:id="rId1535"/>
    <hyperlink xmlns:r="http://schemas.openxmlformats.org/officeDocument/2006/relationships" ref="O1537" r:id="rId1536"/>
    <hyperlink xmlns:r="http://schemas.openxmlformats.org/officeDocument/2006/relationships" ref="O1538" r:id="rId1537"/>
    <hyperlink xmlns:r="http://schemas.openxmlformats.org/officeDocument/2006/relationships" ref="O1539" r:id="rId1538"/>
    <hyperlink xmlns:r="http://schemas.openxmlformats.org/officeDocument/2006/relationships" ref="O1540" r:id="rId1539"/>
    <hyperlink xmlns:r="http://schemas.openxmlformats.org/officeDocument/2006/relationships" ref="O1541" r:id="rId1540"/>
    <hyperlink xmlns:r="http://schemas.openxmlformats.org/officeDocument/2006/relationships" ref="O1542" r:id="rId1541"/>
    <hyperlink xmlns:r="http://schemas.openxmlformats.org/officeDocument/2006/relationships" ref="O1543" r:id="rId1542"/>
    <hyperlink xmlns:r="http://schemas.openxmlformats.org/officeDocument/2006/relationships" ref="O1544" r:id="rId1543"/>
    <hyperlink xmlns:r="http://schemas.openxmlformats.org/officeDocument/2006/relationships" ref="O1545" r:id="rId1544"/>
    <hyperlink xmlns:r="http://schemas.openxmlformats.org/officeDocument/2006/relationships" ref="O1546" r:id="rId1545"/>
    <hyperlink xmlns:r="http://schemas.openxmlformats.org/officeDocument/2006/relationships" ref="O1547" r:id="rId1546"/>
    <hyperlink xmlns:r="http://schemas.openxmlformats.org/officeDocument/2006/relationships" ref="O1548" r:id="rId1547"/>
    <hyperlink xmlns:r="http://schemas.openxmlformats.org/officeDocument/2006/relationships" ref="O1549" r:id="rId1548"/>
    <hyperlink xmlns:r="http://schemas.openxmlformats.org/officeDocument/2006/relationships" ref="O1550" r:id="rId1549"/>
    <hyperlink xmlns:r="http://schemas.openxmlformats.org/officeDocument/2006/relationships" ref="O1551" r:id="rId1550"/>
    <hyperlink xmlns:r="http://schemas.openxmlformats.org/officeDocument/2006/relationships" ref="O1552" r:id="rId1551"/>
    <hyperlink xmlns:r="http://schemas.openxmlformats.org/officeDocument/2006/relationships" ref="O1553" r:id="rId1552"/>
    <hyperlink xmlns:r="http://schemas.openxmlformats.org/officeDocument/2006/relationships" ref="O1554" r:id="rId1553"/>
    <hyperlink xmlns:r="http://schemas.openxmlformats.org/officeDocument/2006/relationships" ref="O1555" r:id="rId1554"/>
    <hyperlink xmlns:r="http://schemas.openxmlformats.org/officeDocument/2006/relationships" ref="O1556" r:id="rId1555"/>
    <hyperlink xmlns:r="http://schemas.openxmlformats.org/officeDocument/2006/relationships" ref="O1557" r:id="rId1556"/>
    <hyperlink xmlns:r="http://schemas.openxmlformats.org/officeDocument/2006/relationships" ref="O1558" r:id="rId1557"/>
    <hyperlink xmlns:r="http://schemas.openxmlformats.org/officeDocument/2006/relationships" ref="O1559" r:id="rId1558"/>
    <hyperlink xmlns:r="http://schemas.openxmlformats.org/officeDocument/2006/relationships" ref="O1560" r:id="rId1559"/>
    <hyperlink xmlns:r="http://schemas.openxmlformats.org/officeDocument/2006/relationships" ref="O1561" r:id="rId1560"/>
    <hyperlink xmlns:r="http://schemas.openxmlformats.org/officeDocument/2006/relationships" ref="O1562" r:id="rId1561"/>
    <hyperlink xmlns:r="http://schemas.openxmlformats.org/officeDocument/2006/relationships" ref="O1563" r:id="rId1562"/>
    <hyperlink xmlns:r="http://schemas.openxmlformats.org/officeDocument/2006/relationships" ref="O1564" r:id="rId1563"/>
    <hyperlink xmlns:r="http://schemas.openxmlformats.org/officeDocument/2006/relationships" ref="O1565" r:id="rId1564"/>
    <hyperlink xmlns:r="http://schemas.openxmlformats.org/officeDocument/2006/relationships" ref="O1566" r:id="rId1565"/>
    <hyperlink xmlns:r="http://schemas.openxmlformats.org/officeDocument/2006/relationships" ref="O1567" r:id="rId1566"/>
    <hyperlink xmlns:r="http://schemas.openxmlformats.org/officeDocument/2006/relationships" ref="O1568" r:id="rId1567"/>
    <hyperlink xmlns:r="http://schemas.openxmlformats.org/officeDocument/2006/relationships" ref="O1569" r:id="rId1568"/>
    <hyperlink xmlns:r="http://schemas.openxmlformats.org/officeDocument/2006/relationships" ref="O1570" r:id="rId1569"/>
    <hyperlink xmlns:r="http://schemas.openxmlformats.org/officeDocument/2006/relationships" ref="O1571" r:id="rId1570"/>
    <hyperlink xmlns:r="http://schemas.openxmlformats.org/officeDocument/2006/relationships" ref="O1572" r:id="rId1571"/>
    <hyperlink xmlns:r="http://schemas.openxmlformats.org/officeDocument/2006/relationships" ref="O1573" r:id="rId1572"/>
    <hyperlink xmlns:r="http://schemas.openxmlformats.org/officeDocument/2006/relationships" ref="O1574" r:id="rId1573"/>
    <hyperlink xmlns:r="http://schemas.openxmlformats.org/officeDocument/2006/relationships" ref="O1575" r:id="rId1574"/>
    <hyperlink xmlns:r="http://schemas.openxmlformats.org/officeDocument/2006/relationships" ref="O1576" r:id="rId1575"/>
    <hyperlink xmlns:r="http://schemas.openxmlformats.org/officeDocument/2006/relationships" ref="O1577" r:id="rId1576"/>
    <hyperlink xmlns:r="http://schemas.openxmlformats.org/officeDocument/2006/relationships" ref="O1578" r:id="rId1577"/>
    <hyperlink xmlns:r="http://schemas.openxmlformats.org/officeDocument/2006/relationships" ref="O1579" r:id="rId1578"/>
    <hyperlink xmlns:r="http://schemas.openxmlformats.org/officeDocument/2006/relationships" ref="O1580" r:id="rId1579"/>
    <hyperlink xmlns:r="http://schemas.openxmlformats.org/officeDocument/2006/relationships" ref="O1581" r:id="rId1580"/>
    <hyperlink xmlns:r="http://schemas.openxmlformats.org/officeDocument/2006/relationships" ref="O1582" r:id="rId1581"/>
    <hyperlink xmlns:r="http://schemas.openxmlformats.org/officeDocument/2006/relationships" ref="O1583" r:id="rId1582"/>
    <hyperlink xmlns:r="http://schemas.openxmlformats.org/officeDocument/2006/relationships" ref="O1584" r:id="rId1583"/>
    <hyperlink xmlns:r="http://schemas.openxmlformats.org/officeDocument/2006/relationships" ref="O1585" r:id="rId1584"/>
    <hyperlink xmlns:r="http://schemas.openxmlformats.org/officeDocument/2006/relationships" ref="O1586" r:id="rId1585"/>
    <hyperlink xmlns:r="http://schemas.openxmlformats.org/officeDocument/2006/relationships" ref="O1587" r:id="rId1586"/>
    <hyperlink xmlns:r="http://schemas.openxmlformats.org/officeDocument/2006/relationships" ref="O1588" r:id="rId1587"/>
    <hyperlink xmlns:r="http://schemas.openxmlformats.org/officeDocument/2006/relationships" ref="O1589" r:id="rId1588"/>
    <hyperlink xmlns:r="http://schemas.openxmlformats.org/officeDocument/2006/relationships" ref="O1590" r:id="rId1589"/>
    <hyperlink xmlns:r="http://schemas.openxmlformats.org/officeDocument/2006/relationships" ref="O1591" r:id="rId1590"/>
    <hyperlink xmlns:r="http://schemas.openxmlformats.org/officeDocument/2006/relationships" ref="O1592" r:id="rId1591"/>
    <hyperlink xmlns:r="http://schemas.openxmlformats.org/officeDocument/2006/relationships" ref="O1593" r:id="rId1592"/>
    <hyperlink xmlns:r="http://schemas.openxmlformats.org/officeDocument/2006/relationships" ref="O1594" r:id="rId1593"/>
    <hyperlink xmlns:r="http://schemas.openxmlformats.org/officeDocument/2006/relationships" ref="O1595" r:id="rId1594"/>
    <hyperlink xmlns:r="http://schemas.openxmlformats.org/officeDocument/2006/relationships" ref="O1596" r:id="rId1595"/>
    <hyperlink xmlns:r="http://schemas.openxmlformats.org/officeDocument/2006/relationships" ref="O1597" r:id="rId1596"/>
    <hyperlink xmlns:r="http://schemas.openxmlformats.org/officeDocument/2006/relationships" ref="O1598" r:id="rId1597"/>
    <hyperlink xmlns:r="http://schemas.openxmlformats.org/officeDocument/2006/relationships" ref="O1599" r:id="rId1598"/>
    <hyperlink xmlns:r="http://schemas.openxmlformats.org/officeDocument/2006/relationships" ref="O1600" r:id="rId1599"/>
    <hyperlink xmlns:r="http://schemas.openxmlformats.org/officeDocument/2006/relationships" ref="O1601" r:id="rId1600"/>
    <hyperlink xmlns:r="http://schemas.openxmlformats.org/officeDocument/2006/relationships" ref="O1602" r:id="rId1601"/>
    <hyperlink xmlns:r="http://schemas.openxmlformats.org/officeDocument/2006/relationships" ref="O1603" r:id="rId1602"/>
    <hyperlink xmlns:r="http://schemas.openxmlformats.org/officeDocument/2006/relationships" ref="O1604" r:id="rId1603"/>
    <hyperlink xmlns:r="http://schemas.openxmlformats.org/officeDocument/2006/relationships" ref="O1605" r:id="rId1604"/>
    <hyperlink xmlns:r="http://schemas.openxmlformats.org/officeDocument/2006/relationships" ref="O1606" r:id="rId1605"/>
    <hyperlink xmlns:r="http://schemas.openxmlformats.org/officeDocument/2006/relationships" ref="O1607" r:id="rId1606"/>
    <hyperlink xmlns:r="http://schemas.openxmlformats.org/officeDocument/2006/relationships" ref="O1608" r:id="rId1607"/>
    <hyperlink xmlns:r="http://schemas.openxmlformats.org/officeDocument/2006/relationships" ref="O1609" r:id="rId1608"/>
    <hyperlink xmlns:r="http://schemas.openxmlformats.org/officeDocument/2006/relationships" ref="O1610" r:id="rId1609"/>
    <hyperlink xmlns:r="http://schemas.openxmlformats.org/officeDocument/2006/relationships" ref="O1611" r:id="rId1610"/>
    <hyperlink xmlns:r="http://schemas.openxmlformats.org/officeDocument/2006/relationships" ref="O1612" r:id="rId1611"/>
    <hyperlink xmlns:r="http://schemas.openxmlformats.org/officeDocument/2006/relationships" ref="O1613" r:id="rId1612"/>
    <hyperlink xmlns:r="http://schemas.openxmlformats.org/officeDocument/2006/relationships" ref="O1614" r:id="rId1613"/>
    <hyperlink xmlns:r="http://schemas.openxmlformats.org/officeDocument/2006/relationships" ref="O1615" r:id="rId1614"/>
    <hyperlink xmlns:r="http://schemas.openxmlformats.org/officeDocument/2006/relationships" ref="O1616" r:id="rId1615"/>
    <hyperlink xmlns:r="http://schemas.openxmlformats.org/officeDocument/2006/relationships" ref="O1617" r:id="rId1616"/>
    <hyperlink xmlns:r="http://schemas.openxmlformats.org/officeDocument/2006/relationships" ref="O1618" r:id="rId1617"/>
    <hyperlink xmlns:r="http://schemas.openxmlformats.org/officeDocument/2006/relationships" ref="O1619" r:id="rId1618"/>
    <hyperlink xmlns:r="http://schemas.openxmlformats.org/officeDocument/2006/relationships" ref="O1620" r:id="rId1619"/>
    <hyperlink xmlns:r="http://schemas.openxmlformats.org/officeDocument/2006/relationships" ref="O1621" r:id="rId1620"/>
    <hyperlink xmlns:r="http://schemas.openxmlformats.org/officeDocument/2006/relationships" ref="O1622" r:id="rId1621"/>
    <hyperlink xmlns:r="http://schemas.openxmlformats.org/officeDocument/2006/relationships" ref="O1623" r:id="rId1622"/>
    <hyperlink xmlns:r="http://schemas.openxmlformats.org/officeDocument/2006/relationships" ref="O1624" r:id="rId1623"/>
    <hyperlink xmlns:r="http://schemas.openxmlformats.org/officeDocument/2006/relationships" ref="O1625" r:id="rId1624"/>
    <hyperlink xmlns:r="http://schemas.openxmlformats.org/officeDocument/2006/relationships" ref="O1626" r:id="rId1625"/>
    <hyperlink xmlns:r="http://schemas.openxmlformats.org/officeDocument/2006/relationships" ref="O1627" r:id="rId1626"/>
    <hyperlink xmlns:r="http://schemas.openxmlformats.org/officeDocument/2006/relationships" ref="O1628" r:id="rId1627"/>
    <hyperlink xmlns:r="http://schemas.openxmlformats.org/officeDocument/2006/relationships" ref="O1629" r:id="rId1628"/>
    <hyperlink xmlns:r="http://schemas.openxmlformats.org/officeDocument/2006/relationships" ref="O1630" r:id="rId1629"/>
    <hyperlink xmlns:r="http://schemas.openxmlformats.org/officeDocument/2006/relationships" ref="O1631" r:id="rId1630"/>
    <hyperlink xmlns:r="http://schemas.openxmlformats.org/officeDocument/2006/relationships" ref="O1632" r:id="rId1631"/>
    <hyperlink xmlns:r="http://schemas.openxmlformats.org/officeDocument/2006/relationships" ref="O1633" r:id="rId1632"/>
    <hyperlink xmlns:r="http://schemas.openxmlformats.org/officeDocument/2006/relationships" ref="O1634" r:id="rId1633"/>
    <hyperlink xmlns:r="http://schemas.openxmlformats.org/officeDocument/2006/relationships" ref="O1635" r:id="rId1634"/>
    <hyperlink xmlns:r="http://schemas.openxmlformats.org/officeDocument/2006/relationships" ref="O1636" r:id="rId1635"/>
    <hyperlink xmlns:r="http://schemas.openxmlformats.org/officeDocument/2006/relationships" ref="O1637" r:id="rId1636"/>
    <hyperlink xmlns:r="http://schemas.openxmlformats.org/officeDocument/2006/relationships" ref="O1638" r:id="rId1637"/>
    <hyperlink xmlns:r="http://schemas.openxmlformats.org/officeDocument/2006/relationships" ref="O1639" r:id="rId1638"/>
    <hyperlink xmlns:r="http://schemas.openxmlformats.org/officeDocument/2006/relationships" ref="O1640" r:id="rId1639"/>
    <hyperlink xmlns:r="http://schemas.openxmlformats.org/officeDocument/2006/relationships" ref="O1641" r:id="rId1640"/>
    <hyperlink xmlns:r="http://schemas.openxmlformats.org/officeDocument/2006/relationships" ref="O1642" r:id="rId1641"/>
    <hyperlink xmlns:r="http://schemas.openxmlformats.org/officeDocument/2006/relationships" ref="O1643" r:id="rId1642"/>
    <hyperlink xmlns:r="http://schemas.openxmlformats.org/officeDocument/2006/relationships" ref="O1644" r:id="rId1643"/>
    <hyperlink xmlns:r="http://schemas.openxmlformats.org/officeDocument/2006/relationships" ref="O1645" r:id="rId1644"/>
    <hyperlink xmlns:r="http://schemas.openxmlformats.org/officeDocument/2006/relationships" ref="O1646" r:id="rId1645"/>
    <hyperlink xmlns:r="http://schemas.openxmlformats.org/officeDocument/2006/relationships" ref="O1647" r:id="rId1646"/>
    <hyperlink xmlns:r="http://schemas.openxmlformats.org/officeDocument/2006/relationships" ref="O1648" r:id="rId1647"/>
    <hyperlink xmlns:r="http://schemas.openxmlformats.org/officeDocument/2006/relationships" ref="O1649" r:id="rId1648"/>
    <hyperlink xmlns:r="http://schemas.openxmlformats.org/officeDocument/2006/relationships" ref="O1650" r:id="rId1649"/>
    <hyperlink xmlns:r="http://schemas.openxmlformats.org/officeDocument/2006/relationships" ref="O1651" r:id="rId1650"/>
    <hyperlink xmlns:r="http://schemas.openxmlformats.org/officeDocument/2006/relationships" ref="O1652" r:id="rId1651"/>
    <hyperlink xmlns:r="http://schemas.openxmlformats.org/officeDocument/2006/relationships" ref="O1653" r:id="rId1652"/>
    <hyperlink xmlns:r="http://schemas.openxmlformats.org/officeDocument/2006/relationships" ref="O1654" r:id="rId1653"/>
    <hyperlink xmlns:r="http://schemas.openxmlformats.org/officeDocument/2006/relationships" ref="O1655" r:id="rId1654"/>
    <hyperlink xmlns:r="http://schemas.openxmlformats.org/officeDocument/2006/relationships" ref="O1656" r:id="rId1655"/>
    <hyperlink xmlns:r="http://schemas.openxmlformats.org/officeDocument/2006/relationships" ref="O1657" r:id="rId1656"/>
    <hyperlink xmlns:r="http://schemas.openxmlformats.org/officeDocument/2006/relationships" ref="O1658" r:id="rId1657"/>
    <hyperlink xmlns:r="http://schemas.openxmlformats.org/officeDocument/2006/relationships" ref="O1659" r:id="rId1658"/>
    <hyperlink xmlns:r="http://schemas.openxmlformats.org/officeDocument/2006/relationships" ref="O1660" r:id="rId1659"/>
    <hyperlink xmlns:r="http://schemas.openxmlformats.org/officeDocument/2006/relationships" ref="O1661" r:id="rId1660"/>
    <hyperlink xmlns:r="http://schemas.openxmlformats.org/officeDocument/2006/relationships" ref="O1662" r:id="rId1661"/>
    <hyperlink xmlns:r="http://schemas.openxmlformats.org/officeDocument/2006/relationships" ref="O1663" r:id="rId1662"/>
    <hyperlink xmlns:r="http://schemas.openxmlformats.org/officeDocument/2006/relationships" ref="O1664" r:id="rId1663"/>
    <hyperlink xmlns:r="http://schemas.openxmlformats.org/officeDocument/2006/relationships" ref="O1665" r:id="rId1664"/>
    <hyperlink xmlns:r="http://schemas.openxmlformats.org/officeDocument/2006/relationships" ref="O1666" r:id="rId1665"/>
    <hyperlink xmlns:r="http://schemas.openxmlformats.org/officeDocument/2006/relationships" ref="O1667" r:id="rId1666"/>
    <hyperlink xmlns:r="http://schemas.openxmlformats.org/officeDocument/2006/relationships" ref="O1668" r:id="rId1667"/>
    <hyperlink xmlns:r="http://schemas.openxmlformats.org/officeDocument/2006/relationships" ref="O1669" r:id="rId1668"/>
    <hyperlink xmlns:r="http://schemas.openxmlformats.org/officeDocument/2006/relationships" ref="O1670" r:id="rId1669"/>
    <hyperlink xmlns:r="http://schemas.openxmlformats.org/officeDocument/2006/relationships" ref="O1671" r:id="rId1670"/>
    <hyperlink xmlns:r="http://schemas.openxmlformats.org/officeDocument/2006/relationships" ref="O1672" r:id="rId1671"/>
    <hyperlink xmlns:r="http://schemas.openxmlformats.org/officeDocument/2006/relationships" ref="O1673" r:id="rId1672"/>
    <hyperlink xmlns:r="http://schemas.openxmlformats.org/officeDocument/2006/relationships" ref="O1674" r:id="rId1673"/>
    <hyperlink xmlns:r="http://schemas.openxmlformats.org/officeDocument/2006/relationships" ref="O1675" r:id="rId1674"/>
    <hyperlink xmlns:r="http://schemas.openxmlformats.org/officeDocument/2006/relationships" ref="O1676" r:id="rId1675"/>
    <hyperlink xmlns:r="http://schemas.openxmlformats.org/officeDocument/2006/relationships" ref="O1677" r:id="rId1676"/>
    <hyperlink xmlns:r="http://schemas.openxmlformats.org/officeDocument/2006/relationships" ref="O1678" r:id="rId1677"/>
    <hyperlink xmlns:r="http://schemas.openxmlformats.org/officeDocument/2006/relationships" ref="O1679" r:id="rId1678"/>
    <hyperlink xmlns:r="http://schemas.openxmlformats.org/officeDocument/2006/relationships" ref="O1680" r:id="rId1679"/>
    <hyperlink xmlns:r="http://schemas.openxmlformats.org/officeDocument/2006/relationships" ref="O1681" r:id="rId1680"/>
    <hyperlink xmlns:r="http://schemas.openxmlformats.org/officeDocument/2006/relationships" ref="O1682" r:id="rId1681"/>
    <hyperlink xmlns:r="http://schemas.openxmlformats.org/officeDocument/2006/relationships" ref="O1683" r:id="rId1682"/>
    <hyperlink xmlns:r="http://schemas.openxmlformats.org/officeDocument/2006/relationships" ref="O1684" r:id="rId1683"/>
    <hyperlink xmlns:r="http://schemas.openxmlformats.org/officeDocument/2006/relationships" ref="O1685" r:id="rId1684"/>
    <hyperlink xmlns:r="http://schemas.openxmlformats.org/officeDocument/2006/relationships" ref="O1686" r:id="rId1685"/>
    <hyperlink xmlns:r="http://schemas.openxmlformats.org/officeDocument/2006/relationships" ref="O1687" r:id="rId1686"/>
    <hyperlink xmlns:r="http://schemas.openxmlformats.org/officeDocument/2006/relationships" ref="O1688" r:id="rId1687"/>
    <hyperlink xmlns:r="http://schemas.openxmlformats.org/officeDocument/2006/relationships" ref="O1689" r:id="rId1688"/>
    <hyperlink xmlns:r="http://schemas.openxmlformats.org/officeDocument/2006/relationships" ref="O1690" r:id="rId1689"/>
    <hyperlink xmlns:r="http://schemas.openxmlformats.org/officeDocument/2006/relationships" ref="O1691" r:id="rId1690"/>
    <hyperlink xmlns:r="http://schemas.openxmlformats.org/officeDocument/2006/relationships" ref="O1692" r:id="rId1691"/>
    <hyperlink xmlns:r="http://schemas.openxmlformats.org/officeDocument/2006/relationships" ref="O1693" r:id="rId1692"/>
    <hyperlink xmlns:r="http://schemas.openxmlformats.org/officeDocument/2006/relationships" ref="O1694" r:id="rId1693"/>
    <hyperlink xmlns:r="http://schemas.openxmlformats.org/officeDocument/2006/relationships" ref="O1695" r:id="rId1694"/>
    <hyperlink xmlns:r="http://schemas.openxmlformats.org/officeDocument/2006/relationships" ref="O1696" r:id="rId1695"/>
    <hyperlink xmlns:r="http://schemas.openxmlformats.org/officeDocument/2006/relationships" ref="O1697" r:id="rId1696"/>
    <hyperlink xmlns:r="http://schemas.openxmlformats.org/officeDocument/2006/relationships" ref="O1698" r:id="rId1697"/>
    <hyperlink xmlns:r="http://schemas.openxmlformats.org/officeDocument/2006/relationships" ref="O1699" r:id="rId1698"/>
    <hyperlink xmlns:r="http://schemas.openxmlformats.org/officeDocument/2006/relationships" ref="O1700" r:id="rId1699"/>
    <hyperlink xmlns:r="http://schemas.openxmlformats.org/officeDocument/2006/relationships" ref="O1701" r:id="rId1700"/>
    <hyperlink xmlns:r="http://schemas.openxmlformats.org/officeDocument/2006/relationships" ref="O1702" r:id="rId1701"/>
    <hyperlink xmlns:r="http://schemas.openxmlformats.org/officeDocument/2006/relationships" ref="O1703" r:id="rId1702"/>
    <hyperlink xmlns:r="http://schemas.openxmlformats.org/officeDocument/2006/relationships" ref="O1704" r:id="rId1703"/>
    <hyperlink xmlns:r="http://schemas.openxmlformats.org/officeDocument/2006/relationships" ref="O1705" r:id="rId1704"/>
    <hyperlink xmlns:r="http://schemas.openxmlformats.org/officeDocument/2006/relationships" ref="O1706" r:id="rId1705"/>
    <hyperlink xmlns:r="http://schemas.openxmlformats.org/officeDocument/2006/relationships" ref="O1707" r:id="rId1706"/>
    <hyperlink xmlns:r="http://schemas.openxmlformats.org/officeDocument/2006/relationships" ref="O1708" r:id="rId1707"/>
    <hyperlink xmlns:r="http://schemas.openxmlformats.org/officeDocument/2006/relationships" ref="O1709" r:id="rId1708"/>
    <hyperlink xmlns:r="http://schemas.openxmlformats.org/officeDocument/2006/relationships" ref="O1710" r:id="rId1709"/>
    <hyperlink xmlns:r="http://schemas.openxmlformats.org/officeDocument/2006/relationships" ref="O1711" r:id="rId1710"/>
    <hyperlink xmlns:r="http://schemas.openxmlformats.org/officeDocument/2006/relationships" ref="O1712" r:id="rId1711"/>
    <hyperlink xmlns:r="http://schemas.openxmlformats.org/officeDocument/2006/relationships" ref="O1713" r:id="rId1712"/>
    <hyperlink xmlns:r="http://schemas.openxmlformats.org/officeDocument/2006/relationships" ref="O1714" r:id="rId1713"/>
    <hyperlink xmlns:r="http://schemas.openxmlformats.org/officeDocument/2006/relationships" ref="O1715" r:id="rId1714"/>
    <hyperlink xmlns:r="http://schemas.openxmlformats.org/officeDocument/2006/relationships" ref="O1716" r:id="rId1715"/>
    <hyperlink xmlns:r="http://schemas.openxmlformats.org/officeDocument/2006/relationships" ref="O1717" r:id="rId1716"/>
    <hyperlink xmlns:r="http://schemas.openxmlformats.org/officeDocument/2006/relationships" ref="O1718" r:id="rId1717"/>
    <hyperlink xmlns:r="http://schemas.openxmlformats.org/officeDocument/2006/relationships" ref="O1719" r:id="rId1718"/>
    <hyperlink xmlns:r="http://schemas.openxmlformats.org/officeDocument/2006/relationships" ref="O1720" r:id="rId1719"/>
    <hyperlink xmlns:r="http://schemas.openxmlformats.org/officeDocument/2006/relationships" ref="O1721" r:id="rId1720"/>
    <hyperlink xmlns:r="http://schemas.openxmlformats.org/officeDocument/2006/relationships" ref="O1722" r:id="rId1721"/>
    <hyperlink xmlns:r="http://schemas.openxmlformats.org/officeDocument/2006/relationships" ref="O1723" r:id="rId1722"/>
    <hyperlink xmlns:r="http://schemas.openxmlformats.org/officeDocument/2006/relationships" ref="O1724" r:id="rId1723"/>
    <hyperlink xmlns:r="http://schemas.openxmlformats.org/officeDocument/2006/relationships" ref="O1725" r:id="rId1724"/>
    <hyperlink xmlns:r="http://schemas.openxmlformats.org/officeDocument/2006/relationships" ref="O1726" r:id="rId1725"/>
    <hyperlink xmlns:r="http://schemas.openxmlformats.org/officeDocument/2006/relationships" ref="O1727" r:id="rId1726"/>
    <hyperlink xmlns:r="http://schemas.openxmlformats.org/officeDocument/2006/relationships" ref="O1728" r:id="rId1727"/>
    <hyperlink xmlns:r="http://schemas.openxmlformats.org/officeDocument/2006/relationships" ref="O1729" r:id="rId1728"/>
    <hyperlink xmlns:r="http://schemas.openxmlformats.org/officeDocument/2006/relationships" ref="O1730" r:id="rId1729"/>
    <hyperlink xmlns:r="http://schemas.openxmlformats.org/officeDocument/2006/relationships" ref="O1731" r:id="rId1730"/>
    <hyperlink xmlns:r="http://schemas.openxmlformats.org/officeDocument/2006/relationships" ref="O1732" r:id="rId1731"/>
    <hyperlink xmlns:r="http://schemas.openxmlformats.org/officeDocument/2006/relationships" ref="O1733" r:id="rId1732"/>
    <hyperlink xmlns:r="http://schemas.openxmlformats.org/officeDocument/2006/relationships" ref="O1734" r:id="rId1733"/>
    <hyperlink xmlns:r="http://schemas.openxmlformats.org/officeDocument/2006/relationships" ref="O1735" r:id="rId1734"/>
    <hyperlink xmlns:r="http://schemas.openxmlformats.org/officeDocument/2006/relationships" ref="O1736" r:id="rId1735"/>
    <hyperlink xmlns:r="http://schemas.openxmlformats.org/officeDocument/2006/relationships" ref="O1737" r:id="rId1736"/>
    <hyperlink xmlns:r="http://schemas.openxmlformats.org/officeDocument/2006/relationships" ref="O1738" r:id="rId1737"/>
    <hyperlink xmlns:r="http://schemas.openxmlformats.org/officeDocument/2006/relationships" ref="O1739" r:id="rId1738"/>
    <hyperlink xmlns:r="http://schemas.openxmlformats.org/officeDocument/2006/relationships" ref="O1740" r:id="rId1739"/>
    <hyperlink xmlns:r="http://schemas.openxmlformats.org/officeDocument/2006/relationships" ref="O1741" r:id="rId1740"/>
    <hyperlink xmlns:r="http://schemas.openxmlformats.org/officeDocument/2006/relationships" ref="O1742" r:id="rId1741"/>
    <hyperlink xmlns:r="http://schemas.openxmlformats.org/officeDocument/2006/relationships" ref="O1743" r:id="rId1742"/>
    <hyperlink xmlns:r="http://schemas.openxmlformats.org/officeDocument/2006/relationships" ref="O1744" r:id="rId1743"/>
    <hyperlink xmlns:r="http://schemas.openxmlformats.org/officeDocument/2006/relationships" ref="O1745" r:id="rId1744"/>
    <hyperlink xmlns:r="http://schemas.openxmlformats.org/officeDocument/2006/relationships" ref="O1746" r:id="rId1745"/>
    <hyperlink xmlns:r="http://schemas.openxmlformats.org/officeDocument/2006/relationships" ref="O1747" r:id="rId1746"/>
    <hyperlink xmlns:r="http://schemas.openxmlformats.org/officeDocument/2006/relationships" ref="O1748" r:id="rId1747"/>
    <hyperlink xmlns:r="http://schemas.openxmlformats.org/officeDocument/2006/relationships" ref="O1749" r:id="rId1748"/>
    <hyperlink xmlns:r="http://schemas.openxmlformats.org/officeDocument/2006/relationships" ref="O1750" r:id="rId1749"/>
    <hyperlink xmlns:r="http://schemas.openxmlformats.org/officeDocument/2006/relationships" ref="O1751" r:id="rId1750"/>
    <hyperlink xmlns:r="http://schemas.openxmlformats.org/officeDocument/2006/relationships" ref="O1752" r:id="rId1751"/>
    <hyperlink xmlns:r="http://schemas.openxmlformats.org/officeDocument/2006/relationships" ref="O1753" r:id="rId1752"/>
    <hyperlink xmlns:r="http://schemas.openxmlformats.org/officeDocument/2006/relationships" ref="O1754" r:id="rId1753"/>
    <hyperlink xmlns:r="http://schemas.openxmlformats.org/officeDocument/2006/relationships" ref="O1755" r:id="rId1754"/>
    <hyperlink xmlns:r="http://schemas.openxmlformats.org/officeDocument/2006/relationships" ref="O1756" r:id="rId1755"/>
    <hyperlink xmlns:r="http://schemas.openxmlformats.org/officeDocument/2006/relationships" ref="O1757" r:id="rId1756"/>
    <hyperlink xmlns:r="http://schemas.openxmlformats.org/officeDocument/2006/relationships" ref="O1758" r:id="rId1757"/>
    <hyperlink xmlns:r="http://schemas.openxmlformats.org/officeDocument/2006/relationships" ref="O1759" r:id="rId1758"/>
    <hyperlink xmlns:r="http://schemas.openxmlformats.org/officeDocument/2006/relationships" ref="O1760" r:id="rId1759"/>
    <hyperlink xmlns:r="http://schemas.openxmlformats.org/officeDocument/2006/relationships" ref="O1761" r:id="rId1760"/>
    <hyperlink xmlns:r="http://schemas.openxmlformats.org/officeDocument/2006/relationships" ref="O1762" r:id="rId1761"/>
    <hyperlink xmlns:r="http://schemas.openxmlformats.org/officeDocument/2006/relationships" ref="O1763" r:id="rId1762"/>
    <hyperlink xmlns:r="http://schemas.openxmlformats.org/officeDocument/2006/relationships" ref="O1764" r:id="rId1763"/>
    <hyperlink xmlns:r="http://schemas.openxmlformats.org/officeDocument/2006/relationships" ref="O1765" r:id="rId1764"/>
    <hyperlink xmlns:r="http://schemas.openxmlformats.org/officeDocument/2006/relationships" ref="O1766" r:id="rId1765"/>
    <hyperlink xmlns:r="http://schemas.openxmlformats.org/officeDocument/2006/relationships" ref="O1767" r:id="rId1766"/>
    <hyperlink xmlns:r="http://schemas.openxmlformats.org/officeDocument/2006/relationships" ref="O1768" r:id="rId1767"/>
    <hyperlink xmlns:r="http://schemas.openxmlformats.org/officeDocument/2006/relationships" ref="O1769" r:id="rId1768"/>
    <hyperlink xmlns:r="http://schemas.openxmlformats.org/officeDocument/2006/relationships" ref="O1770" r:id="rId1769"/>
    <hyperlink xmlns:r="http://schemas.openxmlformats.org/officeDocument/2006/relationships" ref="O1771" r:id="rId1770"/>
    <hyperlink xmlns:r="http://schemas.openxmlformats.org/officeDocument/2006/relationships" ref="O1772" r:id="rId1771"/>
    <hyperlink xmlns:r="http://schemas.openxmlformats.org/officeDocument/2006/relationships" ref="O1773" r:id="rId1772"/>
    <hyperlink xmlns:r="http://schemas.openxmlformats.org/officeDocument/2006/relationships" ref="O1774" r:id="rId1773"/>
    <hyperlink xmlns:r="http://schemas.openxmlformats.org/officeDocument/2006/relationships" ref="O1775" r:id="rId1774"/>
    <hyperlink xmlns:r="http://schemas.openxmlformats.org/officeDocument/2006/relationships" ref="O1776" r:id="rId1775"/>
    <hyperlink xmlns:r="http://schemas.openxmlformats.org/officeDocument/2006/relationships" ref="O1777" r:id="rId1776"/>
    <hyperlink xmlns:r="http://schemas.openxmlformats.org/officeDocument/2006/relationships" ref="O1778" r:id="rId1777"/>
    <hyperlink xmlns:r="http://schemas.openxmlformats.org/officeDocument/2006/relationships" ref="O1779" r:id="rId1778"/>
    <hyperlink xmlns:r="http://schemas.openxmlformats.org/officeDocument/2006/relationships" ref="O1780" r:id="rId1779"/>
    <hyperlink xmlns:r="http://schemas.openxmlformats.org/officeDocument/2006/relationships" ref="O1781" r:id="rId1780"/>
    <hyperlink xmlns:r="http://schemas.openxmlformats.org/officeDocument/2006/relationships" ref="O1782" r:id="rId1781"/>
    <hyperlink xmlns:r="http://schemas.openxmlformats.org/officeDocument/2006/relationships" ref="O1783" r:id="rId1782"/>
    <hyperlink xmlns:r="http://schemas.openxmlformats.org/officeDocument/2006/relationships" ref="O1784" r:id="rId1783"/>
    <hyperlink xmlns:r="http://schemas.openxmlformats.org/officeDocument/2006/relationships" ref="O1785" r:id="rId1784"/>
    <hyperlink xmlns:r="http://schemas.openxmlformats.org/officeDocument/2006/relationships" ref="O1786" r:id="rId1785"/>
    <hyperlink xmlns:r="http://schemas.openxmlformats.org/officeDocument/2006/relationships" ref="O1787" r:id="rId1786"/>
    <hyperlink xmlns:r="http://schemas.openxmlformats.org/officeDocument/2006/relationships" ref="O1788" r:id="rId1787"/>
    <hyperlink xmlns:r="http://schemas.openxmlformats.org/officeDocument/2006/relationships" ref="O1789" r:id="rId1788"/>
    <hyperlink xmlns:r="http://schemas.openxmlformats.org/officeDocument/2006/relationships" ref="O1790" r:id="rId1789"/>
    <hyperlink xmlns:r="http://schemas.openxmlformats.org/officeDocument/2006/relationships" ref="O1791" r:id="rId1790"/>
    <hyperlink xmlns:r="http://schemas.openxmlformats.org/officeDocument/2006/relationships" ref="O1792" r:id="rId1791"/>
    <hyperlink xmlns:r="http://schemas.openxmlformats.org/officeDocument/2006/relationships" ref="O1793" r:id="rId1792"/>
    <hyperlink xmlns:r="http://schemas.openxmlformats.org/officeDocument/2006/relationships" ref="O1794" r:id="rId1793"/>
    <hyperlink xmlns:r="http://schemas.openxmlformats.org/officeDocument/2006/relationships" ref="O1795" r:id="rId1794"/>
    <hyperlink xmlns:r="http://schemas.openxmlformats.org/officeDocument/2006/relationships" ref="O1796" r:id="rId1795"/>
    <hyperlink xmlns:r="http://schemas.openxmlformats.org/officeDocument/2006/relationships" ref="O1797" r:id="rId1796"/>
    <hyperlink xmlns:r="http://schemas.openxmlformats.org/officeDocument/2006/relationships" ref="O1798" r:id="rId1797"/>
    <hyperlink xmlns:r="http://schemas.openxmlformats.org/officeDocument/2006/relationships" ref="O1799" r:id="rId1798"/>
    <hyperlink xmlns:r="http://schemas.openxmlformats.org/officeDocument/2006/relationships" ref="O1800" r:id="rId1799"/>
    <hyperlink xmlns:r="http://schemas.openxmlformats.org/officeDocument/2006/relationships" ref="O1801" r:id="rId1800"/>
    <hyperlink xmlns:r="http://schemas.openxmlformats.org/officeDocument/2006/relationships" ref="O1802" r:id="rId1801"/>
    <hyperlink xmlns:r="http://schemas.openxmlformats.org/officeDocument/2006/relationships" ref="O1803" r:id="rId1802"/>
    <hyperlink xmlns:r="http://schemas.openxmlformats.org/officeDocument/2006/relationships" ref="O1804" r:id="rId1803"/>
    <hyperlink xmlns:r="http://schemas.openxmlformats.org/officeDocument/2006/relationships" ref="O1805" r:id="rId1804"/>
    <hyperlink xmlns:r="http://schemas.openxmlformats.org/officeDocument/2006/relationships" ref="O1806" r:id="rId1805"/>
    <hyperlink xmlns:r="http://schemas.openxmlformats.org/officeDocument/2006/relationships" ref="O1807" r:id="rId1806"/>
    <hyperlink xmlns:r="http://schemas.openxmlformats.org/officeDocument/2006/relationships" ref="O1808" r:id="rId1807"/>
    <hyperlink xmlns:r="http://schemas.openxmlformats.org/officeDocument/2006/relationships" ref="O1809" r:id="rId1808"/>
    <hyperlink xmlns:r="http://schemas.openxmlformats.org/officeDocument/2006/relationships" ref="O1810" r:id="rId1809"/>
    <hyperlink xmlns:r="http://schemas.openxmlformats.org/officeDocument/2006/relationships" ref="O1811" r:id="rId1810"/>
    <hyperlink xmlns:r="http://schemas.openxmlformats.org/officeDocument/2006/relationships" ref="O1812" r:id="rId1811"/>
    <hyperlink xmlns:r="http://schemas.openxmlformats.org/officeDocument/2006/relationships" ref="O1813" r:id="rId1812"/>
    <hyperlink xmlns:r="http://schemas.openxmlformats.org/officeDocument/2006/relationships" ref="O1814" r:id="rId1813"/>
    <hyperlink xmlns:r="http://schemas.openxmlformats.org/officeDocument/2006/relationships" ref="O1815" r:id="rId1814"/>
    <hyperlink xmlns:r="http://schemas.openxmlformats.org/officeDocument/2006/relationships" ref="O1816" r:id="rId1815"/>
    <hyperlink xmlns:r="http://schemas.openxmlformats.org/officeDocument/2006/relationships" ref="O1817" r:id="rId1816"/>
    <hyperlink xmlns:r="http://schemas.openxmlformats.org/officeDocument/2006/relationships" ref="O1818" r:id="rId1817"/>
    <hyperlink xmlns:r="http://schemas.openxmlformats.org/officeDocument/2006/relationships" ref="O1819" r:id="rId1818"/>
    <hyperlink xmlns:r="http://schemas.openxmlformats.org/officeDocument/2006/relationships" ref="O1820" r:id="rId1819"/>
    <hyperlink xmlns:r="http://schemas.openxmlformats.org/officeDocument/2006/relationships" ref="O1821" r:id="rId1820"/>
    <hyperlink xmlns:r="http://schemas.openxmlformats.org/officeDocument/2006/relationships" ref="O1822" r:id="rId1821"/>
    <hyperlink xmlns:r="http://schemas.openxmlformats.org/officeDocument/2006/relationships" ref="O1823" r:id="rId1822"/>
    <hyperlink xmlns:r="http://schemas.openxmlformats.org/officeDocument/2006/relationships" ref="O1824" r:id="rId1823"/>
    <hyperlink xmlns:r="http://schemas.openxmlformats.org/officeDocument/2006/relationships" ref="O1825" r:id="rId1824"/>
    <hyperlink xmlns:r="http://schemas.openxmlformats.org/officeDocument/2006/relationships" ref="O1826" r:id="rId1825"/>
    <hyperlink xmlns:r="http://schemas.openxmlformats.org/officeDocument/2006/relationships" ref="O1827" r:id="rId1826"/>
    <hyperlink xmlns:r="http://schemas.openxmlformats.org/officeDocument/2006/relationships" ref="O1828" r:id="rId1827"/>
    <hyperlink xmlns:r="http://schemas.openxmlformats.org/officeDocument/2006/relationships" ref="O1829" r:id="rId1828"/>
    <hyperlink xmlns:r="http://schemas.openxmlformats.org/officeDocument/2006/relationships" ref="O1830" r:id="rId1829"/>
    <hyperlink xmlns:r="http://schemas.openxmlformats.org/officeDocument/2006/relationships" ref="O1831" r:id="rId1830"/>
    <hyperlink xmlns:r="http://schemas.openxmlformats.org/officeDocument/2006/relationships" ref="O1832" r:id="rId1831"/>
    <hyperlink xmlns:r="http://schemas.openxmlformats.org/officeDocument/2006/relationships" ref="O1833" r:id="rId1832"/>
    <hyperlink xmlns:r="http://schemas.openxmlformats.org/officeDocument/2006/relationships" ref="O1834" r:id="rId1833"/>
    <hyperlink xmlns:r="http://schemas.openxmlformats.org/officeDocument/2006/relationships" ref="O1835" r:id="rId1834"/>
    <hyperlink xmlns:r="http://schemas.openxmlformats.org/officeDocument/2006/relationships" ref="O1836" r:id="rId1835"/>
    <hyperlink xmlns:r="http://schemas.openxmlformats.org/officeDocument/2006/relationships" ref="O1837" r:id="rId1836"/>
    <hyperlink xmlns:r="http://schemas.openxmlformats.org/officeDocument/2006/relationships" ref="O1838" r:id="rId1837"/>
    <hyperlink xmlns:r="http://schemas.openxmlformats.org/officeDocument/2006/relationships" ref="O1839" r:id="rId1838"/>
    <hyperlink xmlns:r="http://schemas.openxmlformats.org/officeDocument/2006/relationships" ref="O1840" r:id="rId1839"/>
    <hyperlink xmlns:r="http://schemas.openxmlformats.org/officeDocument/2006/relationships" ref="O1841" r:id="rId1840"/>
    <hyperlink xmlns:r="http://schemas.openxmlformats.org/officeDocument/2006/relationships" ref="O1842" r:id="rId1841"/>
    <hyperlink xmlns:r="http://schemas.openxmlformats.org/officeDocument/2006/relationships" ref="O1843" r:id="rId1842"/>
    <hyperlink xmlns:r="http://schemas.openxmlformats.org/officeDocument/2006/relationships" ref="O1844" r:id="rId1843"/>
    <hyperlink xmlns:r="http://schemas.openxmlformats.org/officeDocument/2006/relationships" ref="O1845" r:id="rId1844"/>
    <hyperlink xmlns:r="http://schemas.openxmlformats.org/officeDocument/2006/relationships" ref="O1846" r:id="rId1845"/>
    <hyperlink xmlns:r="http://schemas.openxmlformats.org/officeDocument/2006/relationships" ref="O1847" r:id="rId1846"/>
    <hyperlink xmlns:r="http://schemas.openxmlformats.org/officeDocument/2006/relationships" ref="O1848" r:id="rId1847"/>
    <hyperlink xmlns:r="http://schemas.openxmlformats.org/officeDocument/2006/relationships" ref="O1849" r:id="rId1848"/>
    <hyperlink xmlns:r="http://schemas.openxmlformats.org/officeDocument/2006/relationships" ref="O1850" r:id="rId1849"/>
    <hyperlink xmlns:r="http://schemas.openxmlformats.org/officeDocument/2006/relationships" ref="O1851" r:id="rId1850"/>
    <hyperlink xmlns:r="http://schemas.openxmlformats.org/officeDocument/2006/relationships" ref="O1852" r:id="rId1851"/>
    <hyperlink xmlns:r="http://schemas.openxmlformats.org/officeDocument/2006/relationships" ref="O1853" r:id="rId1852"/>
    <hyperlink xmlns:r="http://schemas.openxmlformats.org/officeDocument/2006/relationships" ref="O1854" r:id="rId1853"/>
    <hyperlink xmlns:r="http://schemas.openxmlformats.org/officeDocument/2006/relationships" ref="O1855" r:id="rId1854"/>
    <hyperlink xmlns:r="http://schemas.openxmlformats.org/officeDocument/2006/relationships" ref="O1856" r:id="rId1855"/>
    <hyperlink xmlns:r="http://schemas.openxmlformats.org/officeDocument/2006/relationships" ref="O1857" r:id="rId1856"/>
    <hyperlink xmlns:r="http://schemas.openxmlformats.org/officeDocument/2006/relationships" ref="O1858" r:id="rId1857"/>
    <hyperlink xmlns:r="http://schemas.openxmlformats.org/officeDocument/2006/relationships" ref="O1859" r:id="rId1858"/>
    <hyperlink xmlns:r="http://schemas.openxmlformats.org/officeDocument/2006/relationships" ref="O1860" r:id="rId1859"/>
    <hyperlink xmlns:r="http://schemas.openxmlformats.org/officeDocument/2006/relationships" ref="O1861" r:id="rId1860"/>
    <hyperlink xmlns:r="http://schemas.openxmlformats.org/officeDocument/2006/relationships" ref="O1862" r:id="rId1861"/>
    <hyperlink xmlns:r="http://schemas.openxmlformats.org/officeDocument/2006/relationships" ref="O1863" r:id="rId1862"/>
    <hyperlink xmlns:r="http://schemas.openxmlformats.org/officeDocument/2006/relationships" ref="O1864" r:id="rId1863"/>
    <hyperlink xmlns:r="http://schemas.openxmlformats.org/officeDocument/2006/relationships" ref="O1865" r:id="rId1864"/>
    <hyperlink xmlns:r="http://schemas.openxmlformats.org/officeDocument/2006/relationships" ref="O1866" r:id="rId1865"/>
    <hyperlink xmlns:r="http://schemas.openxmlformats.org/officeDocument/2006/relationships" ref="O1867" r:id="rId1866"/>
    <hyperlink xmlns:r="http://schemas.openxmlformats.org/officeDocument/2006/relationships" ref="O1868" r:id="rId1867"/>
    <hyperlink xmlns:r="http://schemas.openxmlformats.org/officeDocument/2006/relationships" ref="O1869" r:id="rId1868"/>
    <hyperlink xmlns:r="http://schemas.openxmlformats.org/officeDocument/2006/relationships" ref="O1870" r:id="rId1869"/>
    <hyperlink xmlns:r="http://schemas.openxmlformats.org/officeDocument/2006/relationships" ref="O1871" r:id="rId1870"/>
    <hyperlink xmlns:r="http://schemas.openxmlformats.org/officeDocument/2006/relationships" ref="O1872" r:id="rId1871"/>
    <hyperlink xmlns:r="http://schemas.openxmlformats.org/officeDocument/2006/relationships" ref="O1873" r:id="rId1872"/>
    <hyperlink xmlns:r="http://schemas.openxmlformats.org/officeDocument/2006/relationships" ref="O1874" r:id="rId1873"/>
    <hyperlink xmlns:r="http://schemas.openxmlformats.org/officeDocument/2006/relationships" ref="O1875" r:id="rId1874"/>
    <hyperlink xmlns:r="http://schemas.openxmlformats.org/officeDocument/2006/relationships" ref="O1876" r:id="rId1875"/>
    <hyperlink xmlns:r="http://schemas.openxmlformats.org/officeDocument/2006/relationships" ref="O1877" r:id="rId1876"/>
    <hyperlink xmlns:r="http://schemas.openxmlformats.org/officeDocument/2006/relationships" ref="O1878" r:id="rId1877"/>
    <hyperlink xmlns:r="http://schemas.openxmlformats.org/officeDocument/2006/relationships" ref="O1879" r:id="rId1878"/>
    <hyperlink xmlns:r="http://schemas.openxmlformats.org/officeDocument/2006/relationships" ref="O1880" r:id="rId1879"/>
    <hyperlink xmlns:r="http://schemas.openxmlformats.org/officeDocument/2006/relationships" ref="O1881" r:id="rId1880"/>
    <hyperlink xmlns:r="http://schemas.openxmlformats.org/officeDocument/2006/relationships" ref="O1882" r:id="rId1881"/>
    <hyperlink xmlns:r="http://schemas.openxmlformats.org/officeDocument/2006/relationships" ref="O1883" r:id="rId1882"/>
    <hyperlink xmlns:r="http://schemas.openxmlformats.org/officeDocument/2006/relationships" ref="O1884" r:id="rId1883"/>
    <hyperlink xmlns:r="http://schemas.openxmlformats.org/officeDocument/2006/relationships" ref="O1885" r:id="rId1884"/>
    <hyperlink xmlns:r="http://schemas.openxmlformats.org/officeDocument/2006/relationships" ref="O1886" r:id="rId1885"/>
    <hyperlink xmlns:r="http://schemas.openxmlformats.org/officeDocument/2006/relationships" ref="O1887" r:id="rId1886"/>
    <hyperlink xmlns:r="http://schemas.openxmlformats.org/officeDocument/2006/relationships" ref="O1888" r:id="rId1887"/>
    <hyperlink xmlns:r="http://schemas.openxmlformats.org/officeDocument/2006/relationships" ref="O1889" r:id="rId1888"/>
    <hyperlink xmlns:r="http://schemas.openxmlformats.org/officeDocument/2006/relationships" ref="O1890" r:id="rId1889"/>
    <hyperlink xmlns:r="http://schemas.openxmlformats.org/officeDocument/2006/relationships" ref="O1891" r:id="rId1890"/>
    <hyperlink xmlns:r="http://schemas.openxmlformats.org/officeDocument/2006/relationships" ref="O1892" r:id="rId1891"/>
    <hyperlink xmlns:r="http://schemas.openxmlformats.org/officeDocument/2006/relationships" ref="O1893" r:id="rId1892"/>
    <hyperlink xmlns:r="http://schemas.openxmlformats.org/officeDocument/2006/relationships" ref="O1894" r:id="rId1893"/>
    <hyperlink xmlns:r="http://schemas.openxmlformats.org/officeDocument/2006/relationships" ref="O1895" r:id="rId1894"/>
    <hyperlink xmlns:r="http://schemas.openxmlformats.org/officeDocument/2006/relationships" ref="O1896" r:id="rId1895"/>
    <hyperlink xmlns:r="http://schemas.openxmlformats.org/officeDocument/2006/relationships" ref="O1897" r:id="rId1896"/>
    <hyperlink xmlns:r="http://schemas.openxmlformats.org/officeDocument/2006/relationships" ref="O1898" r:id="rId1897"/>
    <hyperlink xmlns:r="http://schemas.openxmlformats.org/officeDocument/2006/relationships" ref="O1899" r:id="rId1898"/>
    <hyperlink xmlns:r="http://schemas.openxmlformats.org/officeDocument/2006/relationships" ref="O1900" r:id="rId1899"/>
    <hyperlink xmlns:r="http://schemas.openxmlformats.org/officeDocument/2006/relationships" ref="O1901" r:id="rId1900"/>
    <hyperlink xmlns:r="http://schemas.openxmlformats.org/officeDocument/2006/relationships" ref="O1902" r:id="rId1901"/>
    <hyperlink xmlns:r="http://schemas.openxmlformats.org/officeDocument/2006/relationships" ref="O1903" r:id="rId1902"/>
    <hyperlink xmlns:r="http://schemas.openxmlformats.org/officeDocument/2006/relationships" ref="O1904" r:id="rId1903"/>
    <hyperlink xmlns:r="http://schemas.openxmlformats.org/officeDocument/2006/relationships" ref="O1905" r:id="rId1904"/>
    <hyperlink xmlns:r="http://schemas.openxmlformats.org/officeDocument/2006/relationships" ref="O1906" r:id="rId1905"/>
    <hyperlink xmlns:r="http://schemas.openxmlformats.org/officeDocument/2006/relationships" ref="O1907" r:id="rId1906"/>
    <hyperlink xmlns:r="http://schemas.openxmlformats.org/officeDocument/2006/relationships" ref="O1908" r:id="rId1907"/>
    <hyperlink xmlns:r="http://schemas.openxmlformats.org/officeDocument/2006/relationships" ref="O1909" r:id="rId1908"/>
    <hyperlink xmlns:r="http://schemas.openxmlformats.org/officeDocument/2006/relationships" ref="O1910" r:id="rId1909"/>
    <hyperlink xmlns:r="http://schemas.openxmlformats.org/officeDocument/2006/relationships" ref="O1911" r:id="rId1910"/>
    <hyperlink xmlns:r="http://schemas.openxmlformats.org/officeDocument/2006/relationships" ref="O1912" r:id="rId1911"/>
    <hyperlink xmlns:r="http://schemas.openxmlformats.org/officeDocument/2006/relationships" ref="O1913" r:id="rId1912"/>
    <hyperlink xmlns:r="http://schemas.openxmlformats.org/officeDocument/2006/relationships" ref="O1914" r:id="rId1913"/>
    <hyperlink xmlns:r="http://schemas.openxmlformats.org/officeDocument/2006/relationships" ref="O1915" r:id="rId1914"/>
    <hyperlink xmlns:r="http://schemas.openxmlformats.org/officeDocument/2006/relationships" ref="O1916" r:id="rId1915"/>
    <hyperlink xmlns:r="http://schemas.openxmlformats.org/officeDocument/2006/relationships" ref="O1917" r:id="rId1916"/>
    <hyperlink xmlns:r="http://schemas.openxmlformats.org/officeDocument/2006/relationships" ref="O1918" r:id="rId1917"/>
    <hyperlink xmlns:r="http://schemas.openxmlformats.org/officeDocument/2006/relationships" ref="O1919" r:id="rId1918"/>
    <hyperlink xmlns:r="http://schemas.openxmlformats.org/officeDocument/2006/relationships" ref="O1920" r:id="rId1919"/>
    <hyperlink xmlns:r="http://schemas.openxmlformats.org/officeDocument/2006/relationships" ref="O1921" r:id="rId1920"/>
    <hyperlink xmlns:r="http://schemas.openxmlformats.org/officeDocument/2006/relationships" ref="O1922" r:id="rId1921"/>
    <hyperlink xmlns:r="http://schemas.openxmlformats.org/officeDocument/2006/relationships" ref="O1923" r:id="rId1922"/>
    <hyperlink xmlns:r="http://schemas.openxmlformats.org/officeDocument/2006/relationships" ref="O1924" r:id="rId1923"/>
    <hyperlink xmlns:r="http://schemas.openxmlformats.org/officeDocument/2006/relationships" ref="O1925" r:id="rId1924"/>
    <hyperlink xmlns:r="http://schemas.openxmlformats.org/officeDocument/2006/relationships" ref="O1926" r:id="rId1925"/>
    <hyperlink xmlns:r="http://schemas.openxmlformats.org/officeDocument/2006/relationships" ref="O1927" r:id="rId1926"/>
    <hyperlink xmlns:r="http://schemas.openxmlformats.org/officeDocument/2006/relationships" ref="O1928" r:id="rId1927"/>
    <hyperlink xmlns:r="http://schemas.openxmlformats.org/officeDocument/2006/relationships" ref="O1929" r:id="rId1928"/>
    <hyperlink xmlns:r="http://schemas.openxmlformats.org/officeDocument/2006/relationships" ref="O1930" r:id="rId1929"/>
    <hyperlink xmlns:r="http://schemas.openxmlformats.org/officeDocument/2006/relationships" ref="O1931" r:id="rId1930"/>
    <hyperlink xmlns:r="http://schemas.openxmlformats.org/officeDocument/2006/relationships" ref="O1932" r:id="rId1931"/>
    <hyperlink xmlns:r="http://schemas.openxmlformats.org/officeDocument/2006/relationships" ref="O1933" r:id="rId1932"/>
    <hyperlink xmlns:r="http://schemas.openxmlformats.org/officeDocument/2006/relationships" ref="O1934" r:id="rId1933"/>
    <hyperlink xmlns:r="http://schemas.openxmlformats.org/officeDocument/2006/relationships" ref="O1935" r:id="rId1934"/>
    <hyperlink xmlns:r="http://schemas.openxmlformats.org/officeDocument/2006/relationships" ref="O1936" r:id="rId1935"/>
    <hyperlink xmlns:r="http://schemas.openxmlformats.org/officeDocument/2006/relationships" ref="O1937" r:id="rId1936"/>
    <hyperlink xmlns:r="http://schemas.openxmlformats.org/officeDocument/2006/relationships" ref="O1938" r:id="rId1937"/>
    <hyperlink xmlns:r="http://schemas.openxmlformats.org/officeDocument/2006/relationships" ref="O1939" r:id="rId1938"/>
    <hyperlink xmlns:r="http://schemas.openxmlformats.org/officeDocument/2006/relationships" ref="O1940" r:id="rId1939"/>
    <hyperlink xmlns:r="http://schemas.openxmlformats.org/officeDocument/2006/relationships" ref="O1941" r:id="rId1940"/>
    <hyperlink xmlns:r="http://schemas.openxmlformats.org/officeDocument/2006/relationships" ref="O1942" r:id="rId1941"/>
    <hyperlink xmlns:r="http://schemas.openxmlformats.org/officeDocument/2006/relationships" ref="O1943" r:id="rId1942"/>
    <hyperlink xmlns:r="http://schemas.openxmlformats.org/officeDocument/2006/relationships" ref="O1944" r:id="rId1943"/>
    <hyperlink xmlns:r="http://schemas.openxmlformats.org/officeDocument/2006/relationships" ref="O1945" r:id="rId1944"/>
    <hyperlink xmlns:r="http://schemas.openxmlformats.org/officeDocument/2006/relationships" ref="O1946" r:id="rId1945"/>
    <hyperlink xmlns:r="http://schemas.openxmlformats.org/officeDocument/2006/relationships" ref="O1947" r:id="rId1946"/>
    <hyperlink xmlns:r="http://schemas.openxmlformats.org/officeDocument/2006/relationships" ref="O1948" r:id="rId1947"/>
    <hyperlink xmlns:r="http://schemas.openxmlformats.org/officeDocument/2006/relationships" ref="O1949" r:id="rId1948"/>
    <hyperlink xmlns:r="http://schemas.openxmlformats.org/officeDocument/2006/relationships" ref="O1950" r:id="rId1949"/>
    <hyperlink xmlns:r="http://schemas.openxmlformats.org/officeDocument/2006/relationships" ref="O1951" r:id="rId1950"/>
    <hyperlink xmlns:r="http://schemas.openxmlformats.org/officeDocument/2006/relationships" ref="O1952" r:id="rId1951"/>
    <hyperlink xmlns:r="http://schemas.openxmlformats.org/officeDocument/2006/relationships" ref="O1953" r:id="rId1952"/>
    <hyperlink xmlns:r="http://schemas.openxmlformats.org/officeDocument/2006/relationships" ref="O1954" r:id="rId1953"/>
    <hyperlink xmlns:r="http://schemas.openxmlformats.org/officeDocument/2006/relationships" ref="O1955" r:id="rId1954"/>
    <hyperlink xmlns:r="http://schemas.openxmlformats.org/officeDocument/2006/relationships" ref="O1956" r:id="rId1955"/>
    <hyperlink xmlns:r="http://schemas.openxmlformats.org/officeDocument/2006/relationships" ref="O1957" r:id="rId1956"/>
    <hyperlink xmlns:r="http://schemas.openxmlformats.org/officeDocument/2006/relationships" ref="O1958" r:id="rId1957"/>
    <hyperlink xmlns:r="http://schemas.openxmlformats.org/officeDocument/2006/relationships" ref="O1959" r:id="rId1958"/>
    <hyperlink xmlns:r="http://schemas.openxmlformats.org/officeDocument/2006/relationships" ref="O1960" r:id="rId1959"/>
    <hyperlink xmlns:r="http://schemas.openxmlformats.org/officeDocument/2006/relationships" ref="O1961" r:id="rId1960"/>
    <hyperlink xmlns:r="http://schemas.openxmlformats.org/officeDocument/2006/relationships" ref="O1962" r:id="rId1961"/>
    <hyperlink xmlns:r="http://schemas.openxmlformats.org/officeDocument/2006/relationships" ref="O1963" r:id="rId1962"/>
    <hyperlink xmlns:r="http://schemas.openxmlformats.org/officeDocument/2006/relationships" ref="O1964" r:id="rId1963"/>
    <hyperlink xmlns:r="http://schemas.openxmlformats.org/officeDocument/2006/relationships" ref="O1965" r:id="rId1964"/>
    <hyperlink xmlns:r="http://schemas.openxmlformats.org/officeDocument/2006/relationships" ref="O1966" r:id="rId1965"/>
    <hyperlink xmlns:r="http://schemas.openxmlformats.org/officeDocument/2006/relationships" ref="O1967" r:id="rId1966"/>
    <hyperlink xmlns:r="http://schemas.openxmlformats.org/officeDocument/2006/relationships" ref="O1968" r:id="rId1967"/>
    <hyperlink xmlns:r="http://schemas.openxmlformats.org/officeDocument/2006/relationships" ref="O1969" r:id="rId1968"/>
    <hyperlink xmlns:r="http://schemas.openxmlformats.org/officeDocument/2006/relationships" ref="O1970" r:id="rId1969"/>
    <hyperlink xmlns:r="http://schemas.openxmlformats.org/officeDocument/2006/relationships" ref="O1971" r:id="rId1970"/>
    <hyperlink xmlns:r="http://schemas.openxmlformats.org/officeDocument/2006/relationships" ref="O1972" r:id="rId1971"/>
    <hyperlink xmlns:r="http://schemas.openxmlformats.org/officeDocument/2006/relationships" ref="O1973" r:id="rId1972"/>
    <hyperlink xmlns:r="http://schemas.openxmlformats.org/officeDocument/2006/relationships" ref="O1974" r:id="rId1973"/>
    <hyperlink xmlns:r="http://schemas.openxmlformats.org/officeDocument/2006/relationships" ref="O1975" r:id="rId1974"/>
    <hyperlink xmlns:r="http://schemas.openxmlformats.org/officeDocument/2006/relationships" ref="O1976" r:id="rId1975"/>
    <hyperlink xmlns:r="http://schemas.openxmlformats.org/officeDocument/2006/relationships" ref="O1977" r:id="rId1976"/>
    <hyperlink xmlns:r="http://schemas.openxmlformats.org/officeDocument/2006/relationships" ref="O1978" r:id="rId1977"/>
    <hyperlink xmlns:r="http://schemas.openxmlformats.org/officeDocument/2006/relationships" ref="O1979" r:id="rId1978"/>
    <hyperlink xmlns:r="http://schemas.openxmlformats.org/officeDocument/2006/relationships" ref="O1980" r:id="rId1979"/>
    <hyperlink xmlns:r="http://schemas.openxmlformats.org/officeDocument/2006/relationships" ref="O1981" r:id="rId1980"/>
    <hyperlink xmlns:r="http://schemas.openxmlformats.org/officeDocument/2006/relationships" ref="O1982" r:id="rId1981"/>
    <hyperlink xmlns:r="http://schemas.openxmlformats.org/officeDocument/2006/relationships" ref="O1983" r:id="rId1982"/>
    <hyperlink xmlns:r="http://schemas.openxmlformats.org/officeDocument/2006/relationships" ref="O1984" r:id="rId1983"/>
    <hyperlink xmlns:r="http://schemas.openxmlformats.org/officeDocument/2006/relationships" ref="O1985" r:id="rId1984"/>
    <hyperlink xmlns:r="http://schemas.openxmlformats.org/officeDocument/2006/relationships" ref="O1986" r:id="rId1985"/>
    <hyperlink xmlns:r="http://schemas.openxmlformats.org/officeDocument/2006/relationships" ref="O1987" r:id="rId1986"/>
    <hyperlink xmlns:r="http://schemas.openxmlformats.org/officeDocument/2006/relationships" ref="O1988" r:id="rId1987"/>
    <hyperlink xmlns:r="http://schemas.openxmlformats.org/officeDocument/2006/relationships" ref="O1989" r:id="rId1988"/>
    <hyperlink xmlns:r="http://schemas.openxmlformats.org/officeDocument/2006/relationships" ref="O1990" r:id="rId1989"/>
    <hyperlink xmlns:r="http://schemas.openxmlformats.org/officeDocument/2006/relationships" ref="O1991" r:id="rId1990"/>
    <hyperlink xmlns:r="http://schemas.openxmlformats.org/officeDocument/2006/relationships" ref="O1992" r:id="rId1991"/>
    <hyperlink xmlns:r="http://schemas.openxmlformats.org/officeDocument/2006/relationships" ref="O1993" r:id="rId1992"/>
    <hyperlink xmlns:r="http://schemas.openxmlformats.org/officeDocument/2006/relationships" ref="O1994" r:id="rId1993"/>
    <hyperlink xmlns:r="http://schemas.openxmlformats.org/officeDocument/2006/relationships" ref="O1995" r:id="rId1994"/>
    <hyperlink xmlns:r="http://schemas.openxmlformats.org/officeDocument/2006/relationships" ref="O1996" r:id="rId1995"/>
    <hyperlink xmlns:r="http://schemas.openxmlformats.org/officeDocument/2006/relationships" ref="O1997" r:id="rId1996"/>
    <hyperlink xmlns:r="http://schemas.openxmlformats.org/officeDocument/2006/relationships" ref="O1998" r:id="rId1997"/>
    <hyperlink xmlns:r="http://schemas.openxmlformats.org/officeDocument/2006/relationships" ref="O1999" r:id="rId1998"/>
    <hyperlink xmlns:r="http://schemas.openxmlformats.org/officeDocument/2006/relationships" ref="O2000" r:id="rId1999"/>
    <hyperlink xmlns:r="http://schemas.openxmlformats.org/officeDocument/2006/relationships" ref="O2001" r:id="rId2000"/>
    <hyperlink xmlns:r="http://schemas.openxmlformats.org/officeDocument/2006/relationships" ref="O2002" r:id="rId2001"/>
    <hyperlink xmlns:r="http://schemas.openxmlformats.org/officeDocument/2006/relationships" ref="O2003" r:id="rId2002"/>
    <hyperlink xmlns:r="http://schemas.openxmlformats.org/officeDocument/2006/relationships" ref="O2004" r:id="rId2003"/>
    <hyperlink xmlns:r="http://schemas.openxmlformats.org/officeDocument/2006/relationships" ref="O2005" r:id="rId2004"/>
    <hyperlink xmlns:r="http://schemas.openxmlformats.org/officeDocument/2006/relationships" ref="O2006" r:id="rId2005"/>
    <hyperlink xmlns:r="http://schemas.openxmlformats.org/officeDocument/2006/relationships" ref="O2007" r:id="rId2006"/>
    <hyperlink xmlns:r="http://schemas.openxmlformats.org/officeDocument/2006/relationships" ref="O2008" r:id="rId2007"/>
    <hyperlink xmlns:r="http://schemas.openxmlformats.org/officeDocument/2006/relationships" ref="O2009" r:id="rId2008"/>
    <hyperlink xmlns:r="http://schemas.openxmlformats.org/officeDocument/2006/relationships" ref="O2010" r:id="rId2009"/>
    <hyperlink xmlns:r="http://schemas.openxmlformats.org/officeDocument/2006/relationships" ref="O2011" r:id="rId2010"/>
    <hyperlink xmlns:r="http://schemas.openxmlformats.org/officeDocument/2006/relationships" ref="O2012" r:id="rId2011"/>
    <hyperlink xmlns:r="http://schemas.openxmlformats.org/officeDocument/2006/relationships" ref="O2013" r:id="rId2012"/>
    <hyperlink xmlns:r="http://schemas.openxmlformats.org/officeDocument/2006/relationships" ref="O2014" r:id="rId2013"/>
    <hyperlink xmlns:r="http://schemas.openxmlformats.org/officeDocument/2006/relationships" ref="O2015" r:id="rId2014"/>
    <hyperlink xmlns:r="http://schemas.openxmlformats.org/officeDocument/2006/relationships" ref="O2016" r:id="rId2015"/>
    <hyperlink xmlns:r="http://schemas.openxmlformats.org/officeDocument/2006/relationships" ref="O2017" r:id="rId2016"/>
    <hyperlink xmlns:r="http://schemas.openxmlformats.org/officeDocument/2006/relationships" ref="O2018" r:id="rId2017"/>
    <hyperlink xmlns:r="http://schemas.openxmlformats.org/officeDocument/2006/relationships" ref="O2019" r:id="rId2018"/>
    <hyperlink xmlns:r="http://schemas.openxmlformats.org/officeDocument/2006/relationships" ref="O2020" r:id="rId2019"/>
    <hyperlink xmlns:r="http://schemas.openxmlformats.org/officeDocument/2006/relationships" ref="O2021" r:id="rId2020"/>
    <hyperlink xmlns:r="http://schemas.openxmlformats.org/officeDocument/2006/relationships" ref="O2022" r:id="rId2021"/>
    <hyperlink xmlns:r="http://schemas.openxmlformats.org/officeDocument/2006/relationships" ref="O2023" r:id="rId2022"/>
    <hyperlink xmlns:r="http://schemas.openxmlformats.org/officeDocument/2006/relationships" ref="O2024" r:id="rId2023"/>
    <hyperlink xmlns:r="http://schemas.openxmlformats.org/officeDocument/2006/relationships" ref="O2025" r:id="rId2024"/>
    <hyperlink xmlns:r="http://schemas.openxmlformats.org/officeDocument/2006/relationships" ref="O2026" r:id="rId2025"/>
    <hyperlink xmlns:r="http://schemas.openxmlformats.org/officeDocument/2006/relationships" ref="O2027" r:id="rId2026"/>
    <hyperlink xmlns:r="http://schemas.openxmlformats.org/officeDocument/2006/relationships" ref="O2028" r:id="rId2027"/>
    <hyperlink xmlns:r="http://schemas.openxmlformats.org/officeDocument/2006/relationships" ref="O2029" r:id="rId2028"/>
    <hyperlink xmlns:r="http://schemas.openxmlformats.org/officeDocument/2006/relationships" ref="O2030" r:id="rId2029"/>
    <hyperlink xmlns:r="http://schemas.openxmlformats.org/officeDocument/2006/relationships" ref="O2031" r:id="rId2030"/>
    <hyperlink xmlns:r="http://schemas.openxmlformats.org/officeDocument/2006/relationships" ref="O2032" r:id="rId2031"/>
    <hyperlink xmlns:r="http://schemas.openxmlformats.org/officeDocument/2006/relationships" ref="O2033" r:id="rId2032"/>
    <hyperlink xmlns:r="http://schemas.openxmlformats.org/officeDocument/2006/relationships" ref="O2034" r:id="rId2033"/>
    <hyperlink xmlns:r="http://schemas.openxmlformats.org/officeDocument/2006/relationships" ref="O2035" r:id="rId2034"/>
    <hyperlink xmlns:r="http://schemas.openxmlformats.org/officeDocument/2006/relationships" ref="O2036" r:id="rId2035"/>
    <hyperlink xmlns:r="http://schemas.openxmlformats.org/officeDocument/2006/relationships" ref="O2037" r:id="rId2036"/>
    <hyperlink xmlns:r="http://schemas.openxmlformats.org/officeDocument/2006/relationships" ref="O2038" r:id="rId2037"/>
    <hyperlink xmlns:r="http://schemas.openxmlformats.org/officeDocument/2006/relationships" ref="O2039" r:id="rId2038"/>
    <hyperlink xmlns:r="http://schemas.openxmlformats.org/officeDocument/2006/relationships" ref="O2040" r:id="rId2039"/>
    <hyperlink xmlns:r="http://schemas.openxmlformats.org/officeDocument/2006/relationships" ref="O2041" r:id="rId2040"/>
    <hyperlink xmlns:r="http://schemas.openxmlformats.org/officeDocument/2006/relationships" ref="O2042" r:id="rId2041"/>
    <hyperlink xmlns:r="http://schemas.openxmlformats.org/officeDocument/2006/relationships" ref="O2043" r:id="rId2042"/>
    <hyperlink xmlns:r="http://schemas.openxmlformats.org/officeDocument/2006/relationships" ref="O2044" r:id="rId2043"/>
    <hyperlink xmlns:r="http://schemas.openxmlformats.org/officeDocument/2006/relationships" ref="O2045" r:id="rId2044"/>
    <hyperlink xmlns:r="http://schemas.openxmlformats.org/officeDocument/2006/relationships" ref="O2046" r:id="rId2045"/>
    <hyperlink xmlns:r="http://schemas.openxmlformats.org/officeDocument/2006/relationships" ref="O2047" r:id="rId2046"/>
    <hyperlink xmlns:r="http://schemas.openxmlformats.org/officeDocument/2006/relationships" ref="O2048" r:id="rId2047"/>
    <hyperlink xmlns:r="http://schemas.openxmlformats.org/officeDocument/2006/relationships" ref="O2049" r:id="rId2048"/>
    <hyperlink xmlns:r="http://schemas.openxmlformats.org/officeDocument/2006/relationships" ref="O2050" r:id="rId2049"/>
    <hyperlink xmlns:r="http://schemas.openxmlformats.org/officeDocument/2006/relationships" ref="O2051" r:id="rId2050"/>
    <hyperlink xmlns:r="http://schemas.openxmlformats.org/officeDocument/2006/relationships" ref="O2052" r:id="rId2051"/>
    <hyperlink xmlns:r="http://schemas.openxmlformats.org/officeDocument/2006/relationships" ref="O2053" r:id="rId2052"/>
    <hyperlink xmlns:r="http://schemas.openxmlformats.org/officeDocument/2006/relationships" ref="O2054" r:id="rId2053"/>
    <hyperlink xmlns:r="http://schemas.openxmlformats.org/officeDocument/2006/relationships" ref="O2055" r:id="rId2054"/>
    <hyperlink xmlns:r="http://schemas.openxmlformats.org/officeDocument/2006/relationships" ref="O2056" r:id="rId2055"/>
    <hyperlink xmlns:r="http://schemas.openxmlformats.org/officeDocument/2006/relationships" ref="O2057" r:id="rId2056"/>
    <hyperlink xmlns:r="http://schemas.openxmlformats.org/officeDocument/2006/relationships" ref="O2058" r:id="rId2057"/>
    <hyperlink xmlns:r="http://schemas.openxmlformats.org/officeDocument/2006/relationships" ref="O2059" r:id="rId2058"/>
    <hyperlink xmlns:r="http://schemas.openxmlformats.org/officeDocument/2006/relationships" ref="O2060" r:id="rId2059"/>
    <hyperlink xmlns:r="http://schemas.openxmlformats.org/officeDocument/2006/relationships" ref="O2061" r:id="rId2060"/>
    <hyperlink xmlns:r="http://schemas.openxmlformats.org/officeDocument/2006/relationships" ref="O2062" r:id="rId2061"/>
    <hyperlink xmlns:r="http://schemas.openxmlformats.org/officeDocument/2006/relationships" ref="O2063" r:id="rId2062"/>
    <hyperlink xmlns:r="http://schemas.openxmlformats.org/officeDocument/2006/relationships" ref="O2064" r:id="rId2063"/>
    <hyperlink xmlns:r="http://schemas.openxmlformats.org/officeDocument/2006/relationships" ref="O2065" r:id="rId2064"/>
    <hyperlink xmlns:r="http://schemas.openxmlformats.org/officeDocument/2006/relationships" ref="O2066" r:id="rId2065"/>
    <hyperlink xmlns:r="http://schemas.openxmlformats.org/officeDocument/2006/relationships" ref="O2067" r:id="rId2066"/>
    <hyperlink xmlns:r="http://schemas.openxmlformats.org/officeDocument/2006/relationships" ref="O2068" r:id="rId20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4" customWidth="1" min="3" max="3"/>
    <col width="12" customWidth="1" min="4" max="4"/>
    <col width="40" customWidth="1" min="5" max="5"/>
    <col width="8" customWidth="1" min="6" max="6"/>
    <col width="6" customWidth="1" min="7" max="7"/>
    <col width="80" customWidth="1" min="8" max="8"/>
  </cols>
  <sheetData>
    <row r="1">
      <c r="A1" s="1" t="inlineStr">
        <is>
          <t>Source</t>
        </is>
      </c>
      <c r="B1" s="1" t="inlineStr">
        <is>
          <t>Kind</t>
        </is>
      </c>
      <c r="C1" s="1" t="inlineStr">
        <is>
          <t>Period</t>
        </is>
      </c>
      <c r="D1" s="1" t="inlineStr">
        <is>
          <t>Date</t>
        </is>
      </c>
      <c r="E1" s="1" t="inlineStr">
        <is>
          <t>Origin</t>
        </is>
      </c>
      <c r="F1" s="1" t="inlineStr">
        <is>
          <t>Audited</t>
        </is>
      </c>
      <c r="G1" s="1" t="inlineStr">
        <is>
          <t>Pages</t>
        </is>
      </c>
      <c r="H1" s="1" t="inlineStr">
        <is>
          <t>Link</t>
        </is>
      </c>
    </row>
    <row r="2">
      <c r="A2" s="2" t="inlineStr">
        <is>
          <t>S1</t>
        </is>
      </c>
      <c r="B2" s="2" t="inlineStr">
        <is>
          <t>annual report</t>
        </is>
      </c>
      <c r="C2" s="2" t="inlineStr">
        <is>
          <t>FY2023</t>
        </is>
      </c>
      <c r="D2" s="2" t="inlineStr">
        <is>
          <t>2024-03-27</t>
        </is>
      </c>
      <c r="E2" s="2" t="inlineStr">
        <is>
          <t>Fastned B.V.</t>
        </is>
      </c>
      <c r="F2" s="2" t="b">
        <v>1</v>
      </c>
      <c r="G2" s="2" t="n">
        <v>203</v>
      </c>
      <c r="H2" s="3" t="inlineStr">
        <is>
          <t>https://vanillabonds.com/dossier-data/pdf/fastned/fastned-2023-annual-report.pdf</t>
        </is>
      </c>
    </row>
    <row r="3">
      <c r="A3" s="2" t="inlineStr">
        <is>
          <t>S2</t>
        </is>
      </c>
      <c r="B3" s="2" t="inlineStr">
        <is>
          <t>annual report</t>
        </is>
      </c>
      <c r="C3" s="2" t="inlineStr">
        <is>
          <t>FY2024</t>
        </is>
      </c>
      <c r="D3" s="2" t="inlineStr">
        <is>
          <t>2025-03-27</t>
        </is>
      </c>
      <c r="E3" s="2" t="inlineStr">
        <is>
          <t>Fastned B.V.</t>
        </is>
      </c>
      <c r="F3" s="2" t="b">
        <v>1</v>
      </c>
      <c r="G3" s="2" t="n">
        <v>207</v>
      </c>
      <c r="H3" s="3" t="inlineStr">
        <is>
          <t>https://vanillabonds.com/dossier-data/pdf/fastned/fastned-2024-annual-report.pdf</t>
        </is>
      </c>
    </row>
    <row r="4">
      <c r="A4" s="2" t="inlineStr">
        <is>
          <t>S3</t>
        </is>
      </c>
      <c r="B4" s="2" t="inlineStr">
        <is>
          <t>annual report</t>
        </is>
      </c>
      <c r="C4" s="2" t="inlineStr">
        <is>
          <t>FY2025</t>
        </is>
      </c>
      <c r="D4" s="2" t="inlineStr">
        <is>
          <t>2026-03-19</t>
        </is>
      </c>
      <c r="E4" s="2" t="inlineStr">
        <is>
          <t>Fastned B.V.</t>
        </is>
      </c>
      <c r="F4" s="2" t="b">
        <v>1</v>
      </c>
      <c r="G4" s="2" t="n">
        <v>246</v>
      </c>
      <c r="H4" s="3" t="inlineStr">
        <is>
          <t>https://vanillabonds.com/dossier-data/pdf/fastned/fastned-2025-annual-report.pdf</t>
        </is>
      </c>
    </row>
    <row r="5">
      <c r="A5" s="2" t="inlineStr">
        <is>
          <t>S4</t>
        </is>
      </c>
      <c r="B5" s="2" t="inlineStr">
        <is>
          <t>interim report</t>
        </is>
      </c>
      <c r="C5" s="2" t="inlineStr">
        <is>
          <t>H1-2026</t>
        </is>
      </c>
      <c r="D5" s="2" t="inlineStr">
        <is>
          <t>2026-08-13</t>
        </is>
      </c>
      <c r="E5" s="2" t="inlineStr">
        <is>
          <t>Fastned B.V. (Management Board)</t>
        </is>
      </c>
      <c r="F5" s="2" t="b">
        <v>0</v>
      </c>
      <c r="G5" s="2" t="n">
        <v>52</v>
      </c>
      <c r="H5" s="3" t="inlineStr">
        <is>
          <t>https://vanillabonds.com/dossier-data/pdf/fastned/fastned-h1-2026-interim-report.pdf</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2026-10-24T15:08:51Z</dcterms:created>
  <dcterms:modified xmlns:dcterms="http://purl.org/dc/terms/" xmlns:xsi="http://www.w3.org/2001/XMLSchema-instance" xsi:type="dcterms:W3CDTF">2026-10-24T15:08:52Z</dcterms:modified>
</cp:coreProperties>
</file>